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211" codeName="{51196F13-6AD0-C1B8-E2B4-A1F9AE17003E}"/>
  <workbookPr codeName="ThisWorkbook" defaultThemeVersion="124226"/>
  <mc:AlternateContent xmlns:mc="http://schemas.openxmlformats.org/markup-compatibility/2006">
    <mc:Choice Requires="x15">
      <x15ac:absPath xmlns:x15ac="http://schemas.microsoft.com/office/spreadsheetml/2010/11/ac" url="/Users/aderock/Downloads/"/>
    </mc:Choice>
  </mc:AlternateContent>
  <xr:revisionPtr revIDLastSave="0" documentId="13_ncr:1_{BF20BD67-8C53-6E4A-BDD7-FF44A619ECD7}" xr6:coauthVersionLast="41" xr6:coauthVersionMax="43" xr10:uidLastSave="{00000000-0000-0000-0000-000000000000}"/>
  <bookViews>
    <workbookView xWindow="0" yWindow="0" windowWidth="28800" windowHeight="18000" tabRatio="743" activeTab="8" xr2:uid="{00000000-000D-0000-FFFF-FFFF00000000}"/>
  </bookViews>
  <sheets>
    <sheet name="references" sheetId="20" state="hidden" r:id="rId1"/>
    <sheet name="Content" sheetId="36" state="hidden" r:id="rId2"/>
    <sheet name="Assessment - Identify" sheetId="23" r:id="rId3"/>
    <sheet name="Assessment - Detect" sheetId="37" r:id="rId4"/>
    <sheet name="Assessment - Protect" sheetId="38" r:id="rId5"/>
    <sheet name="Assessment - Respond" sheetId="45" r:id="rId6"/>
    <sheet name="Assessment - Recovery" sheetId="50" r:id="rId7"/>
    <sheet name="MMAT ref" sheetId="21" state="hidden" r:id="rId8"/>
    <sheet name="Result " sheetId="51" r:id="rId9"/>
  </sheets>
  <externalReferences>
    <externalReference r:id="rId10"/>
  </externalReferences>
  <definedNames>
    <definedName name="_xlnm._FilterDatabase" localSheetId="1" hidden="1">Content!$O$1:$O$694</definedName>
    <definedName name="contentref">Content!$A:$O</definedName>
    <definedName name="detail_maturity_score">references!$L$12:$N$18</definedName>
    <definedName name="key_components_responses">references!$A$23:$A$28</definedName>
    <definedName name="level_ref" localSheetId="6">#REF!</definedName>
    <definedName name="level_ref">#REF!</definedName>
    <definedName name="leveltext">references!$F$11:$F$15</definedName>
    <definedName name="maturity_response_frame">references!$M$12:$M$18</definedName>
    <definedName name="MMATref">'MMAT ref'!$Z:$AQ</definedName>
    <definedName name="_xlnm.Print_Area" localSheetId="3">'Assessment - Detect'!$E$1:$K$267</definedName>
    <definedName name="_xlnm.Print_Area" localSheetId="2">'Assessment - Identify'!$E$1:$I$211</definedName>
    <definedName name="_xlnm.Print_Area" localSheetId="4">'Assessment - Protect'!$E$1:$K$129</definedName>
    <definedName name="_xlnm.Print_Area" localSheetId="6">'Assessment - Recovery'!$E$1:$K$129</definedName>
    <definedName name="profile_CREST_quals" localSheetId="6">#REF!</definedName>
    <definedName name="profile_CREST_quals">#REF!</definedName>
    <definedName name="profile_date_of_assessment" localSheetId="6">#REF!</definedName>
    <definedName name="profile_date_of_assessment">#REF!</definedName>
    <definedName name="profile_department" localSheetId="6">#REF!</definedName>
    <definedName name="profile_department">#REF!</definedName>
    <definedName name="profile_organisation" localSheetId="6">#REF!</definedName>
    <definedName name="profile_organisation">#REF!</definedName>
    <definedName name="profile_other_quals" localSheetId="6">#REF!</definedName>
    <definedName name="profile_other_quals">#REF!</definedName>
    <definedName name="profile_respondent_name" localSheetId="6">#REF!</definedName>
    <definedName name="profile_respondent_name">#REF!</definedName>
    <definedName name="profile_role_or_position" localSheetId="6">#REF!</definedName>
    <definedName name="profile_role_or_position">#REF!</definedName>
    <definedName name="profile_type_of_assessment" localSheetId="6">#REF!</definedName>
    <definedName name="profile_type_of_assessment">#REF!</definedName>
    <definedName name="response_frames">references!$A$1:$A$9</definedName>
    <definedName name="scope_area_of_assessment" localSheetId="6">#REF!</definedName>
    <definedName name="scope_area_of_assessment">#REF!</definedName>
    <definedName name="scope_business_unit" localSheetId="6">#REF!</definedName>
    <definedName name="scope_business_unit">#REF!</definedName>
    <definedName name="scope_key_components" localSheetId="6">#REF!</definedName>
    <definedName name="scope_key_components">#REF!</definedName>
    <definedName name="scope_organisation" localSheetId="6">#REF!</definedName>
    <definedName name="scope_organisation">#REF!</definedName>
    <definedName name="scope_sector" localSheetId="6">#REF!</definedName>
    <definedName name="scope_sector">#REF!</definedName>
    <definedName name="scope_size" localSheetId="6">#REF!</definedName>
    <definedName name="scope_size">#REF!</definedName>
    <definedName name="sector_responses">references!$F$24:$F$49</definedName>
    <definedName name="size_responses">references!$K$24:$K$28</definedName>
    <definedName name="stuff">references!$C$1:$K$3</definedName>
    <definedName name="target_response_frame">references!$M$1:$M$6</definedName>
    <definedName name="target_scores">references!$C$1:$H$3</definedName>
    <definedName name="textref">'MMAT ref'!$AE:$AG</definedName>
    <definedName name="weighting_column_width">references!$P$1</definedName>
    <definedName name="weighting_frame">references!$S$1:$S$5</definedName>
    <definedName name="weighting_initial">references!$V$2:$W$6</definedName>
    <definedName name="weighting_response_reverse">references!$T$1:$U$5</definedName>
    <definedName name="weighting_responses">references!$S$1:$S$5</definedName>
    <definedName name="weighting_scores">references!$S$1:$T$5</definedName>
    <definedName name="weighting_stuff">references!$C$17:$G$19</definedName>
    <definedName name="yesno_response_frame">references!$M$9:$M$10</definedName>
  </definedNames>
  <calcPr calcId="191028"/>
</workbook>
</file>

<file path=xl/calcChain.xml><?xml version="1.0" encoding="utf-8"?>
<calcChain xmlns="http://schemas.openxmlformats.org/spreadsheetml/2006/main">
  <c r="I522" i="36" l="1"/>
  <c r="J522" i="36"/>
  <c r="K522" i="36"/>
  <c r="L522" i="36"/>
  <c r="M522" i="36"/>
  <c r="N522" i="36"/>
  <c r="O522" i="36"/>
  <c r="Q522" i="36"/>
  <c r="R522" i="36"/>
  <c r="B522" i="36"/>
  <c r="B267" i="45"/>
  <c r="V267" i="45" s="1"/>
  <c r="I267" i="45"/>
  <c r="H267" i="45"/>
  <c r="G267" i="45"/>
  <c r="C267" i="45"/>
  <c r="U267" i="45" s="1"/>
  <c r="I266" i="45"/>
  <c r="H266" i="45"/>
  <c r="G266" i="45"/>
  <c r="I521" i="36"/>
  <c r="J521" i="36"/>
  <c r="K521" i="36"/>
  <c r="L521" i="36"/>
  <c r="M521" i="36"/>
  <c r="N521" i="36"/>
  <c r="O521" i="36"/>
  <c r="C266" i="45"/>
  <c r="Q521" i="36"/>
  <c r="R521" i="36"/>
  <c r="B521" i="36"/>
  <c r="B266" i="45"/>
  <c r="W266" i="45" s="1"/>
  <c r="I520" i="36"/>
  <c r="J520" i="36"/>
  <c r="K520" i="36"/>
  <c r="L520" i="36"/>
  <c r="M520" i="36"/>
  <c r="N520" i="36"/>
  <c r="O520" i="36"/>
  <c r="C265" i="45"/>
  <c r="Q520" i="36"/>
  <c r="R520" i="36"/>
  <c r="B520" i="36"/>
  <c r="B265" i="45"/>
  <c r="V265" i="45" s="1"/>
  <c r="I519" i="36"/>
  <c r="J519" i="36"/>
  <c r="K519" i="36"/>
  <c r="L519" i="36"/>
  <c r="M519" i="36"/>
  <c r="N519" i="36"/>
  <c r="O519" i="36"/>
  <c r="Q519" i="36"/>
  <c r="R519" i="36"/>
  <c r="B519" i="36"/>
  <c r="B264" i="45"/>
  <c r="V264" i="45" s="1"/>
  <c r="I264" i="45"/>
  <c r="H264" i="45"/>
  <c r="G264" i="45"/>
  <c r="C264" i="45"/>
  <c r="U264" i="45" s="1"/>
  <c r="I263" i="45"/>
  <c r="H263" i="45"/>
  <c r="G263" i="45"/>
  <c r="I518" i="36"/>
  <c r="J518" i="36"/>
  <c r="K518" i="36"/>
  <c r="L518" i="36"/>
  <c r="M518" i="36"/>
  <c r="N518" i="36"/>
  <c r="O518" i="36"/>
  <c r="C263" i="45"/>
  <c r="Q518" i="36"/>
  <c r="R518" i="36"/>
  <c r="B518" i="36"/>
  <c r="B263" i="45"/>
  <c r="W263" i="45" s="1"/>
  <c r="I517" i="36"/>
  <c r="J517" i="36"/>
  <c r="K517" i="36"/>
  <c r="L517" i="36"/>
  <c r="M517" i="36"/>
  <c r="N517" i="36"/>
  <c r="O517" i="36"/>
  <c r="C262" i="45"/>
  <c r="Q517" i="36"/>
  <c r="R517" i="36"/>
  <c r="B517" i="36"/>
  <c r="B262" i="45"/>
  <c r="V262" i="45" s="1"/>
  <c r="I516" i="36"/>
  <c r="J516" i="36"/>
  <c r="K516" i="36"/>
  <c r="L516" i="36"/>
  <c r="M516" i="36"/>
  <c r="N516" i="36"/>
  <c r="O516" i="36"/>
  <c r="Q516" i="36"/>
  <c r="R516" i="36"/>
  <c r="B516" i="36"/>
  <c r="B261" i="45"/>
  <c r="V261" i="45" s="1"/>
  <c r="W261" i="45"/>
  <c r="I261" i="45"/>
  <c r="H261" i="45"/>
  <c r="G261" i="45"/>
  <c r="C261" i="45"/>
  <c r="U261" i="45"/>
  <c r="I260" i="45"/>
  <c r="H260" i="45"/>
  <c r="G260" i="45"/>
  <c r="I515" i="36"/>
  <c r="J515" i="36"/>
  <c r="K515" i="36"/>
  <c r="L515" i="36"/>
  <c r="M515" i="36"/>
  <c r="N515" i="36"/>
  <c r="O515" i="36"/>
  <c r="C260" i="45"/>
  <c r="Q515" i="36"/>
  <c r="R515" i="36"/>
  <c r="B515" i="36"/>
  <c r="B260" i="45"/>
  <c r="W260" i="45" s="1"/>
  <c r="I514" i="36"/>
  <c r="J514" i="36"/>
  <c r="K514" i="36"/>
  <c r="L514" i="36"/>
  <c r="M514" i="36"/>
  <c r="N514" i="36"/>
  <c r="O514" i="36"/>
  <c r="C259" i="45"/>
  <c r="Q514" i="36"/>
  <c r="R514" i="36"/>
  <c r="B514" i="36"/>
  <c r="B259" i="45"/>
  <c r="V259" i="45" s="1"/>
  <c r="I513" i="36"/>
  <c r="J513" i="36"/>
  <c r="K513" i="36"/>
  <c r="L513" i="36"/>
  <c r="M513" i="36"/>
  <c r="N513" i="36"/>
  <c r="O513" i="36"/>
  <c r="C258" i="45"/>
  <c r="R513" i="36"/>
  <c r="B513" i="36"/>
  <c r="B258" i="45"/>
  <c r="V258" i="45" s="1"/>
  <c r="I512" i="36"/>
  <c r="J512" i="36"/>
  <c r="K512" i="36"/>
  <c r="L512" i="36"/>
  <c r="M512" i="36"/>
  <c r="N512" i="36"/>
  <c r="O512" i="36"/>
  <c r="Q512" i="36"/>
  <c r="R512" i="36"/>
  <c r="B512" i="36"/>
  <c r="B257" i="45"/>
  <c r="I257" i="45"/>
  <c r="H257" i="45"/>
  <c r="G257" i="45"/>
  <c r="C257" i="45"/>
  <c r="I256" i="45"/>
  <c r="H256" i="45"/>
  <c r="G256" i="45"/>
  <c r="I511" i="36"/>
  <c r="J511" i="36"/>
  <c r="K511" i="36"/>
  <c r="L511" i="36"/>
  <c r="M511" i="36"/>
  <c r="N511" i="36"/>
  <c r="O511" i="36"/>
  <c r="C256" i="45"/>
  <c r="Q511" i="36"/>
  <c r="R511" i="36"/>
  <c r="B511" i="36"/>
  <c r="B256" i="45"/>
  <c r="W256" i="45" s="1"/>
  <c r="I510" i="36"/>
  <c r="J510" i="36"/>
  <c r="K510" i="36"/>
  <c r="L510" i="36"/>
  <c r="M510" i="36"/>
  <c r="N510" i="36"/>
  <c r="O510" i="36"/>
  <c r="Q510" i="36"/>
  <c r="R510" i="36"/>
  <c r="B510" i="36"/>
  <c r="B255" i="45"/>
  <c r="V255" i="45" s="1"/>
  <c r="W255" i="45"/>
  <c r="I255" i="45"/>
  <c r="H255" i="45"/>
  <c r="G255" i="45"/>
  <c r="C255" i="45"/>
  <c r="U255" i="45"/>
  <c r="I509" i="36"/>
  <c r="J509" i="36"/>
  <c r="K509" i="36"/>
  <c r="L509" i="36"/>
  <c r="M509" i="36"/>
  <c r="N509" i="36"/>
  <c r="O509" i="36"/>
  <c r="Q509" i="36"/>
  <c r="R509" i="36"/>
  <c r="B509" i="36"/>
  <c r="B254" i="45"/>
  <c r="W254" i="45" s="1"/>
  <c r="X254" i="45" s="1"/>
  <c r="V254" i="45"/>
  <c r="C254" i="45"/>
  <c r="U254" i="45" s="1"/>
  <c r="I253" i="45"/>
  <c r="H253" i="45"/>
  <c r="G253" i="45"/>
  <c r="I508" i="36"/>
  <c r="J508" i="36"/>
  <c r="K508" i="36"/>
  <c r="L508" i="36"/>
  <c r="M508" i="36"/>
  <c r="N508" i="36"/>
  <c r="O508" i="36"/>
  <c r="C253" i="45"/>
  <c r="Q508" i="36"/>
  <c r="R508" i="36"/>
  <c r="B508" i="36"/>
  <c r="B253" i="45"/>
  <c r="W253" i="45" s="1"/>
  <c r="I507" i="36"/>
  <c r="J507" i="36"/>
  <c r="K507" i="36"/>
  <c r="L507" i="36"/>
  <c r="M507" i="36"/>
  <c r="N507" i="36"/>
  <c r="O507" i="36"/>
  <c r="Q507" i="36"/>
  <c r="R507" i="36"/>
  <c r="B507" i="36"/>
  <c r="B252" i="45"/>
  <c r="W252" i="45" s="1"/>
  <c r="I252" i="45"/>
  <c r="H252" i="45"/>
  <c r="G252" i="45"/>
  <c r="C252" i="45"/>
  <c r="V252" i="45"/>
  <c r="I251" i="45"/>
  <c r="H251" i="45"/>
  <c r="G251" i="45"/>
  <c r="I506" i="36"/>
  <c r="J506" i="36"/>
  <c r="K506" i="36"/>
  <c r="L506" i="36"/>
  <c r="M506" i="36"/>
  <c r="N506" i="36"/>
  <c r="O506" i="36"/>
  <c r="C251" i="45"/>
  <c r="Q506" i="36"/>
  <c r="R506" i="36"/>
  <c r="B506" i="36"/>
  <c r="B251" i="45"/>
  <c r="W251" i="45"/>
  <c r="I505" i="36"/>
  <c r="J505" i="36"/>
  <c r="K505" i="36"/>
  <c r="L505" i="36"/>
  <c r="M505" i="36"/>
  <c r="N505" i="36"/>
  <c r="O505" i="36"/>
  <c r="Q505" i="36"/>
  <c r="R505" i="36"/>
  <c r="B505" i="36"/>
  <c r="B250" i="45"/>
  <c r="V250" i="45" s="1"/>
  <c r="I250" i="45"/>
  <c r="H250" i="45"/>
  <c r="G250" i="45"/>
  <c r="C250" i="45"/>
  <c r="U250" i="45" s="1"/>
  <c r="I249" i="45"/>
  <c r="H249" i="45"/>
  <c r="G249" i="45"/>
  <c r="I504" i="36"/>
  <c r="J504" i="36"/>
  <c r="K504" i="36"/>
  <c r="L504" i="36"/>
  <c r="M504" i="36"/>
  <c r="N504" i="36"/>
  <c r="O504" i="36"/>
  <c r="C249" i="45"/>
  <c r="Q504" i="36"/>
  <c r="R504" i="36"/>
  <c r="B504" i="36"/>
  <c r="B249" i="45"/>
  <c r="W249" i="45" s="1"/>
  <c r="I503" i="36"/>
  <c r="J503" i="36"/>
  <c r="K503" i="36"/>
  <c r="L503" i="36"/>
  <c r="M503" i="36"/>
  <c r="N503" i="36"/>
  <c r="O503" i="36"/>
  <c r="Q503" i="36"/>
  <c r="R503" i="36"/>
  <c r="B503" i="36"/>
  <c r="B248" i="45"/>
  <c r="I248" i="45"/>
  <c r="H248" i="45"/>
  <c r="G248" i="45"/>
  <c r="C248" i="45"/>
  <c r="I247" i="45"/>
  <c r="H247" i="45"/>
  <c r="G247" i="45"/>
  <c r="I502" i="36"/>
  <c r="J502" i="36"/>
  <c r="K502" i="36"/>
  <c r="L502" i="36"/>
  <c r="M502" i="36"/>
  <c r="N502" i="36"/>
  <c r="O502" i="36"/>
  <c r="C247" i="45"/>
  <c r="Q502" i="36"/>
  <c r="R502" i="36"/>
  <c r="B502" i="36"/>
  <c r="B247" i="45"/>
  <c r="W247" i="45" s="1"/>
  <c r="I501" i="36"/>
  <c r="J501" i="36"/>
  <c r="K501" i="36"/>
  <c r="L501" i="36"/>
  <c r="M501" i="36"/>
  <c r="N501" i="36"/>
  <c r="O501" i="36"/>
  <c r="C246" i="45"/>
  <c r="Q501" i="36"/>
  <c r="R501" i="36"/>
  <c r="B501" i="36"/>
  <c r="B246" i="45"/>
  <c r="V246" i="45" s="1"/>
  <c r="I500" i="36"/>
  <c r="J500" i="36"/>
  <c r="K500" i="36"/>
  <c r="L500" i="36"/>
  <c r="M500" i="36"/>
  <c r="N500" i="36"/>
  <c r="O500" i="36"/>
  <c r="Q500" i="36"/>
  <c r="R500" i="36"/>
  <c r="B500" i="36"/>
  <c r="B245" i="45"/>
  <c r="W245" i="45"/>
  <c r="I245" i="45"/>
  <c r="H245" i="45"/>
  <c r="G245" i="45"/>
  <c r="C245" i="45"/>
  <c r="U245" i="45" s="1"/>
  <c r="V245" i="45"/>
  <c r="I244" i="45"/>
  <c r="H244" i="45"/>
  <c r="G244" i="45"/>
  <c r="I499" i="36"/>
  <c r="J499" i="36"/>
  <c r="K499" i="36"/>
  <c r="L499" i="36"/>
  <c r="M499" i="36"/>
  <c r="N499" i="36"/>
  <c r="O499" i="36"/>
  <c r="C244" i="45"/>
  <c r="Q499" i="36"/>
  <c r="R499" i="36"/>
  <c r="B499" i="36"/>
  <c r="B244" i="45"/>
  <c r="W244" i="45"/>
  <c r="I498" i="36"/>
  <c r="J498" i="36"/>
  <c r="K498" i="36"/>
  <c r="L498" i="36"/>
  <c r="M498" i="36"/>
  <c r="N498" i="36"/>
  <c r="O498" i="36"/>
  <c r="Q498" i="36"/>
  <c r="R498" i="36"/>
  <c r="B498" i="36"/>
  <c r="B243" i="45"/>
  <c r="W243" i="45"/>
  <c r="I243" i="45"/>
  <c r="H243" i="45"/>
  <c r="G243" i="45"/>
  <c r="C243" i="45"/>
  <c r="U243" i="45" s="1"/>
  <c r="V243" i="45"/>
  <c r="I242" i="45"/>
  <c r="H242" i="45"/>
  <c r="G242" i="45"/>
  <c r="I497" i="36"/>
  <c r="J497" i="36"/>
  <c r="K497" i="36"/>
  <c r="L497" i="36"/>
  <c r="M497" i="36"/>
  <c r="N497" i="36"/>
  <c r="O497" i="36"/>
  <c r="C242" i="45"/>
  <c r="Q497" i="36"/>
  <c r="R497" i="36"/>
  <c r="B497" i="36"/>
  <c r="B242" i="45"/>
  <c r="W242" i="45"/>
  <c r="I496" i="36"/>
  <c r="J496" i="36"/>
  <c r="K496" i="36"/>
  <c r="L496" i="36"/>
  <c r="M496" i="36"/>
  <c r="N496" i="36"/>
  <c r="O496" i="36"/>
  <c r="Q496" i="36"/>
  <c r="R496" i="36"/>
  <c r="B496" i="36"/>
  <c r="B241" i="45"/>
  <c r="I241" i="45"/>
  <c r="H241" i="45"/>
  <c r="G241" i="45"/>
  <c r="C241" i="45"/>
  <c r="U241" i="45" s="1"/>
  <c r="I495" i="36"/>
  <c r="J495" i="36"/>
  <c r="K495" i="36"/>
  <c r="L495" i="36"/>
  <c r="M495" i="36"/>
  <c r="N495" i="36"/>
  <c r="O495" i="36"/>
  <c r="Q495" i="36"/>
  <c r="R495" i="36"/>
  <c r="B495" i="36"/>
  <c r="B240" i="45"/>
  <c r="V240" i="45" s="1"/>
  <c r="X240" i="45" s="1"/>
  <c r="W240" i="45"/>
  <c r="C240" i="45"/>
  <c r="U240" i="45"/>
  <c r="I239" i="45"/>
  <c r="H239" i="45"/>
  <c r="G239" i="45"/>
  <c r="I494" i="36"/>
  <c r="J494" i="36"/>
  <c r="K494" i="36"/>
  <c r="L494" i="36"/>
  <c r="M494" i="36"/>
  <c r="N494" i="36"/>
  <c r="O494" i="36"/>
  <c r="C239" i="45"/>
  <c r="Q494" i="36"/>
  <c r="R494" i="36"/>
  <c r="B494" i="36"/>
  <c r="B239" i="45"/>
  <c r="I493" i="36"/>
  <c r="J493" i="36"/>
  <c r="K493" i="36"/>
  <c r="L493" i="36"/>
  <c r="M493" i="36"/>
  <c r="N493" i="36"/>
  <c r="O493" i="36"/>
  <c r="Q493" i="36"/>
  <c r="R493" i="36"/>
  <c r="B493" i="36"/>
  <c r="B238" i="45"/>
  <c r="W238" i="45"/>
  <c r="I238" i="45"/>
  <c r="H238" i="45"/>
  <c r="G238" i="45"/>
  <c r="C238" i="45"/>
  <c r="U238" i="45"/>
  <c r="V238" i="45"/>
  <c r="I237" i="45"/>
  <c r="H237" i="45"/>
  <c r="G237" i="45"/>
  <c r="I492" i="36"/>
  <c r="J492" i="36"/>
  <c r="K492" i="36"/>
  <c r="L492" i="36"/>
  <c r="M492" i="36"/>
  <c r="N492" i="36"/>
  <c r="O492" i="36"/>
  <c r="C237" i="45"/>
  <c r="Q492" i="36"/>
  <c r="R492" i="36"/>
  <c r="B492" i="36"/>
  <c r="B237" i="45"/>
  <c r="I491" i="36"/>
  <c r="J491" i="36"/>
  <c r="K491" i="36"/>
  <c r="L491" i="36"/>
  <c r="M491" i="36"/>
  <c r="N491" i="36"/>
  <c r="O491" i="36"/>
  <c r="C236" i="45"/>
  <c r="Q491" i="36"/>
  <c r="R491" i="36"/>
  <c r="B491" i="36"/>
  <c r="B236" i="45"/>
  <c r="I490" i="36"/>
  <c r="J490" i="36"/>
  <c r="K490" i="36"/>
  <c r="L490" i="36"/>
  <c r="M490" i="36"/>
  <c r="N490" i="36"/>
  <c r="O490" i="36"/>
  <c r="Q490" i="36"/>
  <c r="R490" i="36"/>
  <c r="B490" i="36"/>
  <c r="B235" i="45"/>
  <c r="W235" i="45"/>
  <c r="I235" i="45"/>
  <c r="H235" i="45"/>
  <c r="G235" i="45"/>
  <c r="C235" i="45"/>
  <c r="U235" i="45" s="1"/>
  <c r="V235" i="45"/>
  <c r="I489" i="36"/>
  <c r="J489" i="36"/>
  <c r="K489" i="36"/>
  <c r="L489" i="36"/>
  <c r="M489" i="36"/>
  <c r="N489" i="36"/>
  <c r="O489" i="36"/>
  <c r="R489" i="36"/>
  <c r="B489" i="36"/>
  <c r="B234" i="45"/>
  <c r="V234" i="45" s="1"/>
  <c r="W234" i="45"/>
  <c r="X234" i="45" s="1"/>
  <c r="C234" i="45"/>
  <c r="U234" i="45" s="1"/>
  <c r="I233" i="45"/>
  <c r="H233" i="45"/>
  <c r="G233" i="45"/>
  <c r="I488" i="36"/>
  <c r="J488" i="36"/>
  <c r="K488" i="36"/>
  <c r="L488" i="36"/>
  <c r="M488" i="36"/>
  <c r="N488" i="36"/>
  <c r="O488" i="36"/>
  <c r="C233" i="45"/>
  <c r="Q488" i="36"/>
  <c r="R488" i="36"/>
  <c r="B488" i="36"/>
  <c r="B233" i="45"/>
  <c r="I487" i="36"/>
  <c r="J487" i="36"/>
  <c r="K487" i="36"/>
  <c r="L487" i="36"/>
  <c r="M487" i="36"/>
  <c r="N487" i="36"/>
  <c r="O487" i="36"/>
  <c r="Q487" i="36"/>
  <c r="R487" i="36"/>
  <c r="B487" i="36"/>
  <c r="B232" i="45"/>
  <c r="W232" i="45"/>
  <c r="I232" i="45"/>
  <c r="H232" i="45"/>
  <c r="G232" i="45"/>
  <c r="C232" i="45"/>
  <c r="U232" i="45" s="1"/>
  <c r="V232" i="45"/>
  <c r="I231" i="45"/>
  <c r="H231" i="45"/>
  <c r="G231" i="45"/>
  <c r="I486" i="36"/>
  <c r="J486" i="36"/>
  <c r="K486" i="36"/>
  <c r="L486" i="36"/>
  <c r="M486" i="36"/>
  <c r="N486" i="36"/>
  <c r="O486" i="36"/>
  <c r="C231" i="45"/>
  <c r="Q486" i="36"/>
  <c r="R486" i="36"/>
  <c r="B486" i="36"/>
  <c r="B231" i="45"/>
  <c r="I485" i="36"/>
  <c r="J485" i="36"/>
  <c r="K485" i="36"/>
  <c r="L485" i="36"/>
  <c r="M485" i="36"/>
  <c r="N485" i="36"/>
  <c r="O485" i="36"/>
  <c r="Q485" i="36"/>
  <c r="R485" i="36"/>
  <c r="B485" i="36"/>
  <c r="B230" i="45"/>
  <c r="V230" i="45" s="1"/>
  <c r="W230" i="45"/>
  <c r="I230" i="45"/>
  <c r="H230" i="45"/>
  <c r="G230" i="45"/>
  <c r="C230" i="45"/>
  <c r="U230" i="45"/>
  <c r="I229" i="45"/>
  <c r="H229" i="45"/>
  <c r="G229" i="45"/>
  <c r="I484" i="36"/>
  <c r="J484" i="36"/>
  <c r="K484" i="36"/>
  <c r="L484" i="36"/>
  <c r="M484" i="36"/>
  <c r="N484" i="36"/>
  <c r="O484" i="36"/>
  <c r="C229" i="45"/>
  <c r="Q484" i="36"/>
  <c r="R484" i="36"/>
  <c r="B484" i="36"/>
  <c r="B229" i="45"/>
  <c r="I483" i="36"/>
  <c r="J483" i="36"/>
  <c r="K483" i="36"/>
  <c r="L483" i="36"/>
  <c r="M483" i="36"/>
  <c r="N483" i="36"/>
  <c r="O483" i="36"/>
  <c r="Q483" i="36"/>
  <c r="R483" i="36"/>
  <c r="B483" i="36"/>
  <c r="B228" i="45"/>
  <c r="W228" i="45" s="1"/>
  <c r="I228" i="45"/>
  <c r="H228" i="45"/>
  <c r="G228" i="45"/>
  <c r="C228" i="45"/>
  <c r="U228" i="45" s="1"/>
  <c r="V228" i="45"/>
  <c r="I482" i="36"/>
  <c r="J482" i="36"/>
  <c r="K482" i="36"/>
  <c r="L482" i="36"/>
  <c r="M482" i="36"/>
  <c r="N482" i="36"/>
  <c r="O482" i="36"/>
  <c r="Q482" i="36"/>
  <c r="R482" i="36"/>
  <c r="B482" i="36"/>
  <c r="B227" i="45"/>
  <c r="V227" i="45" s="1"/>
  <c r="X227" i="45" s="1"/>
  <c r="W227" i="45"/>
  <c r="C227" i="45"/>
  <c r="U227" i="45"/>
  <c r="I226" i="45"/>
  <c r="H226" i="45"/>
  <c r="G226" i="45"/>
  <c r="I481" i="36"/>
  <c r="J481" i="36"/>
  <c r="K481" i="36"/>
  <c r="L481" i="36"/>
  <c r="M481" i="36"/>
  <c r="N481" i="36"/>
  <c r="O481" i="36"/>
  <c r="C226" i="45"/>
  <c r="Q481" i="36"/>
  <c r="R481" i="36"/>
  <c r="B481" i="36"/>
  <c r="B226" i="45"/>
  <c r="I225" i="45"/>
  <c r="H225" i="45"/>
  <c r="G225" i="45"/>
  <c r="I480" i="36"/>
  <c r="J480" i="36"/>
  <c r="K480" i="36"/>
  <c r="L480" i="36"/>
  <c r="M480" i="36"/>
  <c r="N480" i="36"/>
  <c r="O480" i="36"/>
  <c r="C225" i="45"/>
  <c r="Q480" i="36"/>
  <c r="R480" i="36"/>
  <c r="B480" i="36"/>
  <c r="B225" i="45"/>
  <c r="W225" i="45" s="1"/>
  <c r="I479" i="36"/>
  <c r="J479" i="36"/>
  <c r="K479" i="36"/>
  <c r="L479" i="36"/>
  <c r="M479" i="36"/>
  <c r="N479" i="36"/>
  <c r="O479" i="36"/>
  <c r="Q479" i="36"/>
  <c r="R479" i="36"/>
  <c r="B479" i="36"/>
  <c r="B224" i="45"/>
  <c r="W224" i="45"/>
  <c r="I224" i="45"/>
  <c r="H224" i="45"/>
  <c r="G224" i="45"/>
  <c r="C224" i="45"/>
  <c r="U224" i="45"/>
  <c r="V224" i="45"/>
  <c r="I223" i="45"/>
  <c r="H223" i="45"/>
  <c r="G223" i="45"/>
  <c r="I478" i="36"/>
  <c r="J478" i="36"/>
  <c r="K478" i="36"/>
  <c r="L478" i="36"/>
  <c r="M478" i="36"/>
  <c r="N478" i="36"/>
  <c r="O478" i="36"/>
  <c r="C223" i="45"/>
  <c r="Q478" i="36"/>
  <c r="R478" i="36"/>
  <c r="B478" i="36"/>
  <c r="B223" i="45"/>
  <c r="W223" i="45"/>
  <c r="I477" i="36"/>
  <c r="J477" i="36"/>
  <c r="K477" i="36"/>
  <c r="L477" i="36"/>
  <c r="M477" i="36"/>
  <c r="N477" i="36"/>
  <c r="O477" i="36"/>
  <c r="Q477" i="36"/>
  <c r="R477" i="36"/>
  <c r="B477" i="36"/>
  <c r="B222" i="45"/>
  <c r="V222" i="45" s="1"/>
  <c r="I222" i="45"/>
  <c r="H222" i="45"/>
  <c r="G222" i="45"/>
  <c r="C222" i="45"/>
  <c r="U222" i="45" s="1"/>
  <c r="I221" i="45"/>
  <c r="H221" i="45"/>
  <c r="G221" i="45"/>
  <c r="I476" i="36"/>
  <c r="J476" i="36"/>
  <c r="K476" i="36"/>
  <c r="L476" i="36"/>
  <c r="M476" i="36"/>
  <c r="N476" i="36"/>
  <c r="O476" i="36"/>
  <c r="C221" i="45"/>
  <c r="Q476" i="36"/>
  <c r="R476" i="36"/>
  <c r="B476" i="36"/>
  <c r="B221" i="45"/>
  <c r="W221" i="45"/>
  <c r="I475" i="36"/>
  <c r="J475" i="36"/>
  <c r="K475" i="36"/>
  <c r="L475" i="36"/>
  <c r="M475" i="36"/>
  <c r="N475" i="36"/>
  <c r="O475" i="36"/>
  <c r="Q475" i="36"/>
  <c r="R475" i="36"/>
  <c r="B475" i="36"/>
  <c r="B220" i="45"/>
  <c r="I220" i="45"/>
  <c r="H220" i="45"/>
  <c r="G220" i="45"/>
  <c r="C220" i="45"/>
  <c r="I219" i="45"/>
  <c r="H219" i="45"/>
  <c r="G219" i="45"/>
  <c r="I474" i="36"/>
  <c r="J474" i="36"/>
  <c r="K474" i="36"/>
  <c r="L474" i="36"/>
  <c r="M474" i="36"/>
  <c r="N474" i="36"/>
  <c r="O474" i="36"/>
  <c r="C219" i="45"/>
  <c r="Q474" i="36"/>
  <c r="R474" i="36"/>
  <c r="B474" i="36"/>
  <c r="B219" i="45"/>
  <c r="W219" i="45" s="1"/>
  <c r="I473" i="36"/>
  <c r="J473" i="36"/>
  <c r="K473" i="36"/>
  <c r="L473" i="36"/>
  <c r="M473" i="36"/>
  <c r="N473" i="36"/>
  <c r="O473" i="36"/>
  <c r="C218" i="45"/>
  <c r="Q473" i="36"/>
  <c r="R473" i="36"/>
  <c r="B473" i="36"/>
  <c r="B218" i="45"/>
  <c r="V218" i="45" s="1"/>
  <c r="I472" i="36"/>
  <c r="J472" i="36"/>
  <c r="K472" i="36"/>
  <c r="L472" i="36"/>
  <c r="M472" i="36"/>
  <c r="N472" i="36"/>
  <c r="O472" i="36"/>
  <c r="Q472" i="36"/>
  <c r="R472" i="36"/>
  <c r="B472" i="36"/>
  <c r="B217" i="45"/>
  <c r="W217" i="45"/>
  <c r="I217" i="45"/>
  <c r="H217" i="45"/>
  <c r="G217" i="45"/>
  <c r="C217" i="45"/>
  <c r="U217" i="45"/>
  <c r="V217" i="45"/>
  <c r="I471" i="36"/>
  <c r="J471" i="36"/>
  <c r="K471" i="36"/>
  <c r="L471" i="36"/>
  <c r="M471" i="36"/>
  <c r="N471" i="36"/>
  <c r="O471" i="36"/>
  <c r="R471" i="36"/>
  <c r="B471" i="36"/>
  <c r="B216" i="45"/>
  <c r="W216" i="45" s="1"/>
  <c r="C216" i="45"/>
  <c r="U216" i="45"/>
  <c r="I470" i="36"/>
  <c r="J470" i="36"/>
  <c r="K470" i="36"/>
  <c r="L470" i="36"/>
  <c r="M470" i="36"/>
  <c r="N470" i="36"/>
  <c r="O470" i="36"/>
  <c r="C215" i="45"/>
  <c r="U215" i="45" s="1"/>
  <c r="R470" i="36"/>
  <c r="B470" i="36"/>
  <c r="B215" i="45"/>
  <c r="I469" i="36"/>
  <c r="J469" i="36"/>
  <c r="K469" i="36"/>
  <c r="L469" i="36"/>
  <c r="M469" i="36"/>
  <c r="N469" i="36"/>
  <c r="O469" i="36"/>
  <c r="Q469" i="36"/>
  <c r="R469" i="36"/>
  <c r="B469" i="36"/>
  <c r="B214" i="45"/>
  <c r="W214" i="45"/>
  <c r="I214" i="45"/>
  <c r="H214" i="45"/>
  <c r="G214" i="45"/>
  <c r="C214" i="45"/>
  <c r="U214" i="45"/>
  <c r="V214" i="45"/>
  <c r="I468" i="36"/>
  <c r="J468" i="36"/>
  <c r="K468" i="36"/>
  <c r="L468" i="36"/>
  <c r="M468" i="36"/>
  <c r="N468" i="36"/>
  <c r="O468" i="36"/>
  <c r="Q468" i="36"/>
  <c r="R468" i="36"/>
  <c r="B468" i="36"/>
  <c r="B213" i="45"/>
  <c r="V213" i="45" s="1"/>
  <c r="I213" i="45"/>
  <c r="H213" i="45"/>
  <c r="G213" i="45"/>
  <c r="C213" i="45"/>
  <c r="U213" i="45" s="1"/>
  <c r="W213" i="45"/>
  <c r="I467" i="36"/>
  <c r="J467" i="36"/>
  <c r="K467" i="36"/>
  <c r="L467" i="36"/>
  <c r="M467" i="36"/>
  <c r="N467" i="36"/>
  <c r="O467" i="36"/>
  <c r="Q467" i="36"/>
  <c r="R467" i="36"/>
  <c r="B467" i="36"/>
  <c r="B212" i="45"/>
  <c r="W212" i="45"/>
  <c r="X212" i="45" s="1"/>
  <c r="V212" i="45"/>
  <c r="C212" i="45"/>
  <c r="I466" i="36"/>
  <c r="J466" i="36"/>
  <c r="K466" i="36"/>
  <c r="L466" i="36"/>
  <c r="M466" i="36"/>
  <c r="N466" i="36"/>
  <c r="O466" i="36"/>
  <c r="Q466" i="36"/>
  <c r="R466" i="36"/>
  <c r="B466" i="36"/>
  <c r="B211" i="45"/>
  <c r="I211" i="45"/>
  <c r="H211" i="45"/>
  <c r="G211" i="45"/>
  <c r="C211" i="45"/>
  <c r="I465" i="36"/>
  <c r="J465" i="36"/>
  <c r="K465" i="36"/>
  <c r="L465" i="36"/>
  <c r="M465" i="36"/>
  <c r="N465" i="36"/>
  <c r="O465" i="36"/>
  <c r="Q465" i="36"/>
  <c r="R465" i="36"/>
  <c r="B465" i="36"/>
  <c r="B210" i="45"/>
  <c r="W210" i="45" s="1"/>
  <c r="V210" i="45"/>
  <c r="I210" i="45"/>
  <c r="H210" i="45"/>
  <c r="G210" i="45"/>
  <c r="C210" i="45"/>
  <c r="U210" i="45"/>
  <c r="X210" i="45"/>
  <c r="I464" i="36"/>
  <c r="J464" i="36"/>
  <c r="K464" i="36"/>
  <c r="L464" i="36"/>
  <c r="M464" i="36"/>
  <c r="N464" i="36"/>
  <c r="O464" i="36"/>
  <c r="Q464" i="36"/>
  <c r="R464" i="36"/>
  <c r="B464" i="36"/>
  <c r="B209" i="45"/>
  <c r="C209" i="45"/>
  <c r="I463" i="36"/>
  <c r="J463" i="36"/>
  <c r="K463" i="36"/>
  <c r="L463" i="36"/>
  <c r="M463" i="36"/>
  <c r="N463" i="36"/>
  <c r="O463" i="36"/>
  <c r="Q463" i="36"/>
  <c r="R463" i="36"/>
  <c r="B463" i="36"/>
  <c r="B208" i="45"/>
  <c r="W208" i="45"/>
  <c r="I208" i="45"/>
  <c r="H208" i="45"/>
  <c r="G208" i="45"/>
  <c r="C208" i="45"/>
  <c r="U208" i="45"/>
  <c r="V208" i="45"/>
  <c r="I462" i="36"/>
  <c r="J462" i="36"/>
  <c r="K462" i="36"/>
  <c r="L462" i="36"/>
  <c r="M462" i="36"/>
  <c r="N462" i="36"/>
  <c r="O462" i="36"/>
  <c r="Q462" i="36"/>
  <c r="R462" i="36"/>
  <c r="B462" i="36"/>
  <c r="B207" i="45"/>
  <c r="V207" i="45" s="1"/>
  <c r="I207" i="45"/>
  <c r="H207" i="45"/>
  <c r="G207" i="45"/>
  <c r="C207" i="45"/>
  <c r="U207" i="45" s="1"/>
  <c r="W207" i="45"/>
  <c r="I461" i="36"/>
  <c r="J461" i="36"/>
  <c r="K461" i="36"/>
  <c r="L461" i="36"/>
  <c r="M461" i="36"/>
  <c r="N461" i="36"/>
  <c r="O461" i="36"/>
  <c r="Q461" i="36"/>
  <c r="R461" i="36"/>
  <c r="B461" i="36"/>
  <c r="B206" i="45"/>
  <c r="W206" i="45"/>
  <c r="V206" i="45"/>
  <c r="C206" i="45"/>
  <c r="I460" i="36"/>
  <c r="J460" i="36"/>
  <c r="K460" i="36"/>
  <c r="L460" i="36"/>
  <c r="M460" i="36"/>
  <c r="N460" i="36"/>
  <c r="O460" i="36"/>
  <c r="Q460" i="36"/>
  <c r="R460" i="36"/>
  <c r="B460" i="36"/>
  <c r="B205" i="45"/>
  <c r="I205" i="45"/>
  <c r="H205" i="45"/>
  <c r="G205" i="45"/>
  <c r="C205" i="45"/>
  <c r="U205" i="45" s="1"/>
  <c r="I459" i="36"/>
  <c r="J459" i="36"/>
  <c r="K459" i="36"/>
  <c r="L459" i="36"/>
  <c r="M459" i="36"/>
  <c r="N459" i="36"/>
  <c r="O459" i="36"/>
  <c r="Q459" i="36"/>
  <c r="R459" i="36"/>
  <c r="B459" i="36"/>
  <c r="B204" i="45"/>
  <c r="W204" i="45" s="1"/>
  <c r="V204" i="45"/>
  <c r="X204" i="45" s="1"/>
  <c r="I204" i="45"/>
  <c r="H204" i="45"/>
  <c r="G204" i="45"/>
  <c r="C204" i="45"/>
  <c r="U204" i="45"/>
  <c r="I458" i="36"/>
  <c r="J458" i="36"/>
  <c r="K458" i="36"/>
  <c r="L458" i="36"/>
  <c r="M458" i="36"/>
  <c r="N458" i="36"/>
  <c r="O458" i="36"/>
  <c r="Q458" i="36"/>
  <c r="R458" i="36"/>
  <c r="B458" i="36"/>
  <c r="B203" i="45"/>
  <c r="I203" i="45"/>
  <c r="H203" i="45"/>
  <c r="G203" i="45"/>
  <c r="C203" i="45"/>
  <c r="U203" i="45" s="1"/>
  <c r="I457" i="36"/>
  <c r="J457" i="36"/>
  <c r="K457" i="36"/>
  <c r="L457" i="36"/>
  <c r="M457" i="36"/>
  <c r="N457" i="36"/>
  <c r="O457" i="36"/>
  <c r="Q457" i="36"/>
  <c r="R457" i="36"/>
  <c r="B457" i="36"/>
  <c r="B202" i="45"/>
  <c r="V202" i="45"/>
  <c r="I202" i="45"/>
  <c r="H202" i="45"/>
  <c r="G202" i="45"/>
  <c r="C202" i="45"/>
  <c r="U202" i="45"/>
  <c r="W202" i="45"/>
  <c r="X202" i="45" s="1"/>
  <c r="I456" i="36"/>
  <c r="J456" i="36"/>
  <c r="K456" i="36"/>
  <c r="L456" i="36"/>
  <c r="M456" i="36"/>
  <c r="N456" i="36"/>
  <c r="O456" i="36"/>
  <c r="Q456" i="36"/>
  <c r="R456" i="36"/>
  <c r="B456" i="36"/>
  <c r="B201" i="45"/>
  <c r="V201" i="45" s="1"/>
  <c r="W201" i="45"/>
  <c r="I201" i="45"/>
  <c r="H201" i="45"/>
  <c r="G201" i="45"/>
  <c r="C201" i="45"/>
  <c r="I200" i="45"/>
  <c r="H200" i="45"/>
  <c r="G200" i="45"/>
  <c r="I455" i="36"/>
  <c r="J455" i="36"/>
  <c r="K455" i="36"/>
  <c r="L455" i="36"/>
  <c r="M455" i="36"/>
  <c r="N455" i="36"/>
  <c r="O455" i="36"/>
  <c r="C200" i="45"/>
  <c r="Q455" i="36"/>
  <c r="R455" i="36"/>
  <c r="B455" i="36"/>
  <c r="B200" i="45"/>
  <c r="W200" i="45" s="1"/>
  <c r="I454" i="36"/>
  <c r="J454" i="36"/>
  <c r="K454" i="36"/>
  <c r="L454" i="36"/>
  <c r="M454" i="36"/>
  <c r="N454" i="36"/>
  <c r="O454" i="36"/>
  <c r="C199" i="45"/>
  <c r="Q454" i="36"/>
  <c r="R454" i="36"/>
  <c r="B454" i="36"/>
  <c r="B199" i="45"/>
  <c r="V199" i="45" s="1"/>
  <c r="I453" i="36"/>
  <c r="J453" i="36"/>
  <c r="K453" i="36"/>
  <c r="L453" i="36"/>
  <c r="M453" i="36"/>
  <c r="N453" i="36"/>
  <c r="O453" i="36"/>
  <c r="Q453" i="36"/>
  <c r="R453" i="36"/>
  <c r="B453" i="36"/>
  <c r="B198" i="45"/>
  <c r="W198" i="45"/>
  <c r="I198" i="45"/>
  <c r="H198" i="45"/>
  <c r="G198" i="45"/>
  <c r="C198" i="45"/>
  <c r="U198" i="45" s="1"/>
  <c r="V198" i="45"/>
  <c r="I197" i="45"/>
  <c r="H197" i="45"/>
  <c r="G197" i="45"/>
  <c r="I452" i="36"/>
  <c r="J452" i="36"/>
  <c r="K452" i="36"/>
  <c r="L452" i="36"/>
  <c r="M452" i="36"/>
  <c r="N452" i="36"/>
  <c r="O452" i="36"/>
  <c r="C197" i="45"/>
  <c r="U197" i="45" s="1"/>
  <c r="Q452" i="36"/>
  <c r="R452" i="36"/>
  <c r="B452" i="36"/>
  <c r="B197" i="45"/>
  <c r="W197" i="45"/>
  <c r="I451" i="36"/>
  <c r="J451" i="36"/>
  <c r="K451" i="36"/>
  <c r="L451" i="36"/>
  <c r="M451" i="36"/>
  <c r="N451" i="36"/>
  <c r="O451" i="36"/>
  <c r="Q451" i="36"/>
  <c r="R451" i="36"/>
  <c r="B451" i="36"/>
  <c r="B196" i="45"/>
  <c r="W196" i="45" s="1"/>
  <c r="I196" i="45"/>
  <c r="H196" i="45"/>
  <c r="G196" i="45"/>
  <c r="C196" i="45"/>
  <c r="U196" i="45" s="1"/>
  <c r="V196" i="45"/>
  <c r="I450" i="36"/>
  <c r="J450" i="36"/>
  <c r="K450" i="36"/>
  <c r="L450" i="36"/>
  <c r="M450" i="36"/>
  <c r="N450" i="36"/>
  <c r="O450" i="36"/>
  <c r="Q450" i="36"/>
  <c r="R450" i="36"/>
  <c r="B450" i="36"/>
  <c r="B195" i="45"/>
  <c r="C195" i="45"/>
  <c r="U195" i="45"/>
  <c r="I194" i="45"/>
  <c r="H194" i="45"/>
  <c r="G194" i="45"/>
  <c r="I449" i="36"/>
  <c r="J449" i="36"/>
  <c r="K449" i="36"/>
  <c r="L449" i="36"/>
  <c r="M449" i="36"/>
  <c r="N449" i="36"/>
  <c r="O449" i="36"/>
  <c r="C194" i="45"/>
  <c r="Q449" i="36"/>
  <c r="R449" i="36"/>
  <c r="B449" i="36"/>
  <c r="B194" i="45"/>
  <c r="W194" i="45"/>
  <c r="I448" i="36"/>
  <c r="J448" i="36"/>
  <c r="K448" i="36"/>
  <c r="L448" i="36"/>
  <c r="M448" i="36"/>
  <c r="N448" i="36"/>
  <c r="O448" i="36"/>
  <c r="Q448" i="36"/>
  <c r="R448" i="36"/>
  <c r="B448" i="36"/>
  <c r="B193" i="45"/>
  <c r="I193" i="45"/>
  <c r="H193" i="45"/>
  <c r="G193" i="45"/>
  <c r="C193" i="45"/>
  <c r="U193" i="45"/>
  <c r="I192" i="45"/>
  <c r="H192" i="45"/>
  <c r="G192" i="45"/>
  <c r="I447" i="36"/>
  <c r="J447" i="36"/>
  <c r="K447" i="36"/>
  <c r="L447" i="36"/>
  <c r="M447" i="36"/>
  <c r="N447" i="36"/>
  <c r="O447" i="36"/>
  <c r="C192" i="45"/>
  <c r="Q447" i="36"/>
  <c r="R447" i="36"/>
  <c r="B447" i="36"/>
  <c r="B192" i="45"/>
  <c r="W192" i="45" s="1"/>
  <c r="I446" i="36"/>
  <c r="J446" i="36"/>
  <c r="K446" i="36"/>
  <c r="L446" i="36"/>
  <c r="M446" i="36"/>
  <c r="N446" i="36"/>
  <c r="O446" i="36"/>
  <c r="Q446" i="36"/>
  <c r="R446" i="36"/>
  <c r="B446" i="36"/>
  <c r="B191" i="45"/>
  <c r="W191" i="45"/>
  <c r="I191" i="45"/>
  <c r="H191" i="45"/>
  <c r="G191" i="45"/>
  <c r="C191" i="45"/>
  <c r="U191" i="45"/>
  <c r="V191" i="45"/>
  <c r="I445" i="36"/>
  <c r="J445" i="36"/>
  <c r="K445" i="36"/>
  <c r="L445" i="36"/>
  <c r="M445" i="36"/>
  <c r="N445" i="36"/>
  <c r="O445" i="36"/>
  <c r="Q445" i="36"/>
  <c r="R445" i="36"/>
  <c r="B445" i="36"/>
  <c r="B190" i="45"/>
  <c r="W190" i="45"/>
  <c r="X190" i="45" s="1"/>
  <c r="V190" i="45"/>
  <c r="C190" i="45"/>
  <c r="U190" i="45" s="1"/>
  <c r="I189" i="45"/>
  <c r="H189" i="45"/>
  <c r="G189" i="45"/>
  <c r="I444" i="36"/>
  <c r="J444" i="36"/>
  <c r="K444" i="36"/>
  <c r="L444" i="36"/>
  <c r="M444" i="36"/>
  <c r="N444" i="36"/>
  <c r="O444" i="36"/>
  <c r="C189" i="45"/>
  <c r="Q444" i="36"/>
  <c r="R444" i="36"/>
  <c r="B444" i="36"/>
  <c r="B189" i="45"/>
  <c r="W189" i="45" s="1"/>
  <c r="I443" i="36"/>
  <c r="J443" i="36"/>
  <c r="K443" i="36"/>
  <c r="L443" i="36"/>
  <c r="M443" i="36"/>
  <c r="N443" i="36"/>
  <c r="O443" i="36"/>
  <c r="Q443" i="36"/>
  <c r="R443" i="36"/>
  <c r="B443" i="36"/>
  <c r="B188" i="45"/>
  <c r="W188" i="45"/>
  <c r="I188" i="45"/>
  <c r="H188" i="45"/>
  <c r="G188" i="45"/>
  <c r="C188" i="45"/>
  <c r="U188" i="45" s="1"/>
  <c r="V188" i="45"/>
  <c r="I187" i="45"/>
  <c r="H187" i="45"/>
  <c r="G187" i="45"/>
  <c r="I442" i="36"/>
  <c r="J442" i="36"/>
  <c r="K442" i="36"/>
  <c r="L442" i="36"/>
  <c r="M442" i="36"/>
  <c r="N442" i="36"/>
  <c r="O442" i="36"/>
  <c r="C187" i="45"/>
  <c r="Q442" i="36"/>
  <c r="R442" i="36"/>
  <c r="B442" i="36"/>
  <c r="B187" i="45"/>
  <c r="W187" i="45"/>
  <c r="I441" i="36"/>
  <c r="J441" i="36"/>
  <c r="K441" i="36"/>
  <c r="L441" i="36"/>
  <c r="M441" i="36"/>
  <c r="N441" i="36"/>
  <c r="O441" i="36"/>
  <c r="Q441" i="36"/>
  <c r="R441" i="36"/>
  <c r="B441" i="36"/>
  <c r="B186" i="45"/>
  <c r="I186" i="45"/>
  <c r="H186" i="45"/>
  <c r="G186" i="45"/>
  <c r="C186" i="45"/>
  <c r="I440" i="36"/>
  <c r="J440" i="36"/>
  <c r="K440" i="36"/>
  <c r="L440" i="36"/>
  <c r="M440" i="36"/>
  <c r="N440" i="36"/>
  <c r="O440" i="36"/>
  <c r="Q440" i="36"/>
  <c r="R440" i="36"/>
  <c r="B440" i="36"/>
  <c r="B185" i="45"/>
  <c r="C185" i="45"/>
  <c r="I184" i="45"/>
  <c r="H184" i="45"/>
  <c r="G184" i="45"/>
  <c r="I439" i="36"/>
  <c r="J439" i="36"/>
  <c r="K439" i="36"/>
  <c r="L439" i="36"/>
  <c r="M439" i="36"/>
  <c r="N439" i="36"/>
  <c r="O439" i="36"/>
  <c r="C184" i="45"/>
  <c r="U184" i="45" s="1"/>
  <c r="Q439" i="36"/>
  <c r="R439" i="36"/>
  <c r="B439" i="36"/>
  <c r="B184" i="45"/>
  <c r="I438" i="36"/>
  <c r="J438" i="36"/>
  <c r="K438" i="36"/>
  <c r="L438" i="36"/>
  <c r="M438" i="36"/>
  <c r="N438" i="36"/>
  <c r="O438" i="36"/>
  <c r="Q438" i="36"/>
  <c r="R438" i="36"/>
  <c r="B438" i="36"/>
  <c r="B183" i="45"/>
  <c r="W183" i="45"/>
  <c r="I183" i="45"/>
  <c r="H183" i="45"/>
  <c r="G183" i="45"/>
  <c r="C183" i="45"/>
  <c r="U183" i="45"/>
  <c r="V183" i="45"/>
  <c r="I437" i="36"/>
  <c r="J437" i="36"/>
  <c r="K437" i="36"/>
  <c r="L437" i="36"/>
  <c r="M437" i="36"/>
  <c r="N437" i="36"/>
  <c r="O437" i="36"/>
  <c r="R437" i="36"/>
  <c r="B437" i="36"/>
  <c r="B182" i="45"/>
  <c r="C182" i="45"/>
  <c r="I181" i="45"/>
  <c r="H181" i="45"/>
  <c r="G181" i="45"/>
  <c r="I436" i="36"/>
  <c r="J436" i="36"/>
  <c r="K436" i="36"/>
  <c r="L436" i="36"/>
  <c r="M436" i="36"/>
  <c r="N436" i="36"/>
  <c r="O436" i="36"/>
  <c r="C181" i="45"/>
  <c r="Q436" i="36"/>
  <c r="R436" i="36"/>
  <c r="B436" i="36"/>
  <c r="B181" i="45"/>
  <c r="I435" i="36"/>
  <c r="J435" i="36"/>
  <c r="K435" i="36"/>
  <c r="L435" i="36"/>
  <c r="M435" i="36"/>
  <c r="N435" i="36"/>
  <c r="O435" i="36"/>
  <c r="Q435" i="36"/>
  <c r="R435" i="36"/>
  <c r="B435" i="36"/>
  <c r="B180" i="45"/>
  <c r="W180" i="45"/>
  <c r="I180" i="45"/>
  <c r="H180" i="45"/>
  <c r="G180" i="45"/>
  <c r="C180" i="45"/>
  <c r="U180" i="45"/>
  <c r="V180" i="45"/>
  <c r="I179" i="45"/>
  <c r="H179" i="45"/>
  <c r="G179" i="45"/>
  <c r="I434" i="36"/>
  <c r="J434" i="36"/>
  <c r="K434" i="36"/>
  <c r="L434" i="36"/>
  <c r="M434" i="36"/>
  <c r="N434" i="36"/>
  <c r="O434" i="36"/>
  <c r="C179" i="45"/>
  <c r="Q434" i="36"/>
  <c r="R434" i="36"/>
  <c r="B434" i="36"/>
  <c r="B179" i="45"/>
  <c r="I433" i="36"/>
  <c r="J433" i="36"/>
  <c r="K433" i="36"/>
  <c r="L433" i="36"/>
  <c r="M433" i="36"/>
  <c r="N433" i="36"/>
  <c r="O433" i="36"/>
  <c r="Q433" i="36"/>
  <c r="R433" i="36"/>
  <c r="B433" i="36"/>
  <c r="B178" i="45"/>
  <c r="V178" i="45" s="1"/>
  <c r="W178" i="45"/>
  <c r="I178" i="45"/>
  <c r="H178" i="45"/>
  <c r="G178" i="45"/>
  <c r="C178" i="45"/>
  <c r="U178" i="45" s="1"/>
  <c r="I432" i="36"/>
  <c r="J432" i="36"/>
  <c r="K432" i="36"/>
  <c r="L432" i="36"/>
  <c r="M432" i="36"/>
  <c r="N432" i="36"/>
  <c r="O432" i="36"/>
  <c r="Q432" i="36"/>
  <c r="R432" i="36"/>
  <c r="B432" i="36"/>
  <c r="B177" i="45"/>
  <c r="W177" i="45"/>
  <c r="V177" i="45"/>
  <c r="X177" i="45"/>
  <c r="C177" i="45"/>
  <c r="U177" i="45" s="1"/>
  <c r="I176" i="45"/>
  <c r="H176" i="45"/>
  <c r="G176" i="45"/>
  <c r="I431" i="36"/>
  <c r="J431" i="36"/>
  <c r="K431" i="36"/>
  <c r="L431" i="36"/>
  <c r="M431" i="36"/>
  <c r="N431" i="36"/>
  <c r="O431" i="36"/>
  <c r="C176" i="45"/>
  <c r="Q431" i="36"/>
  <c r="R431" i="36"/>
  <c r="B431" i="36"/>
  <c r="B176" i="45"/>
  <c r="W176" i="45" s="1"/>
  <c r="I430" i="36"/>
  <c r="J430" i="36"/>
  <c r="K430" i="36"/>
  <c r="L430" i="36"/>
  <c r="M430" i="36"/>
  <c r="N430" i="36"/>
  <c r="O430" i="36"/>
  <c r="Q430" i="36"/>
  <c r="R430" i="36"/>
  <c r="B430" i="36"/>
  <c r="B175" i="45"/>
  <c r="W175" i="45" s="1"/>
  <c r="I175" i="45"/>
  <c r="H175" i="45"/>
  <c r="G175" i="45"/>
  <c r="C175" i="45"/>
  <c r="U175" i="45" s="1"/>
  <c r="V175" i="45"/>
  <c r="I174" i="45"/>
  <c r="H174" i="45"/>
  <c r="G174" i="45"/>
  <c r="I429" i="36"/>
  <c r="J429" i="36"/>
  <c r="K429" i="36"/>
  <c r="L429" i="36"/>
  <c r="M429" i="36"/>
  <c r="N429" i="36"/>
  <c r="O429" i="36"/>
  <c r="C174" i="45"/>
  <c r="U174" i="45" s="1"/>
  <c r="Q429" i="36"/>
  <c r="R429" i="36"/>
  <c r="B429" i="36"/>
  <c r="B174" i="45"/>
  <c r="I428" i="36"/>
  <c r="J428" i="36"/>
  <c r="K428" i="36"/>
  <c r="L428" i="36"/>
  <c r="M428" i="36"/>
  <c r="N428" i="36"/>
  <c r="O428" i="36"/>
  <c r="Q428" i="36"/>
  <c r="R428" i="36"/>
  <c r="B428" i="36"/>
  <c r="B173" i="45"/>
  <c r="W173" i="45"/>
  <c r="I173" i="45"/>
  <c r="H173" i="45"/>
  <c r="G173" i="45"/>
  <c r="C173" i="45"/>
  <c r="U173" i="45"/>
  <c r="V173" i="45"/>
  <c r="I172" i="45"/>
  <c r="H172" i="45"/>
  <c r="G172" i="45"/>
  <c r="I427" i="36"/>
  <c r="J427" i="36"/>
  <c r="K427" i="36"/>
  <c r="L427" i="36"/>
  <c r="M427" i="36"/>
  <c r="N427" i="36"/>
  <c r="O427" i="36"/>
  <c r="C172" i="45"/>
  <c r="Q427" i="36"/>
  <c r="R427" i="36"/>
  <c r="B427" i="36"/>
  <c r="B172" i="45"/>
  <c r="I426" i="36"/>
  <c r="J426" i="36"/>
  <c r="K426" i="36"/>
  <c r="L426" i="36"/>
  <c r="M426" i="36"/>
  <c r="N426" i="36"/>
  <c r="O426" i="36"/>
  <c r="Q426" i="36"/>
  <c r="R426" i="36"/>
  <c r="B426" i="36"/>
  <c r="B171" i="45"/>
  <c r="I171" i="45"/>
  <c r="H171" i="45"/>
  <c r="G171" i="45"/>
  <c r="C171" i="45"/>
  <c r="U171" i="45"/>
  <c r="I170" i="45"/>
  <c r="H170" i="45"/>
  <c r="G170" i="45"/>
  <c r="I425" i="36"/>
  <c r="J425" i="36"/>
  <c r="K425" i="36"/>
  <c r="L425" i="36"/>
  <c r="M425" i="36"/>
  <c r="N425" i="36"/>
  <c r="O425" i="36"/>
  <c r="C170" i="45"/>
  <c r="Q425" i="36"/>
  <c r="R425" i="36"/>
  <c r="B425" i="36"/>
  <c r="B170" i="45"/>
  <c r="I169" i="45"/>
  <c r="H169" i="45"/>
  <c r="G169" i="45"/>
  <c r="I424" i="36"/>
  <c r="J424" i="36"/>
  <c r="K424" i="36"/>
  <c r="L424" i="36"/>
  <c r="M424" i="36"/>
  <c r="N424" i="36"/>
  <c r="O424" i="36"/>
  <c r="C169" i="45"/>
  <c r="Q424" i="36"/>
  <c r="R424" i="36"/>
  <c r="B424" i="36"/>
  <c r="B169" i="45"/>
  <c r="W169" i="45"/>
  <c r="I423" i="36"/>
  <c r="J423" i="36"/>
  <c r="K423" i="36"/>
  <c r="L423" i="36"/>
  <c r="M423" i="36"/>
  <c r="N423" i="36"/>
  <c r="O423" i="36"/>
  <c r="C168" i="45"/>
  <c r="Q423" i="36"/>
  <c r="R423" i="36"/>
  <c r="B423" i="36"/>
  <c r="B168" i="45"/>
  <c r="V168" i="45" s="1"/>
  <c r="I422" i="36"/>
  <c r="J422" i="36"/>
  <c r="K422" i="36"/>
  <c r="L422" i="36"/>
  <c r="M422" i="36"/>
  <c r="N422" i="36"/>
  <c r="O422" i="36"/>
  <c r="Q422" i="36"/>
  <c r="R422" i="36"/>
  <c r="B422" i="36"/>
  <c r="B167" i="45"/>
  <c r="I167" i="45"/>
  <c r="H167" i="45"/>
  <c r="G167" i="45"/>
  <c r="C167" i="45"/>
  <c r="I166" i="45"/>
  <c r="H166" i="45"/>
  <c r="G166" i="45"/>
  <c r="I421" i="36"/>
  <c r="J421" i="36"/>
  <c r="K421" i="36"/>
  <c r="L421" i="36"/>
  <c r="M421" i="36"/>
  <c r="N421" i="36"/>
  <c r="O421" i="36"/>
  <c r="C166" i="45"/>
  <c r="Q421" i="36"/>
  <c r="R421" i="36"/>
  <c r="B421" i="36"/>
  <c r="B166" i="45"/>
  <c r="W166" i="45"/>
  <c r="I420" i="36"/>
  <c r="J420" i="36"/>
  <c r="K420" i="36"/>
  <c r="L420" i="36"/>
  <c r="M420" i="36"/>
  <c r="N420" i="36"/>
  <c r="O420" i="36"/>
  <c r="Q420" i="36"/>
  <c r="R420" i="36"/>
  <c r="B420" i="36"/>
  <c r="B165" i="45"/>
  <c r="I165" i="45"/>
  <c r="H165" i="45"/>
  <c r="G165" i="45"/>
  <c r="C165" i="45"/>
  <c r="I164" i="45"/>
  <c r="H164" i="45"/>
  <c r="G164" i="45"/>
  <c r="I419" i="36"/>
  <c r="J419" i="36"/>
  <c r="K419" i="36"/>
  <c r="L419" i="36"/>
  <c r="M419" i="36"/>
  <c r="N419" i="36"/>
  <c r="O419" i="36"/>
  <c r="C164" i="45"/>
  <c r="Q419" i="36"/>
  <c r="R419" i="36"/>
  <c r="B419" i="36"/>
  <c r="B164" i="45"/>
  <c r="W164" i="45" s="1"/>
  <c r="I418" i="36"/>
  <c r="J418" i="36"/>
  <c r="K418" i="36"/>
  <c r="L418" i="36"/>
  <c r="M418" i="36"/>
  <c r="N418" i="36"/>
  <c r="O418" i="36"/>
  <c r="Q418" i="36"/>
  <c r="R418" i="36"/>
  <c r="B418" i="36"/>
  <c r="B163" i="45"/>
  <c r="W163" i="45" s="1"/>
  <c r="I163" i="45"/>
  <c r="H163" i="45"/>
  <c r="G163" i="45"/>
  <c r="C163" i="45"/>
  <c r="I417" i="36"/>
  <c r="J417" i="36"/>
  <c r="K417" i="36"/>
  <c r="L417" i="36"/>
  <c r="M417" i="36"/>
  <c r="N417" i="36"/>
  <c r="O417" i="36"/>
  <c r="C162" i="45"/>
  <c r="Q417" i="36"/>
  <c r="R417" i="36"/>
  <c r="B417" i="36"/>
  <c r="B162" i="45"/>
  <c r="I416" i="36"/>
  <c r="J416" i="36"/>
  <c r="K416" i="36"/>
  <c r="L416" i="36"/>
  <c r="M416" i="36"/>
  <c r="N416" i="36"/>
  <c r="O416" i="36"/>
  <c r="Q416" i="36"/>
  <c r="R416" i="36"/>
  <c r="B416" i="36"/>
  <c r="B161" i="45"/>
  <c r="W161" i="45"/>
  <c r="V161" i="45"/>
  <c r="I161" i="45"/>
  <c r="H161" i="45"/>
  <c r="G161" i="45"/>
  <c r="C161" i="45"/>
  <c r="U161" i="45" s="1"/>
  <c r="I415" i="36"/>
  <c r="J415" i="36"/>
  <c r="K415" i="36"/>
  <c r="L415" i="36"/>
  <c r="M415" i="36"/>
  <c r="N415" i="36"/>
  <c r="O415" i="36"/>
  <c r="R415" i="36"/>
  <c r="B415" i="36"/>
  <c r="B160" i="45"/>
  <c r="C160" i="45"/>
  <c r="U160" i="45"/>
  <c r="I159" i="45"/>
  <c r="H159" i="45"/>
  <c r="G159" i="45"/>
  <c r="I414" i="36"/>
  <c r="J414" i="36"/>
  <c r="K414" i="36"/>
  <c r="L414" i="36"/>
  <c r="M414" i="36"/>
  <c r="N414" i="36"/>
  <c r="O414" i="36"/>
  <c r="C159" i="45"/>
  <c r="Q414" i="36"/>
  <c r="R414" i="36"/>
  <c r="B414" i="36"/>
  <c r="B159" i="45"/>
  <c r="U159" i="45"/>
  <c r="W159" i="45"/>
  <c r="I413" i="36"/>
  <c r="J413" i="36"/>
  <c r="K413" i="36"/>
  <c r="L413" i="36"/>
  <c r="M413" i="36"/>
  <c r="N413" i="36"/>
  <c r="O413" i="36"/>
  <c r="Q413" i="36"/>
  <c r="R413" i="36"/>
  <c r="B413" i="36"/>
  <c r="B158" i="45"/>
  <c r="W158" i="45"/>
  <c r="V158" i="45"/>
  <c r="I158" i="45"/>
  <c r="H158" i="45"/>
  <c r="G158" i="45"/>
  <c r="C158" i="45"/>
  <c r="U158" i="45" s="1"/>
  <c r="I412" i="36"/>
  <c r="J412" i="36"/>
  <c r="K412" i="36"/>
  <c r="L412" i="36"/>
  <c r="M412" i="36"/>
  <c r="N412" i="36"/>
  <c r="O412" i="36"/>
  <c r="Q412" i="36"/>
  <c r="R412" i="36"/>
  <c r="B412" i="36"/>
  <c r="B157" i="45"/>
  <c r="V157" i="45"/>
  <c r="C157" i="45"/>
  <c r="U157" i="45"/>
  <c r="W157" i="45"/>
  <c r="X157" i="45" s="1"/>
  <c r="I156" i="45"/>
  <c r="H156" i="45"/>
  <c r="G156" i="45"/>
  <c r="I411" i="36"/>
  <c r="J411" i="36"/>
  <c r="K411" i="36"/>
  <c r="L411" i="36"/>
  <c r="M411" i="36"/>
  <c r="N411" i="36"/>
  <c r="O411" i="36"/>
  <c r="C156" i="45"/>
  <c r="Q411" i="36"/>
  <c r="R411" i="36"/>
  <c r="B411" i="36"/>
  <c r="B156" i="45"/>
  <c r="U156" i="45" s="1"/>
  <c r="I410" i="36"/>
  <c r="J410" i="36"/>
  <c r="K410" i="36"/>
  <c r="L410" i="36"/>
  <c r="M410" i="36"/>
  <c r="N410" i="36"/>
  <c r="O410" i="36"/>
  <c r="Q410" i="36"/>
  <c r="R410" i="36"/>
  <c r="B410" i="36"/>
  <c r="B155" i="45"/>
  <c r="W155" i="45" s="1"/>
  <c r="I155" i="45"/>
  <c r="H155" i="45"/>
  <c r="G155" i="45"/>
  <c r="C155" i="45"/>
  <c r="I154" i="45"/>
  <c r="H154" i="45"/>
  <c r="G154" i="45"/>
  <c r="I409" i="36"/>
  <c r="J409" i="36"/>
  <c r="K409" i="36"/>
  <c r="L409" i="36"/>
  <c r="M409" i="36"/>
  <c r="N409" i="36"/>
  <c r="O409" i="36"/>
  <c r="C154" i="45"/>
  <c r="Q409" i="36"/>
  <c r="R409" i="36"/>
  <c r="B409" i="36"/>
  <c r="B154" i="45"/>
  <c r="U154" i="45"/>
  <c r="W154" i="45"/>
  <c r="I408" i="36"/>
  <c r="J408" i="36"/>
  <c r="K408" i="36"/>
  <c r="L408" i="36"/>
  <c r="M408" i="36"/>
  <c r="N408" i="36"/>
  <c r="O408" i="36"/>
  <c r="Q408" i="36"/>
  <c r="R408" i="36"/>
  <c r="B408" i="36"/>
  <c r="B153" i="45"/>
  <c r="W153" i="45"/>
  <c r="I153" i="45"/>
  <c r="H153" i="45"/>
  <c r="G153" i="45"/>
  <c r="C153" i="45"/>
  <c r="U153" i="45"/>
  <c r="V153" i="45"/>
  <c r="I152" i="45"/>
  <c r="H152" i="45"/>
  <c r="G152" i="45"/>
  <c r="I407" i="36"/>
  <c r="J407" i="36"/>
  <c r="K407" i="36"/>
  <c r="L407" i="36"/>
  <c r="M407" i="36"/>
  <c r="N407" i="36"/>
  <c r="O407" i="36"/>
  <c r="C152" i="45"/>
  <c r="U152" i="45" s="1"/>
  <c r="Q407" i="36"/>
  <c r="R407" i="36"/>
  <c r="B407" i="36"/>
  <c r="B152" i="45"/>
  <c r="W152" i="45" s="1"/>
  <c r="I151" i="45"/>
  <c r="H151" i="45"/>
  <c r="G151" i="45"/>
  <c r="I406" i="36"/>
  <c r="J406" i="36"/>
  <c r="K406" i="36"/>
  <c r="L406" i="36"/>
  <c r="M406" i="36"/>
  <c r="N406" i="36"/>
  <c r="O406" i="36"/>
  <c r="C151" i="45"/>
  <c r="U151" i="45" s="1"/>
  <c r="Q406" i="36"/>
  <c r="R406" i="36"/>
  <c r="B406" i="36"/>
  <c r="B151" i="45"/>
  <c r="V151" i="45"/>
  <c r="I405" i="36"/>
  <c r="J405" i="36"/>
  <c r="K405" i="36"/>
  <c r="L405" i="36"/>
  <c r="M405" i="36"/>
  <c r="N405" i="36"/>
  <c r="O405" i="36"/>
  <c r="C150" i="45"/>
  <c r="Q405" i="36"/>
  <c r="R405" i="36"/>
  <c r="B405" i="36"/>
  <c r="B150" i="45"/>
  <c r="W150" i="45"/>
  <c r="I404" i="36"/>
  <c r="J404" i="36"/>
  <c r="K404" i="36"/>
  <c r="L404" i="36"/>
  <c r="M404" i="36"/>
  <c r="N404" i="36"/>
  <c r="O404" i="36"/>
  <c r="Q404" i="36"/>
  <c r="R404" i="36"/>
  <c r="B404" i="36"/>
  <c r="B149" i="45"/>
  <c r="V149" i="45" s="1"/>
  <c r="W149" i="45"/>
  <c r="I149" i="45"/>
  <c r="H149" i="45"/>
  <c r="G149" i="45"/>
  <c r="C149" i="45"/>
  <c r="U149" i="45" s="1"/>
  <c r="I148" i="45"/>
  <c r="H148" i="45"/>
  <c r="G148" i="45"/>
  <c r="I403" i="36"/>
  <c r="J403" i="36"/>
  <c r="K403" i="36"/>
  <c r="L403" i="36"/>
  <c r="M403" i="36"/>
  <c r="N403" i="36"/>
  <c r="O403" i="36"/>
  <c r="C148" i="45"/>
  <c r="U148" i="45" s="1"/>
  <c r="Q403" i="36"/>
  <c r="R403" i="36"/>
  <c r="B403" i="36"/>
  <c r="B148" i="45"/>
  <c r="V148" i="45" s="1"/>
  <c r="I402" i="36"/>
  <c r="J402" i="36"/>
  <c r="K402" i="36"/>
  <c r="L402" i="36"/>
  <c r="M402" i="36"/>
  <c r="N402" i="36"/>
  <c r="O402" i="36"/>
  <c r="Q402" i="36"/>
  <c r="R402" i="36"/>
  <c r="B402" i="36"/>
  <c r="B147" i="45"/>
  <c r="V147" i="45" s="1"/>
  <c r="I147" i="45"/>
  <c r="H147" i="45"/>
  <c r="G147" i="45"/>
  <c r="C147" i="45"/>
  <c r="I146" i="45"/>
  <c r="H146" i="45"/>
  <c r="G146" i="45"/>
  <c r="I401" i="36"/>
  <c r="J401" i="36"/>
  <c r="K401" i="36"/>
  <c r="L401" i="36"/>
  <c r="M401" i="36"/>
  <c r="N401" i="36"/>
  <c r="O401" i="36"/>
  <c r="C146" i="45"/>
  <c r="U146" i="45" s="1"/>
  <c r="Q401" i="36"/>
  <c r="R401" i="36"/>
  <c r="B401" i="36"/>
  <c r="B146" i="45"/>
  <c r="V146" i="45"/>
  <c r="I400" i="36"/>
  <c r="J400" i="36"/>
  <c r="K400" i="36"/>
  <c r="L400" i="36"/>
  <c r="M400" i="36"/>
  <c r="N400" i="36"/>
  <c r="O400" i="36"/>
  <c r="Q400" i="36"/>
  <c r="R400" i="36"/>
  <c r="B400" i="36"/>
  <c r="B145" i="45"/>
  <c r="W145" i="45"/>
  <c r="I145" i="45"/>
  <c r="H145" i="45"/>
  <c r="G145" i="45"/>
  <c r="C145" i="45"/>
  <c r="U145" i="45"/>
  <c r="V145" i="45"/>
  <c r="I144" i="45"/>
  <c r="H144" i="45"/>
  <c r="G144" i="45"/>
  <c r="I399" i="36"/>
  <c r="J399" i="36"/>
  <c r="K399" i="36"/>
  <c r="L399" i="36"/>
  <c r="M399" i="36"/>
  <c r="N399" i="36"/>
  <c r="O399" i="36"/>
  <c r="C144" i="45"/>
  <c r="Q399" i="36"/>
  <c r="R399" i="36"/>
  <c r="B399" i="36"/>
  <c r="B144" i="45"/>
  <c r="V144" i="45" s="1"/>
  <c r="I398" i="36"/>
  <c r="J398" i="36"/>
  <c r="K398" i="36"/>
  <c r="L398" i="36"/>
  <c r="M398" i="36"/>
  <c r="N398" i="36"/>
  <c r="O398" i="36"/>
  <c r="C143" i="45"/>
  <c r="Q398" i="36"/>
  <c r="R398" i="36"/>
  <c r="B398" i="36"/>
  <c r="B143" i="45"/>
  <c r="W143" i="45" s="1"/>
  <c r="I397" i="36"/>
  <c r="J397" i="36"/>
  <c r="K397" i="36"/>
  <c r="L397" i="36"/>
  <c r="M397" i="36"/>
  <c r="N397" i="36"/>
  <c r="O397" i="36"/>
  <c r="Q397" i="36"/>
  <c r="R397" i="36"/>
  <c r="B397" i="36"/>
  <c r="B142" i="45"/>
  <c r="W142" i="45"/>
  <c r="X142" i="45" s="1"/>
  <c r="V142" i="45"/>
  <c r="I142" i="45"/>
  <c r="H142" i="45"/>
  <c r="G142" i="45"/>
  <c r="C142" i="45"/>
  <c r="U142" i="45" s="1"/>
  <c r="I141" i="45"/>
  <c r="H141" i="45"/>
  <c r="G141" i="45"/>
  <c r="I396" i="36"/>
  <c r="J396" i="36"/>
  <c r="K396" i="36"/>
  <c r="L396" i="36"/>
  <c r="M396" i="36"/>
  <c r="N396" i="36"/>
  <c r="O396" i="36"/>
  <c r="C141" i="45"/>
  <c r="U141" i="45" s="1"/>
  <c r="Q396" i="36"/>
  <c r="R396" i="36"/>
  <c r="B396" i="36"/>
  <c r="B141" i="45"/>
  <c r="V141" i="45"/>
  <c r="I395" i="36"/>
  <c r="J395" i="36"/>
  <c r="K395" i="36"/>
  <c r="L395" i="36"/>
  <c r="M395" i="36"/>
  <c r="N395" i="36"/>
  <c r="O395" i="36"/>
  <c r="Q395" i="36"/>
  <c r="R395" i="36"/>
  <c r="B395" i="36"/>
  <c r="B140" i="45"/>
  <c r="I140" i="45"/>
  <c r="H140" i="45"/>
  <c r="G140" i="45"/>
  <c r="C140" i="45"/>
  <c r="I394" i="36"/>
  <c r="J394" i="36"/>
  <c r="K394" i="36"/>
  <c r="L394" i="36"/>
  <c r="M394" i="36"/>
  <c r="N394" i="36"/>
  <c r="O394" i="36"/>
  <c r="Q394" i="36"/>
  <c r="R394" i="36"/>
  <c r="B394" i="36"/>
  <c r="B139" i="45"/>
  <c r="C139" i="45"/>
  <c r="I138" i="45"/>
  <c r="H138" i="45"/>
  <c r="G138" i="45"/>
  <c r="I393" i="36"/>
  <c r="J393" i="36"/>
  <c r="K393" i="36"/>
  <c r="L393" i="36"/>
  <c r="M393" i="36"/>
  <c r="N393" i="36"/>
  <c r="O393" i="36"/>
  <c r="C138" i="45"/>
  <c r="U138" i="45" s="1"/>
  <c r="Q393" i="36"/>
  <c r="R393" i="36"/>
  <c r="B393" i="36"/>
  <c r="B138" i="45"/>
  <c r="V138" i="45" s="1"/>
  <c r="I392" i="36"/>
  <c r="J392" i="36"/>
  <c r="K392" i="36"/>
  <c r="L392" i="36"/>
  <c r="M392" i="36"/>
  <c r="N392" i="36"/>
  <c r="O392" i="36"/>
  <c r="Q392" i="36"/>
  <c r="R392" i="36"/>
  <c r="B392" i="36"/>
  <c r="B137" i="45"/>
  <c r="I137" i="45"/>
  <c r="H137" i="45"/>
  <c r="G137" i="45"/>
  <c r="C137" i="45"/>
  <c r="I136" i="45"/>
  <c r="H136" i="45"/>
  <c r="G136" i="45"/>
  <c r="I391" i="36"/>
  <c r="J391" i="36"/>
  <c r="K391" i="36"/>
  <c r="L391" i="36"/>
  <c r="M391" i="36"/>
  <c r="N391" i="36"/>
  <c r="O391" i="36"/>
  <c r="C136" i="45"/>
  <c r="U136" i="45" s="1"/>
  <c r="Q391" i="36"/>
  <c r="R391" i="36"/>
  <c r="B391" i="36"/>
  <c r="B136" i="45"/>
  <c r="V136" i="45"/>
  <c r="I390" i="36"/>
  <c r="J390" i="36"/>
  <c r="K390" i="36"/>
  <c r="L390" i="36"/>
  <c r="M390" i="36"/>
  <c r="N390" i="36"/>
  <c r="O390" i="36"/>
  <c r="Q390" i="36"/>
  <c r="R390" i="36"/>
  <c r="B390" i="36"/>
  <c r="B135" i="45"/>
  <c r="I135" i="45"/>
  <c r="H135" i="45"/>
  <c r="G135" i="45"/>
  <c r="C135" i="45"/>
  <c r="U135" i="45"/>
  <c r="I134" i="45"/>
  <c r="H134" i="45"/>
  <c r="G134" i="45"/>
  <c r="I389" i="36"/>
  <c r="J389" i="36"/>
  <c r="K389" i="36"/>
  <c r="L389" i="36"/>
  <c r="M389" i="36"/>
  <c r="N389" i="36"/>
  <c r="O389" i="36"/>
  <c r="C134" i="45"/>
  <c r="Q389" i="36"/>
  <c r="R389" i="36"/>
  <c r="B389" i="36"/>
  <c r="B134" i="45"/>
  <c r="V134" i="45" s="1"/>
  <c r="U134" i="45"/>
  <c r="I388" i="36"/>
  <c r="J388" i="36"/>
  <c r="K388" i="36"/>
  <c r="L388" i="36"/>
  <c r="M388" i="36"/>
  <c r="N388" i="36"/>
  <c r="O388" i="36"/>
  <c r="Q388" i="36"/>
  <c r="R388" i="36"/>
  <c r="B388" i="36"/>
  <c r="B133" i="45"/>
  <c r="V133" i="45" s="1"/>
  <c r="I133" i="45"/>
  <c r="H133" i="45"/>
  <c r="G133" i="45"/>
  <c r="C133" i="45"/>
  <c r="U133" i="45"/>
  <c r="I132" i="45"/>
  <c r="H132" i="45"/>
  <c r="G132" i="45"/>
  <c r="I387" i="36"/>
  <c r="J387" i="36"/>
  <c r="K387" i="36"/>
  <c r="L387" i="36"/>
  <c r="M387" i="36"/>
  <c r="N387" i="36"/>
  <c r="O387" i="36"/>
  <c r="C132" i="45"/>
  <c r="Q387" i="36"/>
  <c r="R387" i="36"/>
  <c r="B387" i="36"/>
  <c r="B132" i="45"/>
  <c r="V132" i="45"/>
  <c r="I386" i="36"/>
  <c r="J386" i="36"/>
  <c r="K386" i="36"/>
  <c r="L386" i="36"/>
  <c r="M386" i="36"/>
  <c r="N386" i="36"/>
  <c r="O386" i="36"/>
  <c r="C131" i="45"/>
  <c r="Q386" i="36"/>
  <c r="R386" i="36"/>
  <c r="B386" i="36"/>
  <c r="B131" i="45"/>
  <c r="W131" i="45" s="1"/>
  <c r="I385" i="36"/>
  <c r="J385" i="36"/>
  <c r="K385" i="36"/>
  <c r="L385" i="36"/>
  <c r="M385" i="36"/>
  <c r="N385" i="36"/>
  <c r="O385" i="36"/>
  <c r="Q385" i="36"/>
  <c r="R385" i="36"/>
  <c r="B385" i="36"/>
  <c r="B130" i="45"/>
  <c r="W130" i="45"/>
  <c r="I130" i="45"/>
  <c r="H130" i="45"/>
  <c r="G130" i="45"/>
  <c r="C130" i="45"/>
  <c r="I129" i="45"/>
  <c r="H129" i="45"/>
  <c r="G129" i="45"/>
  <c r="I384" i="36"/>
  <c r="J384" i="36"/>
  <c r="K384" i="36"/>
  <c r="L384" i="36"/>
  <c r="M384" i="36"/>
  <c r="N384" i="36"/>
  <c r="O384" i="36"/>
  <c r="C129" i="45"/>
  <c r="U129" i="45" s="1"/>
  <c r="Q384" i="36"/>
  <c r="R384" i="36"/>
  <c r="B384" i="36"/>
  <c r="B129" i="45"/>
  <c r="V129" i="45"/>
  <c r="I383" i="36"/>
  <c r="J383" i="36"/>
  <c r="K383" i="36"/>
  <c r="L383" i="36"/>
  <c r="M383" i="36"/>
  <c r="N383" i="36"/>
  <c r="O383" i="36"/>
  <c r="Q383" i="36"/>
  <c r="R383" i="36"/>
  <c r="B383" i="36"/>
  <c r="B128" i="45"/>
  <c r="W128" i="45" s="1"/>
  <c r="I128" i="45"/>
  <c r="H128" i="45"/>
  <c r="G128" i="45"/>
  <c r="C128" i="45"/>
  <c r="V128" i="45"/>
  <c r="I127" i="45"/>
  <c r="H127" i="45"/>
  <c r="G127" i="45"/>
  <c r="I382" i="36"/>
  <c r="J382" i="36"/>
  <c r="K382" i="36"/>
  <c r="L382" i="36"/>
  <c r="M382" i="36"/>
  <c r="N382" i="36"/>
  <c r="O382" i="36"/>
  <c r="C127" i="45"/>
  <c r="Q382" i="36"/>
  <c r="R382" i="36"/>
  <c r="B382" i="36"/>
  <c r="B127" i="45"/>
  <c r="U127" i="45"/>
  <c r="V127" i="45"/>
  <c r="I381" i="36"/>
  <c r="J381" i="36"/>
  <c r="K381" i="36"/>
  <c r="L381" i="36"/>
  <c r="M381" i="36"/>
  <c r="N381" i="36"/>
  <c r="O381" i="36"/>
  <c r="Q381" i="36"/>
  <c r="R381" i="36"/>
  <c r="B381" i="36"/>
  <c r="B126" i="45"/>
  <c r="W126" i="45"/>
  <c r="X126" i="45" s="1"/>
  <c r="V126" i="45"/>
  <c r="I126" i="45"/>
  <c r="H126" i="45"/>
  <c r="G126" i="45"/>
  <c r="C126" i="45"/>
  <c r="U126" i="45" s="1"/>
  <c r="I125" i="45"/>
  <c r="H125" i="45"/>
  <c r="G125" i="45"/>
  <c r="I380" i="36"/>
  <c r="J380" i="36"/>
  <c r="K380" i="36"/>
  <c r="L380" i="36"/>
  <c r="M380" i="36"/>
  <c r="N380" i="36"/>
  <c r="O380" i="36"/>
  <c r="C125" i="45"/>
  <c r="Q380" i="36"/>
  <c r="R380" i="36"/>
  <c r="B380" i="36"/>
  <c r="B125" i="45"/>
  <c r="V125" i="45"/>
  <c r="I379" i="36"/>
  <c r="J379" i="36"/>
  <c r="K379" i="36"/>
  <c r="L379" i="36"/>
  <c r="M379" i="36"/>
  <c r="N379" i="36"/>
  <c r="O379" i="36"/>
  <c r="C124" i="45"/>
  <c r="U124" i="45" s="1"/>
  <c r="Q379" i="36"/>
  <c r="R379" i="36"/>
  <c r="B379" i="36"/>
  <c r="B124" i="45"/>
  <c r="W124" i="45" s="1"/>
  <c r="I378" i="36"/>
  <c r="J378" i="36"/>
  <c r="K378" i="36"/>
  <c r="L378" i="36"/>
  <c r="M378" i="36"/>
  <c r="N378" i="36"/>
  <c r="O378" i="36"/>
  <c r="Q378" i="36"/>
  <c r="R378" i="36"/>
  <c r="B378" i="36"/>
  <c r="B123" i="45"/>
  <c r="W123" i="45"/>
  <c r="I123" i="45"/>
  <c r="H123" i="45"/>
  <c r="G123" i="45"/>
  <c r="C123" i="45"/>
  <c r="I122" i="45"/>
  <c r="H122" i="45"/>
  <c r="G122" i="45"/>
  <c r="I377" i="36"/>
  <c r="J377" i="36"/>
  <c r="K377" i="36"/>
  <c r="L377" i="36"/>
  <c r="M377" i="36"/>
  <c r="N377" i="36"/>
  <c r="O377" i="36"/>
  <c r="C122" i="45"/>
  <c r="Q377" i="36"/>
  <c r="R377" i="36"/>
  <c r="B377" i="36"/>
  <c r="B122" i="45"/>
  <c r="U122" i="45" s="1"/>
  <c r="V122" i="45"/>
  <c r="I376" i="36"/>
  <c r="J376" i="36"/>
  <c r="K376" i="36"/>
  <c r="L376" i="36"/>
  <c r="M376" i="36"/>
  <c r="N376" i="36"/>
  <c r="O376" i="36"/>
  <c r="Q376" i="36"/>
  <c r="R376" i="36"/>
  <c r="B376" i="36"/>
  <c r="B121" i="45"/>
  <c r="I121" i="45"/>
  <c r="H121" i="45"/>
  <c r="G121" i="45"/>
  <c r="C121" i="45"/>
  <c r="U121" i="45"/>
  <c r="I120" i="45"/>
  <c r="H120" i="45"/>
  <c r="G120" i="45"/>
  <c r="I375" i="36"/>
  <c r="J375" i="36"/>
  <c r="K375" i="36"/>
  <c r="L375" i="36"/>
  <c r="M375" i="36"/>
  <c r="N375" i="36"/>
  <c r="O375" i="36"/>
  <c r="C120" i="45"/>
  <c r="Q375" i="36"/>
  <c r="R375" i="36"/>
  <c r="B375" i="36"/>
  <c r="B120" i="45"/>
  <c r="U120" i="45"/>
  <c r="V120" i="45"/>
  <c r="I374" i="36"/>
  <c r="J374" i="36"/>
  <c r="K374" i="36"/>
  <c r="L374" i="36"/>
  <c r="M374" i="36"/>
  <c r="N374" i="36"/>
  <c r="O374" i="36"/>
  <c r="C119" i="45"/>
  <c r="Q374" i="36"/>
  <c r="R374" i="36"/>
  <c r="B374" i="36"/>
  <c r="B119" i="45"/>
  <c r="W119" i="45"/>
  <c r="I373" i="36"/>
  <c r="J373" i="36"/>
  <c r="K373" i="36"/>
  <c r="L373" i="36"/>
  <c r="M373" i="36"/>
  <c r="N373" i="36"/>
  <c r="O373" i="36"/>
  <c r="Q373" i="36"/>
  <c r="R373" i="36"/>
  <c r="B373" i="36"/>
  <c r="B118" i="45"/>
  <c r="I118" i="45"/>
  <c r="H118" i="45"/>
  <c r="G118" i="45"/>
  <c r="C118" i="45"/>
  <c r="I372" i="36"/>
  <c r="J372" i="36"/>
  <c r="K372" i="36"/>
  <c r="L372" i="36"/>
  <c r="M372" i="36"/>
  <c r="N372" i="36"/>
  <c r="O372" i="36"/>
  <c r="R372" i="36"/>
  <c r="B372" i="36"/>
  <c r="B117" i="45"/>
  <c r="V117" i="45"/>
  <c r="C117" i="45"/>
  <c r="U117" i="45"/>
  <c r="W117" i="45"/>
  <c r="I371" i="36"/>
  <c r="J371" i="36"/>
  <c r="K371" i="36"/>
  <c r="L371" i="36"/>
  <c r="M371" i="36"/>
  <c r="N371" i="36"/>
  <c r="O371" i="36"/>
  <c r="C116" i="45"/>
  <c r="R371" i="36"/>
  <c r="B371" i="36"/>
  <c r="B116" i="45"/>
  <c r="U116" i="45"/>
  <c r="V116" i="45"/>
  <c r="I370" i="36"/>
  <c r="J370" i="36"/>
  <c r="K370" i="36"/>
  <c r="L370" i="36"/>
  <c r="M370" i="36"/>
  <c r="N370" i="36"/>
  <c r="O370" i="36"/>
  <c r="Q370" i="36"/>
  <c r="R370" i="36"/>
  <c r="B370" i="36"/>
  <c r="B115" i="45"/>
  <c r="W115" i="45"/>
  <c r="V115" i="45"/>
  <c r="I115" i="45"/>
  <c r="H115" i="45"/>
  <c r="G115" i="45"/>
  <c r="C115" i="45"/>
  <c r="U115" i="45" s="1"/>
  <c r="I114" i="45"/>
  <c r="H114" i="45"/>
  <c r="G114" i="45"/>
  <c r="I369" i="36"/>
  <c r="J369" i="36"/>
  <c r="K369" i="36"/>
  <c r="L369" i="36"/>
  <c r="M369" i="36"/>
  <c r="N369" i="36"/>
  <c r="O369" i="36"/>
  <c r="C114" i="45"/>
  <c r="Q369" i="36"/>
  <c r="R369" i="36"/>
  <c r="B369" i="36"/>
  <c r="B114" i="45"/>
  <c r="U114" i="45" s="1"/>
  <c r="I368" i="36"/>
  <c r="J368" i="36"/>
  <c r="K368" i="36"/>
  <c r="L368" i="36"/>
  <c r="M368" i="36"/>
  <c r="N368" i="36"/>
  <c r="O368" i="36"/>
  <c r="C113" i="45"/>
  <c r="Q368" i="36"/>
  <c r="R368" i="36"/>
  <c r="B368" i="36"/>
  <c r="B113" i="45"/>
  <c r="W113" i="45"/>
  <c r="I367" i="36"/>
  <c r="J367" i="36"/>
  <c r="K367" i="36"/>
  <c r="L367" i="36"/>
  <c r="M367" i="36"/>
  <c r="N367" i="36"/>
  <c r="O367" i="36"/>
  <c r="Q367" i="36"/>
  <c r="R367" i="36"/>
  <c r="B367" i="36"/>
  <c r="B112" i="45"/>
  <c r="V112" i="45" s="1"/>
  <c r="I112" i="45"/>
  <c r="H112" i="45"/>
  <c r="G112" i="45"/>
  <c r="C112" i="45"/>
  <c r="U112" i="45" s="1"/>
  <c r="I366" i="36"/>
  <c r="J366" i="36"/>
  <c r="K366" i="36"/>
  <c r="L366" i="36"/>
  <c r="M366" i="36"/>
  <c r="N366" i="36"/>
  <c r="O366" i="36"/>
  <c r="R366" i="36"/>
  <c r="B366" i="36"/>
  <c r="B111" i="45"/>
  <c r="C111" i="45"/>
  <c r="I110" i="45"/>
  <c r="H110" i="45"/>
  <c r="G110" i="45"/>
  <c r="I365" i="36"/>
  <c r="J365" i="36"/>
  <c r="K365" i="36"/>
  <c r="L365" i="36"/>
  <c r="M365" i="36"/>
  <c r="N365" i="36"/>
  <c r="O365" i="36"/>
  <c r="C110" i="45"/>
  <c r="U110" i="45" s="1"/>
  <c r="Q365" i="36"/>
  <c r="R365" i="36"/>
  <c r="B365" i="36"/>
  <c r="B110" i="45"/>
  <c r="V110" i="45" s="1"/>
  <c r="I364" i="36"/>
  <c r="J364" i="36"/>
  <c r="K364" i="36"/>
  <c r="L364" i="36"/>
  <c r="M364" i="36"/>
  <c r="N364" i="36"/>
  <c r="O364" i="36"/>
  <c r="Q364" i="36"/>
  <c r="R364" i="36"/>
  <c r="B364" i="36"/>
  <c r="B109" i="45"/>
  <c r="W109" i="45"/>
  <c r="X109" i="45" s="1"/>
  <c r="I109" i="45"/>
  <c r="H109" i="45"/>
  <c r="G109" i="45"/>
  <c r="C109" i="45"/>
  <c r="U109" i="45"/>
  <c r="V109" i="45"/>
  <c r="I363" i="36"/>
  <c r="J363" i="36"/>
  <c r="K363" i="36"/>
  <c r="L363" i="36"/>
  <c r="M363" i="36"/>
  <c r="N363" i="36"/>
  <c r="O363" i="36"/>
  <c r="Q363" i="36"/>
  <c r="R363" i="36"/>
  <c r="B363" i="36"/>
  <c r="B108" i="45"/>
  <c r="V108" i="45"/>
  <c r="X108" i="45" s="1"/>
  <c r="C108" i="45"/>
  <c r="U108" i="45" s="1"/>
  <c r="W108" i="45"/>
  <c r="I107" i="45"/>
  <c r="H107" i="45"/>
  <c r="G107" i="45"/>
  <c r="I362" i="36"/>
  <c r="J362" i="36"/>
  <c r="K362" i="36"/>
  <c r="L362" i="36"/>
  <c r="M362" i="36"/>
  <c r="N362" i="36"/>
  <c r="O362" i="36"/>
  <c r="C107" i="45"/>
  <c r="Q362" i="36"/>
  <c r="R362" i="36"/>
  <c r="B362" i="36"/>
  <c r="B107" i="45"/>
  <c r="V107" i="45" s="1"/>
  <c r="U107" i="45"/>
  <c r="I361" i="36"/>
  <c r="J361" i="36"/>
  <c r="K361" i="36"/>
  <c r="L361" i="36"/>
  <c r="M361" i="36"/>
  <c r="N361" i="36"/>
  <c r="O361" i="36"/>
  <c r="Q361" i="36"/>
  <c r="R361" i="36"/>
  <c r="B361" i="36"/>
  <c r="B106" i="45"/>
  <c r="V106" i="45" s="1"/>
  <c r="W106" i="45"/>
  <c r="I106" i="45"/>
  <c r="H106" i="45"/>
  <c r="G106" i="45"/>
  <c r="C106" i="45"/>
  <c r="I105" i="45"/>
  <c r="H105" i="45"/>
  <c r="G105" i="45"/>
  <c r="I360" i="36"/>
  <c r="J360" i="36"/>
  <c r="K360" i="36"/>
  <c r="L360" i="36"/>
  <c r="M360" i="36"/>
  <c r="N360" i="36"/>
  <c r="O360" i="36"/>
  <c r="C105" i="45"/>
  <c r="Q360" i="36"/>
  <c r="R360" i="36"/>
  <c r="B360" i="36"/>
  <c r="B105" i="45"/>
  <c r="U105" i="45" s="1"/>
  <c r="V105" i="45"/>
  <c r="I359" i="36"/>
  <c r="J359" i="36"/>
  <c r="K359" i="36"/>
  <c r="L359" i="36"/>
  <c r="M359" i="36"/>
  <c r="N359" i="36"/>
  <c r="O359" i="36"/>
  <c r="Q359" i="36"/>
  <c r="R359" i="36"/>
  <c r="B359" i="36"/>
  <c r="B104" i="45"/>
  <c r="V104" i="45" s="1"/>
  <c r="I104" i="45"/>
  <c r="H104" i="45"/>
  <c r="G104" i="45"/>
  <c r="C104" i="45"/>
  <c r="I358" i="36"/>
  <c r="J358" i="36"/>
  <c r="K358" i="36"/>
  <c r="L358" i="36"/>
  <c r="M358" i="36"/>
  <c r="N358" i="36"/>
  <c r="O358" i="36"/>
  <c r="Q358" i="36"/>
  <c r="R358" i="36"/>
  <c r="B358" i="36"/>
  <c r="B103" i="45"/>
  <c r="C103" i="45"/>
  <c r="I102" i="45"/>
  <c r="H102" i="45"/>
  <c r="G102" i="45"/>
  <c r="I357" i="36"/>
  <c r="J357" i="36"/>
  <c r="K357" i="36"/>
  <c r="L357" i="36"/>
  <c r="M357" i="36"/>
  <c r="N357" i="36"/>
  <c r="O357" i="36"/>
  <c r="C102" i="45"/>
  <c r="U102" i="45" s="1"/>
  <c r="Q357" i="36"/>
  <c r="R357" i="36"/>
  <c r="B357" i="36"/>
  <c r="B102" i="45"/>
  <c r="V102" i="45"/>
  <c r="I356" i="36"/>
  <c r="J356" i="36"/>
  <c r="K356" i="36"/>
  <c r="L356" i="36"/>
  <c r="M356" i="36"/>
  <c r="N356" i="36"/>
  <c r="O356" i="36"/>
  <c r="Q356" i="36"/>
  <c r="R356" i="36"/>
  <c r="B356" i="36"/>
  <c r="B101" i="45"/>
  <c r="W101" i="45"/>
  <c r="X101" i="45" s="1"/>
  <c r="V101" i="45"/>
  <c r="I101" i="45"/>
  <c r="H101" i="45"/>
  <c r="G101" i="45"/>
  <c r="C101" i="45"/>
  <c r="U101" i="45"/>
  <c r="I100" i="45"/>
  <c r="H100" i="45"/>
  <c r="G100" i="45"/>
  <c r="I355" i="36"/>
  <c r="J355" i="36"/>
  <c r="K355" i="36"/>
  <c r="L355" i="36"/>
  <c r="M355" i="36"/>
  <c r="N355" i="36"/>
  <c r="O355" i="36"/>
  <c r="C100" i="45"/>
  <c r="Q355" i="36"/>
  <c r="R355" i="36"/>
  <c r="B355" i="36"/>
  <c r="B100" i="45"/>
  <c r="U100" i="45"/>
  <c r="V100" i="45"/>
  <c r="I354" i="36"/>
  <c r="J354" i="36"/>
  <c r="K354" i="36"/>
  <c r="L354" i="36"/>
  <c r="M354" i="36"/>
  <c r="N354" i="36"/>
  <c r="O354" i="36"/>
  <c r="Q354" i="36"/>
  <c r="R354" i="36"/>
  <c r="B354" i="36"/>
  <c r="B99" i="45"/>
  <c r="V99" i="45" s="1"/>
  <c r="W99" i="45"/>
  <c r="I99" i="45"/>
  <c r="H99" i="45"/>
  <c r="G99" i="45"/>
  <c r="C99" i="45"/>
  <c r="U99" i="45" s="1"/>
  <c r="I353" i="36"/>
  <c r="J353" i="36"/>
  <c r="K353" i="36"/>
  <c r="L353" i="36"/>
  <c r="M353" i="36"/>
  <c r="N353" i="36"/>
  <c r="O353" i="36"/>
  <c r="Q353" i="36"/>
  <c r="R353" i="36"/>
  <c r="B353" i="36"/>
  <c r="B98" i="45"/>
  <c r="V98" i="45"/>
  <c r="C98" i="45"/>
  <c r="U98" i="45"/>
  <c r="W98" i="45"/>
  <c r="X98" i="45" s="1"/>
  <c r="I97" i="45"/>
  <c r="H97" i="45"/>
  <c r="G97" i="45"/>
  <c r="I352" i="36"/>
  <c r="J352" i="36"/>
  <c r="K352" i="36"/>
  <c r="L352" i="36"/>
  <c r="M352" i="36"/>
  <c r="N352" i="36"/>
  <c r="O352" i="36"/>
  <c r="C97" i="45"/>
  <c r="Q352" i="36"/>
  <c r="R352" i="36"/>
  <c r="B352" i="36"/>
  <c r="B97" i="45"/>
  <c r="U97" i="45" s="1"/>
  <c r="I351" i="36"/>
  <c r="J351" i="36"/>
  <c r="K351" i="36"/>
  <c r="L351" i="36"/>
  <c r="M351" i="36"/>
  <c r="N351" i="36"/>
  <c r="O351" i="36"/>
  <c r="Q351" i="36"/>
  <c r="R351" i="36"/>
  <c r="B351" i="36"/>
  <c r="B96" i="45"/>
  <c r="V96" i="45" s="1"/>
  <c r="W96" i="45"/>
  <c r="I96" i="45"/>
  <c r="H96" i="45"/>
  <c r="G96" i="45"/>
  <c r="C96" i="45"/>
  <c r="U96" i="45" s="1"/>
  <c r="I350" i="36"/>
  <c r="J350" i="36"/>
  <c r="K350" i="36"/>
  <c r="L350" i="36"/>
  <c r="M350" i="36"/>
  <c r="N350" i="36"/>
  <c r="O350" i="36"/>
  <c r="Q350" i="36"/>
  <c r="R350" i="36"/>
  <c r="B350" i="36"/>
  <c r="B95" i="45"/>
  <c r="V95" i="45" s="1"/>
  <c r="C95" i="45"/>
  <c r="U95" i="45" s="1"/>
  <c r="I94" i="45"/>
  <c r="H94" i="45"/>
  <c r="G94" i="45"/>
  <c r="I349" i="36"/>
  <c r="J349" i="36"/>
  <c r="K349" i="36"/>
  <c r="L349" i="36"/>
  <c r="M349" i="36"/>
  <c r="N349" i="36"/>
  <c r="O349" i="36"/>
  <c r="C94" i="45"/>
  <c r="Q349" i="36"/>
  <c r="R349" i="36"/>
  <c r="B349" i="36"/>
  <c r="B94" i="45"/>
  <c r="W94" i="45" s="1"/>
  <c r="I348" i="36"/>
  <c r="J348" i="36"/>
  <c r="K348" i="36"/>
  <c r="L348" i="36"/>
  <c r="M348" i="36"/>
  <c r="N348" i="36"/>
  <c r="O348" i="36"/>
  <c r="C93" i="45"/>
  <c r="R348" i="36"/>
  <c r="B348" i="36"/>
  <c r="B93" i="45"/>
  <c r="V93" i="45" s="1"/>
  <c r="I347" i="36"/>
  <c r="J347" i="36"/>
  <c r="K347" i="36"/>
  <c r="L347" i="36"/>
  <c r="M347" i="36"/>
  <c r="N347" i="36"/>
  <c r="O347" i="36"/>
  <c r="Q347" i="36"/>
  <c r="R347" i="36"/>
  <c r="B347" i="36"/>
  <c r="B92" i="45"/>
  <c r="I92" i="45"/>
  <c r="H92" i="45"/>
  <c r="G92" i="45"/>
  <c r="C92" i="45"/>
  <c r="U92" i="45" s="1"/>
  <c r="I91" i="45"/>
  <c r="H91" i="45"/>
  <c r="G91" i="45"/>
  <c r="I346" i="36"/>
  <c r="J346" i="36"/>
  <c r="K346" i="36"/>
  <c r="L346" i="36"/>
  <c r="M346" i="36"/>
  <c r="N346" i="36"/>
  <c r="O346" i="36"/>
  <c r="C91" i="45"/>
  <c r="U91" i="45" s="1"/>
  <c r="Q346" i="36"/>
  <c r="R346" i="36"/>
  <c r="B346" i="36"/>
  <c r="B91" i="45"/>
  <c r="W91" i="45"/>
  <c r="I345" i="36"/>
  <c r="J345" i="36"/>
  <c r="K345" i="36"/>
  <c r="L345" i="36"/>
  <c r="M345" i="36"/>
  <c r="N345" i="36"/>
  <c r="O345" i="36"/>
  <c r="Q345" i="36"/>
  <c r="R345" i="36"/>
  <c r="B345" i="36"/>
  <c r="B90" i="45"/>
  <c r="W90" i="45" s="1"/>
  <c r="I90" i="45"/>
  <c r="H90" i="45"/>
  <c r="G90" i="45"/>
  <c r="C90" i="45"/>
  <c r="I344" i="36"/>
  <c r="J344" i="36"/>
  <c r="K344" i="36"/>
  <c r="L344" i="36"/>
  <c r="M344" i="36"/>
  <c r="N344" i="36"/>
  <c r="O344" i="36"/>
  <c r="Q344" i="36"/>
  <c r="R344" i="36"/>
  <c r="B344" i="36"/>
  <c r="B89" i="45"/>
  <c r="V89" i="45" s="1"/>
  <c r="C89" i="45"/>
  <c r="I88" i="45"/>
  <c r="H88" i="45"/>
  <c r="G88" i="45"/>
  <c r="I343" i="36"/>
  <c r="J343" i="36"/>
  <c r="K343" i="36"/>
  <c r="L343" i="36"/>
  <c r="M343" i="36"/>
  <c r="N343" i="36"/>
  <c r="O343" i="36"/>
  <c r="C88" i="45"/>
  <c r="U88" i="45" s="1"/>
  <c r="Q343" i="36"/>
  <c r="R343" i="36"/>
  <c r="B343" i="36"/>
  <c r="B88" i="45"/>
  <c r="W88" i="45" s="1"/>
  <c r="I342" i="36"/>
  <c r="J342" i="36"/>
  <c r="K342" i="36"/>
  <c r="L342" i="36"/>
  <c r="M342" i="36"/>
  <c r="N342" i="36"/>
  <c r="O342" i="36"/>
  <c r="Q342" i="36"/>
  <c r="R342" i="36"/>
  <c r="B342" i="36"/>
  <c r="B87" i="45"/>
  <c r="V87" i="45" s="1"/>
  <c r="I87" i="45"/>
  <c r="H87" i="45"/>
  <c r="G87" i="45"/>
  <c r="C87" i="45"/>
  <c r="I86" i="45"/>
  <c r="H86" i="45"/>
  <c r="G86" i="45"/>
  <c r="I341" i="36"/>
  <c r="J341" i="36"/>
  <c r="K341" i="36"/>
  <c r="L341" i="36"/>
  <c r="M341" i="36"/>
  <c r="N341" i="36"/>
  <c r="O341" i="36"/>
  <c r="C86" i="45"/>
  <c r="Q341" i="36"/>
  <c r="R341" i="36"/>
  <c r="B341" i="36"/>
  <c r="B86" i="45"/>
  <c r="I340" i="36"/>
  <c r="J340" i="36"/>
  <c r="K340" i="36"/>
  <c r="L340" i="36"/>
  <c r="M340" i="36"/>
  <c r="N340" i="36"/>
  <c r="O340" i="36"/>
  <c r="Q340" i="36"/>
  <c r="R340" i="36"/>
  <c r="B340" i="36"/>
  <c r="B85" i="45"/>
  <c r="W85" i="45"/>
  <c r="I85" i="45"/>
  <c r="H85" i="45"/>
  <c r="G85" i="45"/>
  <c r="C85" i="45"/>
  <c r="U85" i="45"/>
  <c r="V85" i="45"/>
  <c r="I339" i="36"/>
  <c r="J339" i="36"/>
  <c r="K339" i="36"/>
  <c r="L339" i="36"/>
  <c r="M339" i="36"/>
  <c r="N339" i="36"/>
  <c r="O339" i="36"/>
  <c r="Q339" i="36"/>
  <c r="R339" i="36"/>
  <c r="B339" i="36"/>
  <c r="B84" i="45"/>
  <c r="C84" i="45"/>
  <c r="U84" i="45" s="1"/>
  <c r="I83" i="45"/>
  <c r="H83" i="45"/>
  <c r="G83" i="45"/>
  <c r="I338" i="36"/>
  <c r="J338" i="36"/>
  <c r="K338" i="36"/>
  <c r="L338" i="36"/>
  <c r="M338" i="36"/>
  <c r="N338" i="36"/>
  <c r="O338" i="36"/>
  <c r="C83" i="45"/>
  <c r="U83" i="45" s="1"/>
  <c r="Q338" i="36"/>
  <c r="R338" i="36"/>
  <c r="B338" i="36"/>
  <c r="B83" i="45"/>
  <c r="W83" i="45" s="1"/>
  <c r="I337" i="36"/>
  <c r="J337" i="36"/>
  <c r="K337" i="36"/>
  <c r="L337" i="36"/>
  <c r="M337" i="36"/>
  <c r="N337" i="36"/>
  <c r="O337" i="36"/>
  <c r="Q337" i="36"/>
  <c r="R337" i="36"/>
  <c r="B337" i="36"/>
  <c r="B82" i="45"/>
  <c r="W82" i="45"/>
  <c r="I82" i="45"/>
  <c r="H82" i="45"/>
  <c r="G82" i="45"/>
  <c r="C82" i="45"/>
  <c r="U82" i="45"/>
  <c r="V82" i="45"/>
  <c r="I81" i="45"/>
  <c r="H81" i="45"/>
  <c r="G81" i="45"/>
  <c r="I336" i="36"/>
  <c r="J336" i="36"/>
  <c r="K336" i="36"/>
  <c r="L336" i="36"/>
  <c r="M336" i="36"/>
  <c r="N336" i="36"/>
  <c r="O336" i="36"/>
  <c r="C81" i="45"/>
  <c r="Q336" i="36"/>
  <c r="R336" i="36"/>
  <c r="B336" i="36"/>
  <c r="B81" i="45"/>
  <c r="W81" i="45" s="1"/>
  <c r="U81" i="45"/>
  <c r="I335" i="36"/>
  <c r="J335" i="36"/>
  <c r="K335" i="36"/>
  <c r="L335" i="36"/>
  <c r="M335" i="36"/>
  <c r="N335" i="36"/>
  <c r="O335" i="36"/>
  <c r="C80" i="45"/>
  <c r="Q335" i="36"/>
  <c r="R335" i="36"/>
  <c r="B335" i="36"/>
  <c r="B80" i="45"/>
  <c r="W80" i="45" s="1"/>
  <c r="I334" i="36"/>
  <c r="J334" i="36"/>
  <c r="K334" i="36"/>
  <c r="L334" i="36"/>
  <c r="M334" i="36"/>
  <c r="N334" i="36"/>
  <c r="O334" i="36"/>
  <c r="Q334" i="36"/>
  <c r="R334" i="36"/>
  <c r="B334" i="36"/>
  <c r="B79" i="45"/>
  <c r="W79" i="45"/>
  <c r="X79" i="45" s="1"/>
  <c r="V79" i="45"/>
  <c r="I79" i="45"/>
  <c r="H79" i="45"/>
  <c r="G79" i="45"/>
  <c r="C79" i="45"/>
  <c r="U79" i="45" s="1"/>
  <c r="I333" i="36"/>
  <c r="J333" i="36"/>
  <c r="K333" i="36"/>
  <c r="L333" i="36"/>
  <c r="M333" i="36"/>
  <c r="N333" i="36"/>
  <c r="O333" i="36"/>
  <c r="R333" i="36"/>
  <c r="B333" i="36"/>
  <c r="B78" i="45"/>
  <c r="V78" i="45" s="1"/>
  <c r="C78" i="45"/>
  <c r="I77" i="45"/>
  <c r="H77" i="45"/>
  <c r="G77" i="45"/>
  <c r="I332" i="36"/>
  <c r="J332" i="36"/>
  <c r="K332" i="36"/>
  <c r="L332" i="36"/>
  <c r="M332" i="36"/>
  <c r="N332" i="36"/>
  <c r="O332" i="36"/>
  <c r="C77" i="45"/>
  <c r="Q332" i="36"/>
  <c r="R332" i="36"/>
  <c r="B332" i="36"/>
  <c r="B77" i="45"/>
  <c r="W77" i="45" s="1"/>
  <c r="U77" i="45"/>
  <c r="I331" i="36"/>
  <c r="J331" i="36"/>
  <c r="K331" i="36"/>
  <c r="L331" i="36"/>
  <c r="M331" i="36"/>
  <c r="N331" i="36"/>
  <c r="O331" i="36"/>
  <c r="Q331" i="36"/>
  <c r="R331" i="36"/>
  <c r="B331" i="36"/>
  <c r="B76" i="45"/>
  <c r="V76" i="45" s="1"/>
  <c r="W76" i="45"/>
  <c r="X76" i="45" s="1"/>
  <c r="I76" i="45"/>
  <c r="H76" i="45"/>
  <c r="G76" i="45"/>
  <c r="C76" i="45"/>
  <c r="I75" i="45"/>
  <c r="H75" i="45"/>
  <c r="G75" i="45"/>
  <c r="I330" i="36"/>
  <c r="J330" i="36"/>
  <c r="K330" i="36"/>
  <c r="L330" i="36"/>
  <c r="M330" i="36"/>
  <c r="N330" i="36"/>
  <c r="O330" i="36"/>
  <c r="C75" i="45"/>
  <c r="U75" i="45" s="1"/>
  <c r="Q330" i="36"/>
  <c r="R330" i="36"/>
  <c r="B330" i="36"/>
  <c r="B75" i="45"/>
  <c r="W75" i="45"/>
  <c r="I329" i="36"/>
  <c r="J329" i="36"/>
  <c r="K329" i="36"/>
  <c r="L329" i="36"/>
  <c r="M329" i="36"/>
  <c r="N329" i="36"/>
  <c r="O329" i="36"/>
  <c r="C74" i="45"/>
  <c r="U74" i="45" s="1"/>
  <c r="Q329" i="36"/>
  <c r="R329" i="36"/>
  <c r="B329" i="36"/>
  <c r="B74" i="45"/>
  <c r="V74" i="45"/>
  <c r="I328" i="36"/>
  <c r="J328" i="36"/>
  <c r="K328" i="36"/>
  <c r="L328" i="36"/>
  <c r="M328" i="36"/>
  <c r="N328" i="36"/>
  <c r="O328" i="36"/>
  <c r="Q328" i="36"/>
  <c r="R328" i="36"/>
  <c r="B328" i="36"/>
  <c r="B73" i="45"/>
  <c r="I73" i="45"/>
  <c r="H73" i="45"/>
  <c r="G73" i="45"/>
  <c r="C73" i="45"/>
  <c r="U73" i="45"/>
  <c r="I327" i="36"/>
  <c r="J327" i="36"/>
  <c r="K327" i="36"/>
  <c r="L327" i="36"/>
  <c r="M327" i="36"/>
  <c r="N327" i="36"/>
  <c r="O327" i="36"/>
  <c r="R327" i="36"/>
  <c r="B327" i="36"/>
  <c r="B72" i="45"/>
  <c r="V72" i="45"/>
  <c r="C72" i="45"/>
  <c r="U72" i="45" s="1"/>
  <c r="W72" i="45"/>
  <c r="X72" i="45" s="1"/>
  <c r="I71" i="45"/>
  <c r="H71" i="45"/>
  <c r="G71" i="45"/>
  <c r="I326" i="36"/>
  <c r="J326" i="36"/>
  <c r="K326" i="36"/>
  <c r="L326" i="36"/>
  <c r="M326" i="36"/>
  <c r="N326" i="36"/>
  <c r="O326" i="36"/>
  <c r="C71" i="45"/>
  <c r="Q326" i="36"/>
  <c r="R326" i="36"/>
  <c r="B326" i="36"/>
  <c r="B71" i="45"/>
  <c r="V71" i="45" s="1"/>
  <c r="I325" i="36"/>
  <c r="J325" i="36"/>
  <c r="K325" i="36"/>
  <c r="L325" i="36"/>
  <c r="M325" i="36"/>
  <c r="N325" i="36"/>
  <c r="O325" i="36"/>
  <c r="Q325" i="36"/>
  <c r="R325" i="36"/>
  <c r="B325" i="36"/>
  <c r="B70" i="45"/>
  <c r="V70" i="45" s="1"/>
  <c r="W70" i="45"/>
  <c r="X70" i="45" s="1"/>
  <c r="I70" i="45"/>
  <c r="H70" i="45"/>
  <c r="G70" i="45"/>
  <c r="C70" i="45"/>
  <c r="U70" i="45" s="1"/>
  <c r="I69" i="45"/>
  <c r="H69" i="45"/>
  <c r="G69" i="45"/>
  <c r="I324" i="36"/>
  <c r="J324" i="36"/>
  <c r="K324" i="36"/>
  <c r="L324" i="36"/>
  <c r="M324" i="36"/>
  <c r="N324" i="36"/>
  <c r="O324" i="36"/>
  <c r="C69" i="45"/>
  <c r="Q324" i="36"/>
  <c r="R324" i="36"/>
  <c r="B324" i="36"/>
  <c r="B69" i="45"/>
  <c r="V69" i="45" s="1"/>
  <c r="I323" i="36"/>
  <c r="J323" i="36"/>
  <c r="K323" i="36"/>
  <c r="L323" i="36"/>
  <c r="M323" i="36"/>
  <c r="N323" i="36"/>
  <c r="O323" i="36"/>
  <c r="C68" i="45"/>
  <c r="Q323" i="36"/>
  <c r="R323" i="36"/>
  <c r="B323" i="36"/>
  <c r="B68" i="45"/>
  <c r="V68" i="45"/>
  <c r="I322" i="36"/>
  <c r="J322" i="36"/>
  <c r="K322" i="36"/>
  <c r="L322" i="36"/>
  <c r="M322" i="36"/>
  <c r="N322" i="36"/>
  <c r="O322" i="36"/>
  <c r="Q322" i="36"/>
  <c r="R322" i="36"/>
  <c r="B322" i="36"/>
  <c r="B67" i="45"/>
  <c r="V67" i="45" s="1"/>
  <c r="W67" i="45"/>
  <c r="X67" i="45"/>
  <c r="I67" i="45"/>
  <c r="H67" i="45"/>
  <c r="G67" i="45"/>
  <c r="C67" i="45"/>
  <c r="U67" i="45"/>
  <c r="I66" i="45"/>
  <c r="H66" i="45"/>
  <c r="G66" i="45"/>
  <c r="I321" i="36"/>
  <c r="J321" i="36"/>
  <c r="K321" i="36"/>
  <c r="L321" i="36"/>
  <c r="M321" i="36"/>
  <c r="N321" i="36"/>
  <c r="O321" i="36"/>
  <c r="C66" i="45"/>
  <c r="Q321" i="36"/>
  <c r="R321" i="36"/>
  <c r="B321" i="36"/>
  <c r="B66" i="45"/>
  <c r="U66" i="45"/>
  <c r="W66" i="45"/>
  <c r="I320" i="36"/>
  <c r="J320" i="36"/>
  <c r="K320" i="36"/>
  <c r="L320" i="36"/>
  <c r="M320" i="36"/>
  <c r="N320" i="36"/>
  <c r="O320" i="36"/>
  <c r="Q320" i="36"/>
  <c r="R320" i="36"/>
  <c r="B320" i="36"/>
  <c r="B65" i="45"/>
  <c r="W65" i="45"/>
  <c r="I65" i="45"/>
  <c r="H65" i="45"/>
  <c r="G65" i="45"/>
  <c r="C65" i="45"/>
  <c r="V65" i="45"/>
  <c r="X65" i="45" s="1"/>
  <c r="I64" i="45"/>
  <c r="H64" i="45"/>
  <c r="G64" i="45"/>
  <c r="I319" i="36"/>
  <c r="J319" i="36"/>
  <c r="K319" i="36"/>
  <c r="L319" i="36"/>
  <c r="M319" i="36"/>
  <c r="N319" i="36"/>
  <c r="O319" i="36"/>
  <c r="C64" i="45"/>
  <c r="Q319" i="36"/>
  <c r="R319" i="36"/>
  <c r="B319" i="36"/>
  <c r="B64" i="45"/>
  <c r="U64" i="45"/>
  <c r="W64" i="45"/>
  <c r="I318" i="36"/>
  <c r="J318" i="36"/>
  <c r="K318" i="36"/>
  <c r="L318" i="36"/>
  <c r="M318" i="36"/>
  <c r="N318" i="36"/>
  <c r="O318" i="36"/>
  <c r="C63" i="45"/>
  <c r="Q318" i="36"/>
  <c r="R318" i="36"/>
  <c r="B318" i="36"/>
  <c r="B63" i="45"/>
  <c r="V63" i="45" s="1"/>
  <c r="I317" i="36"/>
  <c r="J317" i="36"/>
  <c r="K317" i="36"/>
  <c r="L317" i="36"/>
  <c r="M317" i="36"/>
  <c r="N317" i="36"/>
  <c r="O317" i="36"/>
  <c r="Q317" i="36"/>
  <c r="R317" i="36"/>
  <c r="B317" i="36"/>
  <c r="B62" i="45"/>
  <c r="U62" i="45" s="1"/>
  <c r="I62" i="45"/>
  <c r="H62" i="45"/>
  <c r="G62" i="45"/>
  <c r="C62" i="45"/>
  <c r="I61" i="45"/>
  <c r="H61" i="45"/>
  <c r="G61" i="45"/>
  <c r="I316" i="36"/>
  <c r="J316" i="36"/>
  <c r="K316" i="36"/>
  <c r="L316" i="36"/>
  <c r="M316" i="36"/>
  <c r="N316" i="36"/>
  <c r="O316" i="36"/>
  <c r="C61" i="45"/>
  <c r="Q316" i="36"/>
  <c r="R316" i="36"/>
  <c r="B316" i="36"/>
  <c r="B61" i="45"/>
  <c r="U61" i="45"/>
  <c r="W61" i="45"/>
  <c r="X61" i="45" s="1"/>
  <c r="I315" i="36"/>
  <c r="J315" i="36"/>
  <c r="K315" i="36"/>
  <c r="L315" i="36"/>
  <c r="M315" i="36"/>
  <c r="N315" i="36"/>
  <c r="O315" i="36"/>
  <c r="Q315" i="36"/>
  <c r="R315" i="36"/>
  <c r="B315" i="36"/>
  <c r="B60" i="45"/>
  <c r="V60" i="45" s="1"/>
  <c r="W60" i="45"/>
  <c r="X60" i="45" s="1"/>
  <c r="I60" i="45"/>
  <c r="H60" i="45"/>
  <c r="G60" i="45"/>
  <c r="C60" i="45"/>
  <c r="U60" i="45" s="1"/>
  <c r="I59" i="45"/>
  <c r="H59" i="45"/>
  <c r="G59" i="45"/>
  <c r="I314" i="36"/>
  <c r="J314" i="36"/>
  <c r="K314" i="36"/>
  <c r="L314" i="36"/>
  <c r="M314" i="36"/>
  <c r="N314" i="36"/>
  <c r="O314" i="36"/>
  <c r="C59" i="45"/>
  <c r="Q314" i="36"/>
  <c r="R314" i="36"/>
  <c r="B314" i="36"/>
  <c r="B59" i="45"/>
  <c r="U59" i="45" s="1"/>
  <c r="I313" i="36"/>
  <c r="J313" i="36"/>
  <c r="K313" i="36"/>
  <c r="L313" i="36"/>
  <c r="M313" i="36"/>
  <c r="N313" i="36"/>
  <c r="O313" i="36"/>
  <c r="Q313" i="36"/>
  <c r="R313" i="36"/>
  <c r="B313" i="36"/>
  <c r="B58" i="45"/>
  <c r="V58" i="45" s="1"/>
  <c r="I58" i="45"/>
  <c r="H58" i="45"/>
  <c r="G58" i="45"/>
  <c r="C58" i="45"/>
  <c r="I57" i="45"/>
  <c r="H57" i="45"/>
  <c r="G57" i="45"/>
  <c r="I312" i="36"/>
  <c r="J312" i="36"/>
  <c r="K312" i="36"/>
  <c r="L312" i="36"/>
  <c r="M312" i="36"/>
  <c r="N312" i="36"/>
  <c r="O312" i="36"/>
  <c r="C57" i="45"/>
  <c r="U57" i="45" s="1"/>
  <c r="Q312" i="36"/>
  <c r="R312" i="36"/>
  <c r="B312" i="36"/>
  <c r="B57" i="45"/>
  <c r="W57" i="45"/>
  <c r="I311" i="36"/>
  <c r="J311" i="36"/>
  <c r="K311" i="36"/>
  <c r="L311" i="36"/>
  <c r="M311" i="36"/>
  <c r="N311" i="36"/>
  <c r="O311" i="36"/>
  <c r="C56" i="45"/>
  <c r="U56" i="45" s="1"/>
  <c r="Q311" i="36"/>
  <c r="R311" i="36"/>
  <c r="B311" i="36"/>
  <c r="B56" i="45"/>
  <c r="V56" i="45" s="1"/>
  <c r="I310" i="36"/>
  <c r="J310" i="36"/>
  <c r="K310" i="36"/>
  <c r="L310" i="36"/>
  <c r="M310" i="36"/>
  <c r="N310" i="36"/>
  <c r="O310" i="36"/>
  <c r="Q310" i="36"/>
  <c r="R310" i="36"/>
  <c r="B310" i="36"/>
  <c r="B55" i="45"/>
  <c r="W55" i="45" s="1"/>
  <c r="I55" i="45"/>
  <c r="H55" i="45"/>
  <c r="G55" i="45"/>
  <c r="C55" i="45"/>
  <c r="I54" i="45"/>
  <c r="H54" i="45"/>
  <c r="G54" i="45"/>
  <c r="I309" i="36"/>
  <c r="J309" i="36"/>
  <c r="K309" i="36"/>
  <c r="L309" i="36"/>
  <c r="M309" i="36"/>
  <c r="N309" i="36"/>
  <c r="O309" i="36"/>
  <c r="C54" i="45"/>
  <c r="Q309" i="36"/>
  <c r="R309" i="36"/>
  <c r="B309" i="36"/>
  <c r="B54" i="45"/>
  <c r="U54" i="45"/>
  <c r="W54" i="45"/>
  <c r="I308" i="36"/>
  <c r="J308" i="36"/>
  <c r="K308" i="36"/>
  <c r="L308" i="36"/>
  <c r="M308" i="36"/>
  <c r="N308" i="36"/>
  <c r="O308" i="36"/>
  <c r="Q308" i="36"/>
  <c r="R308" i="36"/>
  <c r="B308" i="36"/>
  <c r="B53" i="45"/>
  <c r="W53" i="45"/>
  <c r="V53" i="45"/>
  <c r="I53" i="45"/>
  <c r="H53" i="45"/>
  <c r="G53" i="45"/>
  <c r="C53" i="45"/>
  <c r="U53" i="45" s="1"/>
  <c r="I307" i="36"/>
  <c r="J307" i="36"/>
  <c r="K307" i="36"/>
  <c r="L307" i="36"/>
  <c r="M307" i="36"/>
  <c r="N307" i="36"/>
  <c r="O307" i="36"/>
  <c r="Q307" i="36"/>
  <c r="R307" i="36"/>
  <c r="B307" i="36"/>
  <c r="B52" i="45"/>
  <c r="V52" i="45"/>
  <c r="C52" i="45"/>
  <c r="U52" i="45" s="1"/>
  <c r="W52" i="45"/>
  <c r="I51" i="45"/>
  <c r="H51" i="45"/>
  <c r="G51" i="45"/>
  <c r="I306" i="36"/>
  <c r="J306" i="36"/>
  <c r="K306" i="36"/>
  <c r="L306" i="36"/>
  <c r="M306" i="36"/>
  <c r="N306" i="36"/>
  <c r="O306" i="36"/>
  <c r="C51" i="45"/>
  <c r="U51" i="45" s="1"/>
  <c r="Q306" i="36"/>
  <c r="R306" i="36"/>
  <c r="B306" i="36"/>
  <c r="B51" i="45"/>
  <c r="W51" i="45" s="1"/>
  <c r="X51" i="45" s="1"/>
  <c r="I305" i="36"/>
  <c r="J305" i="36"/>
  <c r="K305" i="36"/>
  <c r="L305" i="36"/>
  <c r="M305" i="36"/>
  <c r="N305" i="36"/>
  <c r="O305" i="36"/>
  <c r="R305" i="36"/>
  <c r="B305" i="36"/>
  <c r="B50" i="45"/>
  <c r="W50" i="45"/>
  <c r="X50" i="45" s="1"/>
  <c r="C50" i="45"/>
  <c r="E50" i="45"/>
  <c r="V50" i="45"/>
  <c r="I304" i="36"/>
  <c r="J304" i="36"/>
  <c r="K304" i="36"/>
  <c r="L304" i="36"/>
  <c r="M304" i="36"/>
  <c r="N304" i="36"/>
  <c r="O304" i="36"/>
  <c r="R304" i="36"/>
  <c r="B304" i="36"/>
  <c r="B49" i="45"/>
  <c r="V49" i="45"/>
  <c r="F49" i="45"/>
  <c r="C49" i="45"/>
  <c r="U49" i="45" s="1"/>
  <c r="W49" i="45"/>
  <c r="X49" i="45"/>
  <c r="I303" i="36"/>
  <c r="J303" i="36"/>
  <c r="K303" i="36"/>
  <c r="L303" i="36"/>
  <c r="M303" i="36"/>
  <c r="N303" i="36"/>
  <c r="O303" i="36"/>
  <c r="C48" i="45"/>
  <c r="Q303" i="36"/>
  <c r="R303" i="36"/>
  <c r="B303" i="36"/>
  <c r="B48" i="45"/>
  <c r="U48" i="45"/>
  <c r="W48" i="45"/>
  <c r="I302" i="36"/>
  <c r="J302" i="36"/>
  <c r="K302" i="36"/>
  <c r="L302" i="36"/>
  <c r="M302" i="36"/>
  <c r="N302" i="36"/>
  <c r="O302" i="36"/>
  <c r="Q302" i="36"/>
  <c r="R302" i="36"/>
  <c r="B302" i="36"/>
  <c r="B47" i="45"/>
  <c r="W47" i="45"/>
  <c r="V47" i="45"/>
  <c r="C47" i="45"/>
  <c r="U47" i="45"/>
  <c r="I301" i="36"/>
  <c r="J301" i="36"/>
  <c r="K301" i="36"/>
  <c r="L301" i="36"/>
  <c r="M301" i="36"/>
  <c r="N301" i="36"/>
  <c r="O301" i="36"/>
  <c r="C46" i="45"/>
  <c r="U46" i="45" s="1"/>
  <c r="Q301" i="36"/>
  <c r="R301" i="36"/>
  <c r="B301" i="36"/>
  <c r="B46" i="45"/>
  <c r="W46" i="45" s="1"/>
  <c r="I300" i="36"/>
  <c r="J300" i="36"/>
  <c r="K300" i="36"/>
  <c r="L300" i="36"/>
  <c r="M300" i="36"/>
  <c r="N300" i="36"/>
  <c r="O300" i="36"/>
  <c r="C45" i="45"/>
  <c r="Q300" i="36"/>
  <c r="R300" i="36"/>
  <c r="B300" i="36"/>
  <c r="B45" i="45"/>
  <c r="V45" i="45" s="1"/>
  <c r="I299" i="36"/>
  <c r="J299" i="36"/>
  <c r="K299" i="36"/>
  <c r="L299" i="36"/>
  <c r="M299" i="36"/>
  <c r="N299" i="36"/>
  <c r="O299" i="36"/>
  <c r="Q299" i="36"/>
  <c r="R299" i="36"/>
  <c r="B299" i="36"/>
  <c r="B44" i="45"/>
  <c r="W44" i="45"/>
  <c r="C44" i="45"/>
  <c r="U44" i="45" s="1"/>
  <c r="V44" i="45"/>
  <c r="I298" i="36"/>
  <c r="J298" i="36"/>
  <c r="K298" i="36"/>
  <c r="L298" i="36"/>
  <c r="M298" i="36"/>
  <c r="N298" i="36"/>
  <c r="O298" i="36"/>
  <c r="C43" i="45"/>
  <c r="U43" i="45" s="1"/>
  <c r="Q298" i="36"/>
  <c r="R298" i="36"/>
  <c r="B298" i="36"/>
  <c r="B43" i="45"/>
  <c r="W43" i="45"/>
  <c r="I297" i="36"/>
  <c r="J297" i="36"/>
  <c r="K297" i="36"/>
  <c r="L297" i="36"/>
  <c r="M297" i="36"/>
  <c r="N297" i="36"/>
  <c r="O297" i="36"/>
  <c r="Q297" i="36"/>
  <c r="R297" i="36"/>
  <c r="B297" i="36"/>
  <c r="B42" i="45"/>
  <c r="W42" i="45"/>
  <c r="V42" i="45"/>
  <c r="C42" i="45"/>
  <c r="U42" i="45" s="1"/>
  <c r="I296" i="36"/>
  <c r="J296" i="36"/>
  <c r="K296" i="36"/>
  <c r="L296" i="36"/>
  <c r="M296" i="36"/>
  <c r="N296" i="36"/>
  <c r="O296" i="36"/>
  <c r="C41" i="45"/>
  <c r="Q296" i="36"/>
  <c r="R296" i="36"/>
  <c r="B296" i="36"/>
  <c r="B41" i="45"/>
  <c r="W41" i="45" s="1"/>
  <c r="I295" i="36"/>
  <c r="J295" i="36"/>
  <c r="K295" i="36"/>
  <c r="L295" i="36"/>
  <c r="M295" i="36"/>
  <c r="N295" i="36"/>
  <c r="O295" i="36"/>
  <c r="Q295" i="36"/>
  <c r="R295" i="36"/>
  <c r="B295" i="36"/>
  <c r="B40" i="45"/>
  <c r="W40" i="45" s="1"/>
  <c r="X40" i="45" s="1"/>
  <c r="C40" i="45"/>
  <c r="U40" i="45"/>
  <c r="V40" i="45"/>
  <c r="I294" i="36"/>
  <c r="J294" i="36"/>
  <c r="K294" i="36"/>
  <c r="L294" i="36"/>
  <c r="M294" i="36"/>
  <c r="N294" i="36"/>
  <c r="O294" i="36"/>
  <c r="C39" i="45"/>
  <c r="U39" i="45" s="1"/>
  <c r="Q294" i="36"/>
  <c r="R294" i="36"/>
  <c r="B294" i="36"/>
  <c r="B39" i="45"/>
  <c r="I293" i="36"/>
  <c r="J293" i="36"/>
  <c r="K293" i="36"/>
  <c r="L293" i="36"/>
  <c r="M293" i="36"/>
  <c r="N293" i="36"/>
  <c r="O293" i="36"/>
  <c r="Q293" i="36"/>
  <c r="R293" i="36"/>
  <c r="B293" i="36"/>
  <c r="B38" i="45"/>
  <c r="W38" i="45"/>
  <c r="V38" i="45"/>
  <c r="X38" i="45"/>
  <c r="C38" i="45"/>
  <c r="U38" i="45" s="1"/>
  <c r="I292" i="36"/>
  <c r="J292" i="36"/>
  <c r="K292" i="36"/>
  <c r="L292" i="36"/>
  <c r="M292" i="36"/>
  <c r="N292" i="36"/>
  <c r="O292" i="36"/>
  <c r="Q292" i="36"/>
  <c r="R292" i="36"/>
  <c r="B292" i="36"/>
  <c r="B37" i="45"/>
  <c r="V37" i="45"/>
  <c r="C37" i="45"/>
  <c r="U37" i="45"/>
  <c r="W37" i="45"/>
  <c r="I291" i="36"/>
  <c r="J291" i="36"/>
  <c r="K291" i="36"/>
  <c r="L291" i="36"/>
  <c r="M291" i="36"/>
  <c r="N291" i="36"/>
  <c r="O291" i="36"/>
  <c r="C36" i="45"/>
  <c r="Q291" i="36"/>
  <c r="R291" i="36"/>
  <c r="B291" i="36"/>
  <c r="B36" i="45"/>
  <c r="V36" i="45" s="1"/>
  <c r="U36" i="45"/>
  <c r="I290" i="36"/>
  <c r="J290" i="36"/>
  <c r="K290" i="36"/>
  <c r="L290" i="36"/>
  <c r="M290" i="36"/>
  <c r="N290" i="36"/>
  <c r="O290" i="36"/>
  <c r="Q290" i="36"/>
  <c r="R290" i="36"/>
  <c r="B290" i="36"/>
  <c r="B35" i="45"/>
  <c r="V35" i="45" s="1"/>
  <c r="C35" i="45"/>
  <c r="U35" i="45"/>
  <c r="I289" i="36"/>
  <c r="J289" i="36"/>
  <c r="K289" i="36"/>
  <c r="L289" i="36"/>
  <c r="M289" i="36"/>
  <c r="N289" i="36"/>
  <c r="O289" i="36"/>
  <c r="C34" i="45"/>
  <c r="U34" i="45" s="1"/>
  <c r="Q289" i="36"/>
  <c r="R289" i="36"/>
  <c r="B289" i="36"/>
  <c r="B34" i="45"/>
  <c r="W34" i="45" s="1"/>
  <c r="X34" i="45" s="1"/>
  <c r="I288" i="36"/>
  <c r="J288" i="36"/>
  <c r="K288" i="36"/>
  <c r="L288" i="36"/>
  <c r="M288" i="36"/>
  <c r="N288" i="36"/>
  <c r="O288" i="36"/>
  <c r="Q288" i="36"/>
  <c r="R288" i="36"/>
  <c r="B288" i="36"/>
  <c r="B33" i="45"/>
  <c r="W33" i="45" s="1"/>
  <c r="C33" i="45"/>
  <c r="I287" i="36"/>
  <c r="J287" i="36"/>
  <c r="K287" i="36"/>
  <c r="L287" i="36"/>
  <c r="M287" i="36"/>
  <c r="N287" i="36"/>
  <c r="O287" i="36"/>
  <c r="C32" i="45"/>
  <c r="Q287" i="36"/>
  <c r="R287" i="36"/>
  <c r="B287" i="36"/>
  <c r="B32" i="45"/>
  <c r="V32" i="45" s="1"/>
  <c r="W32" i="45"/>
  <c r="X32" i="45" s="1"/>
  <c r="I286" i="36"/>
  <c r="J286" i="36"/>
  <c r="K286" i="36"/>
  <c r="L286" i="36"/>
  <c r="M286" i="36"/>
  <c r="N286" i="36"/>
  <c r="O286" i="36"/>
  <c r="C31" i="45"/>
  <c r="U31" i="45" s="1"/>
  <c r="Q286" i="36"/>
  <c r="R286" i="36"/>
  <c r="B286" i="36"/>
  <c r="B31" i="45"/>
  <c r="V31" i="45"/>
  <c r="I285" i="36"/>
  <c r="J285" i="36"/>
  <c r="K285" i="36"/>
  <c r="L285" i="36"/>
  <c r="M285" i="36"/>
  <c r="N285" i="36"/>
  <c r="O285" i="36"/>
  <c r="Q285" i="36"/>
  <c r="R285" i="36"/>
  <c r="B285" i="36"/>
  <c r="B30" i="45"/>
  <c r="W30" i="45" s="1"/>
  <c r="C30" i="45"/>
  <c r="I284" i="36"/>
  <c r="J284" i="36"/>
  <c r="K284" i="36"/>
  <c r="L284" i="36"/>
  <c r="M284" i="36"/>
  <c r="N284" i="36"/>
  <c r="O284" i="36"/>
  <c r="C29" i="45"/>
  <c r="Q284" i="36"/>
  <c r="R284" i="36"/>
  <c r="B284" i="36"/>
  <c r="B29" i="45"/>
  <c r="U29" i="45"/>
  <c r="W29" i="45"/>
  <c r="X29" i="45" s="1"/>
  <c r="I283" i="36"/>
  <c r="J283" i="36"/>
  <c r="K283" i="36"/>
  <c r="L283" i="36"/>
  <c r="M283" i="36"/>
  <c r="N283" i="36"/>
  <c r="O283" i="36"/>
  <c r="Q283" i="36"/>
  <c r="R283" i="36"/>
  <c r="B283" i="36"/>
  <c r="B28" i="45"/>
  <c r="W28" i="45" s="1"/>
  <c r="C28" i="45"/>
  <c r="U28" i="45"/>
  <c r="I282" i="36"/>
  <c r="J282" i="36"/>
  <c r="K282" i="36"/>
  <c r="L282" i="36"/>
  <c r="M282" i="36"/>
  <c r="N282" i="36"/>
  <c r="O282" i="36"/>
  <c r="C27" i="45"/>
  <c r="U27" i="45" s="1"/>
  <c r="Q282" i="36"/>
  <c r="R282" i="36"/>
  <c r="B282" i="36"/>
  <c r="B27" i="45"/>
  <c r="W27" i="45"/>
  <c r="I281" i="36"/>
  <c r="J281" i="36"/>
  <c r="K281" i="36"/>
  <c r="L281" i="36"/>
  <c r="M281" i="36"/>
  <c r="N281" i="36"/>
  <c r="O281" i="36"/>
  <c r="C26" i="45"/>
  <c r="Q281" i="36"/>
  <c r="R281" i="36"/>
  <c r="B281" i="36"/>
  <c r="B26" i="45"/>
  <c r="V26" i="45"/>
  <c r="I280" i="36"/>
  <c r="J280" i="36"/>
  <c r="K280" i="36"/>
  <c r="L280" i="36"/>
  <c r="M280" i="36"/>
  <c r="N280" i="36"/>
  <c r="O280" i="36"/>
  <c r="Q280" i="36"/>
  <c r="R280" i="36"/>
  <c r="B280" i="36"/>
  <c r="B25" i="45"/>
  <c r="W25" i="45"/>
  <c r="X25" i="45" s="1"/>
  <c r="V25" i="45"/>
  <c r="C25" i="45"/>
  <c r="U25" i="45"/>
  <c r="I279" i="36"/>
  <c r="J279" i="36"/>
  <c r="K279" i="36"/>
  <c r="L279" i="36"/>
  <c r="M279" i="36"/>
  <c r="N279" i="36"/>
  <c r="O279" i="36"/>
  <c r="C24" i="45"/>
  <c r="Q279" i="36"/>
  <c r="R279" i="36"/>
  <c r="B279" i="36"/>
  <c r="B24" i="45"/>
  <c r="W24" i="45" s="1"/>
  <c r="U24" i="45"/>
  <c r="I278" i="36"/>
  <c r="J278" i="36"/>
  <c r="K278" i="36"/>
  <c r="L278" i="36"/>
  <c r="M278" i="36"/>
  <c r="N278" i="36"/>
  <c r="O278" i="36"/>
  <c r="Q278" i="36"/>
  <c r="R278" i="36"/>
  <c r="B278" i="36"/>
  <c r="B23" i="45"/>
  <c r="W23" i="45" s="1"/>
  <c r="C23" i="45"/>
  <c r="U23" i="45"/>
  <c r="V23" i="45"/>
  <c r="X23" i="45" s="1"/>
  <c r="I277" i="36"/>
  <c r="J277" i="36"/>
  <c r="K277" i="36"/>
  <c r="L277" i="36"/>
  <c r="M277" i="36"/>
  <c r="N277" i="36"/>
  <c r="O277" i="36"/>
  <c r="C22" i="45"/>
  <c r="U22" i="45" s="1"/>
  <c r="Q277" i="36"/>
  <c r="R277" i="36"/>
  <c r="B277" i="36"/>
  <c r="B22" i="45"/>
  <c r="W22" i="45" s="1"/>
  <c r="I276" i="36"/>
  <c r="J276" i="36"/>
  <c r="K276" i="36"/>
  <c r="L276" i="36"/>
  <c r="M276" i="36"/>
  <c r="N276" i="36"/>
  <c r="O276" i="36"/>
  <c r="Q276" i="36"/>
  <c r="R276" i="36"/>
  <c r="B276" i="36"/>
  <c r="B21" i="45"/>
  <c r="U21" i="45" s="1"/>
  <c r="W21" i="45"/>
  <c r="X21" i="45" s="1"/>
  <c r="V21" i="45"/>
  <c r="C21" i="45"/>
  <c r="I275" i="36"/>
  <c r="J275" i="36"/>
  <c r="K275" i="36"/>
  <c r="L275" i="36"/>
  <c r="M275" i="36"/>
  <c r="N275" i="36"/>
  <c r="O275" i="36"/>
  <c r="C20" i="45"/>
  <c r="Q275" i="36"/>
  <c r="R275" i="36"/>
  <c r="B275" i="36"/>
  <c r="B20" i="45"/>
  <c r="U20" i="45"/>
  <c r="W20" i="45"/>
  <c r="I274" i="36"/>
  <c r="J274" i="36"/>
  <c r="K274" i="36"/>
  <c r="L274" i="36"/>
  <c r="M274" i="36"/>
  <c r="N274" i="36"/>
  <c r="O274" i="36"/>
  <c r="Q274" i="36"/>
  <c r="R274" i="36"/>
  <c r="B274" i="36"/>
  <c r="B19" i="45"/>
  <c r="W19" i="45" s="1"/>
  <c r="X19" i="45" s="1"/>
  <c r="C19" i="45"/>
  <c r="V19" i="45"/>
  <c r="I273" i="36"/>
  <c r="J273" i="36"/>
  <c r="K273" i="36"/>
  <c r="L273" i="36"/>
  <c r="M273" i="36"/>
  <c r="N273" i="36"/>
  <c r="O273" i="36"/>
  <c r="Q273" i="36"/>
  <c r="R273" i="36"/>
  <c r="B273" i="36"/>
  <c r="B18" i="45"/>
  <c r="V18" i="45"/>
  <c r="C18" i="45"/>
  <c r="U18" i="45" s="1"/>
  <c r="W18" i="45"/>
  <c r="X18" i="45"/>
  <c r="I272" i="36"/>
  <c r="J272" i="36"/>
  <c r="K272" i="36"/>
  <c r="L272" i="36"/>
  <c r="M272" i="36"/>
  <c r="N272" i="36"/>
  <c r="O272" i="36"/>
  <c r="C17" i="45"/>
  <c r="U17" i="45" s="1"/>
  <c r="Q272" i="36"/>
  <c r="R272" i="36"/>
  <c r="B272" i="36"/>
  <c r="B17" i="45"/>
  <c r="W17" i="45" s="1"/>
  <c r="I271" i="36"/>
  <c r="J271" i="36"/>
  <c r="K271" i="36"/>
  <c r="L271" i="36"/>
  <c r="M271" i="36"/>
  <c r="N271" i="36"/>
  <c r="O271" i="36"/>
  <c r="Q271" i="36"/>
  <c r="R271" i="36"/>
  <c r="B271" i="36"/>
  <c r="B16" i="45"/>
  <c r="W16" i="45" s="1"/>
  <c r="C16" i="45"/>
  <c r="I270" i="36"/>
  <c r="J270" i="36"/>
  <c r="K270" i="36"/>
  <c r="L270" i="36"/>
  <c r="M270" i="36"/>
  <c r="N270" i="36"/>
  <c r="O270" i="36"/>
  <c r="Q270" i="36"/>
  <c r="R270" i="36"/>
  <c r="B270" i="36"/>
  <c r="B15" i="45"/>
  <c r="W15" i="45" s="1"/>
  <c r="V15" i="45"/>
  <c r="X15" i="45" s="1"/>
  <c r="C15" i="45"/>
  <c r="U15" i="45"/>
  <c r="I269" i="36"/>
  <c r="J269" i="36"/>
  <c r="K269" i="36"/>
  <c r="L269" i="36"/>
  <c r="M269" i="36"/>
  <c r="N269" i="36"/>
  <c r="O269" i="36"/>
  <c r="C14" i="45"/>
  <c r="U14" i="45" s="1"/>
  <c r="Q269" i="36"/>
  <c r="R269" i="36"/>
  <c r="B269" i="36"/>
  <c r="B14" i="45"/>
  <c r="W14" i="45"/>
  <c r="X14" i="45" s="1"/>
  <c r="I268" i="36"/>
  <c r="J268" i="36"/>
  <c r="K268" i="36"/>
  <c r="L268" i="36"/>
  <c r="M268" i="36"/>
  <c r="N268" i="36"/>
  <c r="O268" i="36"/>
  <c r="Q268" i="36"/>
  <c r="R268" i="36"/>
  <c r="B268" i="36"/>
  <c r="B13" i="45"/>
  <c r="V13" i="45" s="1"/>
  <c r="W13" i="45"/>
  <c r="C13" i="45"/>
  <c r="U13" i="45" s="1"/>
  <c r="I267" i="36"/>
  <c r="J267" i="36"/>
  <c r="K267" i="36"/>
  <c r="L267" i="36"/>
  <c r="M267" i="36"/>
  <c r="N267" i="36"/>
  <c r="O267" i="36"/>
  <c r="C12" i="45"/>
  <c r="Q267" i="36"/>
  <c r="R267" i="36"/>
  <c r="B267" i="36"/>
  <c r="B12" i="45"/>
  <c r="U12" i="45"/>
  <c r="W12" i="45"/>
  <c r="I266" i="36"/>
  <c r="J266" i="36"/>
  <c r="K266" i="36"/>
  <c r="L266" i="36"/>
  <c r="M266" i="36"/>
  <c r="N266" i="36"/>
  <c r="O266" i="36"/>
  <c r="Q266" i="36"/>
  <c r="R266" i="36"/>
  <c r="B266" i="36"/>
  <c r="B11" i="45"/>
  <c r="W11" i="45"/>
  <c r="V11" i="45"/>
  <c r="C11" i="45"/>
  <c r="U11" i="45" s="1"/>
  <c r="I265" i="36"/>
  <c r="J265" i="36"/>
  <c r="K265" i="36"/>
  <c r="L265" i="36"/>
  <c r="M265" i="36"/>
  <c r="N265" i="36"/>
  <c r="O265" i="36"/>
  <c r="C10" i="45"/>
  <c r="Q265" i="36"/>
  <c r="R265" i="36"/>
  <c r="B265" i="36"/>
  <c r="B10" i="45"/>
  <c r="U10" i="45"/>
  <c r="I264" i="36"/>
  <c r="J264" i="36"/>
  <c r="K264" i="36"/>
  <c r="L264" i="36"/>
  <c r="M264" i="36"/>
  <c r="N264" i="36"/>
  <c r="O264" i="36"/>
  <c r="Q264" i="36"/>
  <c r="R264" i="36"/>
  <c r="B264" i="36"/>
  <c r="B9" i="45"/>
  <c r="W9" i="45" s="1"/>
  <c r="C9" i="45"/>
  <c r="E9" i="45"/>
  <c r="F8" i="45"/>
  <c r="I263" i="36"/>
  <c r="J263" i="36"/>
  <c r="K263" i="36"/>
  <c r="L263" i="36"/>
  <c r="M263" i="36"/>
  <c r="N263" i="36"/>
  <c r="O263" i="36"/>
  <c r="C8" i="45"/>
  <c r="E8" i="45" s="1"/>
  <c r="R263" i="36"/>
  <c r="B263" i="36"/>
  <c r="B8" i="45"/>
  <c r="U8" i="45"/>
  <c r="W8" i="45"/>
  <c r="X8" i="45" s="1"/>
  <c r="F2" i="45"/>
  <c r="V83" i="45"/>
  <c r="V91" i="45"/>
  <c r="X91" i="45"/>
  <c r="V61" i="45"/>
  <c r="X13" i="45"/>
  <c r="V43" i="45"/>
  <c r="X43" i="45"/>
  <c r="X44" i="45"/>
  <c r="V48" i="45"/>
  <c r="X48" i="45"/>
  <c r="X82" i="45"/>
  <c r="X85" i="45"/>
  <c r="V94" i="45"/>
  <c r="U9" i="45"/>
  <c r="E10" i="45"/>
  <c r="V14" i="45"/>
  <c r="V20" i="45"/>
  <c r="V27" i="45"/>
  <c r="X27" i="45"/>
  <c r="W31" i="45"/>
  <c r="X31" i="45" s="1"/>
  <c r="V34" i="45"/>
  <c r="U45" i="45"/>
  <c r="V46" i="45"/>
  <c r="U50" i="45"/>
  <c r="V51" i="45"/>
  <c r="V54" i="45"/>
  <c r="X54" i="45"/>
  <c r="V57" i="45"/>
  <c r="X57" i="45"/>
  <c r="V59" i="45"/>
  <c r="W63" i="45"/>
  <c r="V64" i="45"/>
  <c r="X64" i="45"/>
  <c r="V66" i="45"/>
  <c r="X66" i="45"/>
  <c r="U68" i="45"/>
  <c r="W68" i="45"/>
  <c r="X68" i="45"/>
  <c r="W74" i="45"/>
  <c r="X74" i="45"/>
  <c r="V75" i="45"/>
  <c r="X75" i="45" s="1"/>
  <c r="V77" i="45"/>
  <c r="X77" i="45"/>
  <c r="V81" i="45"/>
  <c r="X81" i="45"/>
  <c r="U93" i="45"/>
  <c r="V119" i="45"/>
  <c r="X119" i="45"/>
  <c r="V8" i="45"/>
  <c r="V12" i="45"/>
  <c r="X12" i="45"/>
  <c r="V22" i="45"/>
  <c r="X22" i="45"/>
  <c r="U26" i="45"/>
  <c r="W26" i="45"/>
  <c r="V29" i="45"/>
  <c r="L8" i="45"/>
  <c r="L49" i="45"/>
  <c r="V86" i="45"/>
  <c r="V88" i="45"/>
  <c r="X88" i="45"/>
  <c r="W93" i="45"/>
  <c r="X93" i="45"/>
  <c r="U94" i="45"/>
  <c r="X96" i="45"/>
  <c r="X99" i="45"/>
  <c r="X106" i="45"/>
  <c r="X128" i="45"/>
  <c r="X149" i="45"/>
  <c r="X153" i="45"/>
  <c r="V159" i="45"/>
  <c r="X159" i="45" s="1"/>
  <c r="V164" i="45"/>
  <c r="X164" i="45" s="1"/>
  <c r="W100" i="45"/>
  <c r="X100" i="45"/>
  <c r="W102" i="45"/>
  <c r="X102" i="45" s="1"/>
  <c r="W105" i="45"/>
  <c r="X105" i="45"/>
  <c r="W107" i="45"/>
  <c r="X107" i="45" s="1"/>
  <c r="W110" i="45"/>
  <c r="X110" i="45"/>
  <c r="V113" i="45"/>
  <c r="X113" i="45"/>
  <c r="W114" i="45"/>
  <c r="L116" i="45"/>
  <c r="W116" i="45"/>
  <c r="X116" i="45"/>
  <c r="W120" i="45"/>
  <c r="X120" i="45"/>
  <c r="W122" i="45"/>
  <c r="X122" i="45" s="1"/>
  <c r="V124" i="45"/>
  <c r="X124" i="45"/>
  <c r="W127" i="45"/>
  <c r="X127" i="45"/>
  <c r="W129" i="45"/>
  <c r="X129" i="45"/>
  <c r="V131" i="45"/>
  <c r="X131" i="45" s="1"/>
  <c r="W134" i="45"/>
  <c r="X134" i="45" s="1"/>
  <c r="W136" i="45"/>
  <c r="X136" i="45"/>
  <c r="W138" i="45"/>
  <c r="X138" i="45" s="1"/>
  <c r="W141" i="45"/>
  <c r="X141" i="45"/>
  <c r="V143" i="45"/>
  <c r="X143" i="45" s="1"/>
  <c r="W144" i="45"/>
  <c r="X144" i="45"/>
  <c r="W146" i="45"/>
  <c r="X146" i="45" s="1"/>
  <c r="V150" i="45"/>
  <c r="X150" i="45" s="1"/>
  <c r="W151" i="45"/>
  <c r="X151" i="45"/>
  <c r="V152" i="45"/>
  <c r="X152" i="45"/>
  <c r="V154" i="45"/>
  <c r="X154" i="45"/>
  <c r="V156" i="45"/>
  <c r="U162" i="45"/>
  <c r="U168" i="45"/>
  <c r="W170" i="45"/>
  <c r="V170" i="45"/>
  <c r="W174" i="45"/>
  <c r="V174" i="45"/>
  <c r="W179" i="45"/>
  <c r="V179" i="45"/>
  <c r="W184" i="45"/>
  <c r="V184" i="45"/>
  <c r="V194" i="45"/>
  <c r="X194" i="45"/>
  <c r="V219" i="45"/>
  <c r="X219" i="45"/>
  <c r="U113" i="45"/>
  <c r="U119" i="45"/>
  <c r="U131" i="45"/>
  <c r="U143" i="45"/>
  <c r="U150" i="45"/>
  <c r="U164" i="45"/>
  <c r="U166" i="45"/>
  <c r="V166" i="45"/>
  <c r="X166" i="45"/>
  <c r="W168" i="45"/>
  <c r="X168" i="45" s="1"/>
  <c r="U169" i="45"/>
  <c r="V169" i="45"/>
  <c r="X169" i="45" s="1"/>
  <c r="W172" i="45"/>
  <c r="V172" i="45"/>
  <c r="V176" i="45"/>
  <c r="W181" i="45"/>
  <c r="X181" i="45" s="1"/>
  <c r="V181" i="45"/>
  <c r="U170" i="45"/>
  <c r="U172" i="45"/>
  <c r="X173" i="45"/>
  <c r="X175" i="45"/>
  <c r="U176" i="45"/>
  <c r="X178" i="45"/>
  <c r="U179" i="45"/>
  <c r="X180" i="45"/>
  <c r="U181" i="45"/>
  <c r="X183" i="45"/>
  <c r="U187" i="45"/>
  <c r="V187" i="45"/>
  <c r="X187" i="45"/>
  <c r="X188" i="45"/>
  <c r="U189" i="45"/>
  <c r="V189" i="45"/>
  <c r="X189" i="45" s="1"/>
  <c r="X191" i="45"/>
  <c r="U192" i="45"/>
  <c r="V192" i="45"/>
  <c r="X192" i="45"/>
  <c r="U194" i="45"/>
  <c r="X196" i="45"/>
  <c r="V197" i="45"/>
  <c r="X197" i="45" s="1"/>
  <c r="X198" i="45"/>
  <c r="W199" i="45"/>
  <c r="X199" i="45"/>
  <c r="U200" i="45"/>
  <c r="V200" i="45"/>
  <c r="X201" i="45"/>
  <c r="X208" i="45"/>
  <c r="X214" i="45"/>
  <c r="U218" i="45"/>
  <c r="W226" i="45"/>
  <c r="V226" i="45"/>
  <c r="X226" i="45" s="1"/>
  <c r="W231" i="45"/>
  <c r="X231" i="45" s="1"/>
  <c r="V231" i="45"/>
  <c r="V236" i="45"/>
  <c r="W236" i="45"/>
  <c r="X236" i="45"/>
  <c r="U236" i="45"/>
  <c r="W239" i="45"/>
  <c r="V239" i="45"/>
  <c r="X239" i="45"/>
  <c r="V251" i="45"/>
  <c r="X251" i="45" s="1"/>
  <c r="U199" i="45"/>
  <c r="U206" i="45"/>
  <c r="U209" i="45"/>
  <c r="U212" i="45"/>
  <c r="W215" i="45"/>
  <c r="L215" i="45"/>
  <c r="V215" i="45"/>
  <c r="X217" i="45"/>
  <c r="W218" i="45"/>
  <c r="X218" i="45"/>
  <c r="U219" i="45"/>
  <c r="U221" i="45"/>
  <c r="V221" i="45"/>
  <c r="X221" i="45"/>
  <c r="U223" i="45"/>
  <c r="V223" i="45"/>
  <c r="X223" i="45"/>
  <c r="X224" i="45"/>
  <c r="U225" i="45"/>
  <c r="V225" i="45"/>
  <c r="X225" i="45"/>
  <c r="W229" i="45"/>
  <c r="V229" i="45"/>
  <c r="W233" i="45"/>
  <c r="V233" i="45"/>
  <c r="W237" i="45"/>
  <c r="V237" i="45"/>
  <c r="X237" i="45" s="1"/>
  <c r="U246" i="45"/>
  <c r="U258" i="45"/>
  <c r="U259" i="45"/>
  <c r="U262" i="45"/>
  <c r="U265" i="45"/>
  <c r="U226" i="45"/>
  <c r="X228" i="45"/>
  <c r="U229" i="45"/>
  <c r="X230" i="45"/>
  <c r="U231" i="45"/>
  <c r="X232" i="45"/>
  <c r="U233" i="45"/>
  <c r="X235" i="45"/>
  <c r="U237" i="45"/>
  <c r="X238" i="45"/>
  <c r="U239" i="45"/>
  <c r="U242" i="45"/>
  <c r="V242" i="45"/>
  <c r="X242" i="45"/>
  <c r="X243" i="45"/>
  <c r="U244" i="45"/>
  <c r="V244" i="45"/>
  <c r="X244" i="45"/>
  <c r="X245" i="45"/>
  <c r="W246" i="45"/>
  <c r="X246" i="45" s="1"/>
  <c r="U247" i="45"/>
  <c r="V247" i="45"/>
  <c r="X247" i="45"/>
  <c r="U249" i="45"/>
  <c r="V249" i="45"/>
  <c r="X249" i="45" s="1"/>
  <c r="U251" i="45"/>
  <c r="X252" i="45"/>
  <c r="U253" i="45"/>
  <c r="V253" i="45"/>
  <c r="X253" i="45"/>
  <c r="X255" i="45"/>
  <c r="U256" i="45"/>
  <c r="V256" i="45"/>
  <c r="X256" i="45" s="1"/>
  <c r="W258" i="45"/>
  <c r="X258" i="45" s="1"/>
  <c r="W259" i="45"/>
  <c r="X259" i="45"/>
  <c r="U260" i="45"/>
  <c r="V260" i="45"/>
  <c r="X260" i="45"/>
  <c r="X261" i="45"/>
  <c r="W262" i="45"/>
  <c r="X262" i="45" s="1"/>
  <c r="U263" i="45"/>
  <c r="V263" i="45"/>
  <c r="X263" i="45"/>
  <c r="W265" i="45"/>
  <c r="X265" i="45"/>
  <c r="U266" i="45"/>
  <c r="V266" i="45"/>
  <c r="X266" i="45"/>
  <c r="H40" i="37"/>
  <c r="H30" i="50"/>
  <c r="N12" i="20"/>
  <c r="AB130" i="50"/>
  <c r="I646" i="36"/>
  <c r="J646" i="36"/>
  <c r="K646" i="36"/>
  <c r="L646" i="36"/>
  <c r="M646" i="36"/>
  <c r="N646" i="36"/>
  <c r="O646" i="36"/>
  <c r="C130" i="50"/>
  <c r="Q646" i="36"/>
  <c r="R646" i="36"/>
  <c r="B646" i="36"/>
  <c r="B130" i="50"/>
  <c r="AB129" i="50"/>
  <c r="I645" i="36"/>
  <c r="J645" i="36"/>
  <c r="K645" i="36"/>
  <c r="L645" i="36"/>
  <c r="M645" i="36"/>
  <c r="N645" i="36"/>
  <c r="O645" i="36"/>
  <c r="C129" i="50"/>
  <c r="Q645" i="36"/>
  <c r="R645" i="36"/>
  <c r="B645" i="36"/>
  <c r="B129" i="50"/>
  <c r="AB128" i="50"/>
  <c r="I644" i="36"/>
  <c r="J644" i="36"/>
  <c r="K644" i="36"/>
  <c r="L644" i="36"/>
  <c r="M644" i="36"/>
  <c r="N644" i="36"/>
  <c r="O644" i="36"/>
  <c r="C128" i="50"/>
  <c r="Q644" i="36"/>
  <c r="R644" i="36"/>
  <c r="B644" i="36"/>
  <c r="B128" i="50"/>
  <c r="AB127" i="50"/>
  <c r="I643" i="36"/>
  <c r="J643" i="36"/>
  <c r="K643" i="36"/>
  <c r="L643" i="36"/>
  <c r="M643" i="36"/>
  <c r="N643" i="36"/>
  <c r="O643" i="36"/>
  <c r="C127" i="50"/>
  <c r="Q643" i="36"/>
  <c r="R643" i="36"/>
  <c r="B643" i="36"/>
  <c r="B127" i="50"/>
  <c r="AB126" i="50"/>
  <c r="I642" i="36"/>
  <c r="J642" i="36"/>
  <c r="K642" i="36"/>
  <c r="L642" i="36"/>
  <c r="M642" i="36"/>
  <c r="N642" i="36"/>
  <c r="O642" i="36"/>
  <c r="C126" i="50"/>
  <c r="Q642" i="36"/>
  <c r="R642" i="36"/>
  <c r="B642" i="36"/>
  <c r="B126" i="50"/>
  <c r="AB125" i="50"/>
  <c r="I641" i="36"/>
  <c r="J641" i="36"/>
  <c r="K641" i="36"/>
  <c r="L641" i="36"/>
  <c r="M641" i="36"/>
  <c r="N641" i="36"/>
  <c r="O641" i="36"/>
  <c r="C125" i="50"/>
  <c r="Q641" i="36"/>
  <c r="R641" i="36"/>
  <c r="B641" i="36"/>
  <c r="B125" i="50"/>
  <c r="AB124" i="50"/>
  <c r="I640" i="36"/>
  <c r="J640" i="36"/>
  <c r="K640" i="36"/>
  <c r="L640" i="36"/>
  <c r="M640" i="36"/>
  <c r="N640" i="36"/>
  <c r="O640" i="36"/>
  <c r="C124" i="50"/>
  <c r="Q640" i="36"/>
  <c r="R640" i="36"/>
  <c r="B640" i="36"/>
  <c r="B124" i="50"/>
  <c r="AB123" i="50"/>
  <c r="I639" i="36"/>
  <c r="J639" i="36"/>
  <c r="K639" i="36"/>
  <c r="L639" i="36"/>
  <c r="M639" i="36"/>
  <c r="N639" i="36"/>
  <c r="O639" i="36"/>
  <c r="C123" i="50"/>
  <c r="Q639" i="36"/>
  <c r="R639" i="36"/>
  <c r="B639" i="36"/>
  <c r="B123" i="50"/>
  <c r="AB122" i="50"/>
  <c r="I638" i="36"/>
  <c r="J638" i="36"/>
  <c r="K638" i="36"/>
  <c r="L638" i="36"/>
  <c r="M638" i="36"/>
  <c r="N638" i="36"/>
  <c r="O638" i="36"/>
  <c r="C122" i="50"/>
  <c r="Q638" i="36"/>
  <c r="R638" i="36"/>
  <c r="B638" i="36"/>
  <c r="B122" i="50"/>
  <c r="AB121" i="50"/>
  <c r="I637" i="36"/>
  <c r="J637" i="36"/>
  <c r="K637" i="36"/>
  <c r="L637" i="36"/>
  <c r="M637" i="36"/>
  <c r="N637" i="36"/>
  <c r="O637" i="36"/>
  <c r="C121" i="50"/>
  <c r="Q637" i="36"/>
  <c r="R637" i="36"/>
  <c r="B637" i="36"/>
  <c r="B121" i="50"/>
  <c r="AB120" i="50"/>
  <c r="I636" i="36"/>
  <c r="J636" i="36"/>
  <c r="K636" i="36"/>
  <c r="L636" i="36"/>
  <c r="M636" i="36"/>
  <c r="N636" i="36"/>
  <c r="O636" i="36"/>
  <c r="C120" i="50"/>
  <c r="Q636" i="36"/>
  <c r="R636" i="36"/>
  <c r="B636" i="36"/>
  <c r="B120" i="50"/>
  <c r="AB119" i="50"/>
  <c r="I635" i="36"/>
  <c r="J635" i="36"/>
  <c r="K635" i="36"/>
  <c r="L635" i="36"/>
  <c r="M635" i="36"/>
  <c r="N635" i="36"/>
  <c r="O635" i="36"/>
  <c r="C119" i="50"/>
  <c r="Q635" i="36"/>
  <c r="R635" i="36"/>
  <c r="B635" i="36"/>
  <c r="B119" i="50"/>
  <c r="AB118" i="50"/>
  <c r="I634" i="36"/>
  <c r="J634" i="36"/>
  <c r="K634" i="36"/>
  <c r="L634" i="36"/>
  <c r="M634" i="36"/>
  <c r="N634" i="36"/>
  <c r="O634" i="36"/>
  <c r="C118" i="50"/>
  <c r="Q634" i="36"/>
  <c r="R634" i="36"/>
  <c r="B634" i="36"/>
  <c r="B118" i="50"/>
  <c r="AB117" i="50"/>
  <c r="I633" i="36"/>
  <c r="J633" i="36"/>
  <c r="K633" i="36"/>
  <c r="L633" i="36"/>
  <c r="M633" i="36"/>
  <c r="N633" i="36"/>
  <c r="O633" i="36"/>
  <c r="C117" i="50"/>
  <c r="Q633" i="36"/>
  <c r="R633" i="36"/>
  <c r="B633" i="36"/>
  <c r="B117" i="50"/>
  <c r="AB116" i="50"/>
  <c r="I632" i="36"/>
  <c r="J632" i="36"/>
  <c r="K632" i="36"/>
  <c r="L632" i="36"/>
  <c r="M632" i="36"/>
  <c r="N632" i="36"/>
  <c r="O632" i="36"/>
  <c r="C116" i="50"/>
  <c r="Q632" i="36"/>
  <c r="R632" i="36"/>
  <c r="B632" i="36"/>
  <c r="B116" i="50"/>
  <c r="AB115" i="50"/>
  <c r="I631" i="36"/>
  <c r="J631" i="36"/>
  <c r="K631" i="36"/>
  <c r="L631" i="36"/>
  <c r="M631" i="36"/>
  <c r="N631" i="36"/>
  <c r="O631" i="36"/>
  <c r="C115" i="50"/>
  <c r="Q631" i="36"/>
  <c r="R631" i="36"/>
  <c r="B631" i="36"/>
  <c r="B115" i="50"/>
  <c r="I630" i="36"/>
  <c r="J630" i="36"/>
  <c r="K630" i="36"/>
  <c r="L630" i="36"/>
  <c r="M630" i="36"/>
  <c r="N630" i="36"/>
  <c r="O630" i="36"/>
  <c r="C114" i="50"/>
  <c r="Q630" i="36"/>
  <c r="R630" i="36"/>
  <c r="B630" i="36"/>
  <c r="B114" i="50"/>
  <c r="AB113" i="50"/>
  <c r="I629" i="36"/>
  <c r="J629" i="36"/>
  <c r="K629" i="36"/>
  <c r="L629" i="36"/>
  <c r="M629" i="36"/>
  <c r="N629" i="36"/>
  <c r="O629" i="36"/>
  <c r="C113" i="50"/>
  <c r="Q629" i="36"/>
  <c r="R629" i="36"/>
  <c r="B629" i="36"/>
  <c r="B113" i="50"/>
  <c r="AB112" i="50"/>
  <c r="I628" i="36"/>
  <c r="J628" i="36"/>
  <c r="K628" i="36"/>
  <c r="L628" i="36"/>
  <c r="M628" i="36"/>
  <c r="N628" i="36"/>
  <c r="O628" i="36"/>
  <c r="C112" i="50"/>
  <c r="Q628" i="36"/>
  <c r="R628" i="36"/>
  <c r="B628" i="36"/>
  <c r="B112" i="50"/>
  <c r="AB111" i="50"/>
  <c r="I627" i="36"/>
  <c r="J627" i="36"/>
  <c r="K627" i="36"/>
  <c r="L627" i="36"/>
  <c r="M627" i="36"/>
  <c r="N627" i="36"/>
  <c r="O627" i="36"/>
  <c r="C111" i="50"/>
  <c r="Q627" i="36"/>
  <c r="R627" i="36"/>
  <c r="B627" i="36"/>
  <c r="B111" i="50"/>
  <c r="AB110" i="50"/>
  <c r="I626" i="36"/>
  <c r="J626" i="36"/>
  <c r="K626" i="36"/>
  <c r="L626" i="36"/>
  <c r="M626" i="36"/>
  <c r="N626" i="36"/>
  <c r="O626" i="36"/>
  <c r="C110" i="50"/>
  <c r="Q626" i="36"/>
  <c r="R626" i="36"/>
  <c r="B626" i="36"/>
  <c r="B110" i="50"/>
  <c r="AB109" i="50"/>
  <c r="I625" i="36"/>
  <c r="J625" i="36"/>
  <c r="K625" i="36"/>
  <c r="L625" i="36"/>
  <c r="M625" i="36"/>
  <c r="N625" i="36"/>
  <c r="O625" i="36"/>
  <c r="C109" i="50"/>
  <c r="Q625" i="36"/>
  <c r="R625" i="36"/>
  <c r="B625" i="36"/>
  <c r="B109" i="50"/>
  <c r="I624" i="36"/>
  <c r="J624" i="36"/>
  <c r="K624" i="36"/>
  <c r="L624" i="36"/>
  <c r="M624" i="36"/>
  <c r="N624" i="36"/>
  <c r="O624" i="36"/>
  <c r="C108" i="50"/>
  <c r="Q624" i="36"/>
  <c r="R624" i="36"/>
  <c r="B624" i="36"/>
  <c r="B108" i="50"/>
  <c r="AB107" i="50"/>
  <c r="I623" i="36"/>
  <c r="J623" i="36"/>
  <c r="K623" i="36"/>
  <c r="L623" i="36"/>
  <c r="M623" i="36"/>
  <c r="N623" i="36"/>
  <c r="O623" i="36"/>
  <c r="C107" i="50"/>
  <c r="Q623" i="36"/>
  <c r="R623" i="36"/>
  <c r="B623" i="36"/>
  <c r="B107" i="50"/>
  <c r="AB106" i="50"/>
  <c r="I622" i="36"/>
  <c r="J622" i="36"/>
  <c r="K622" i="36"/>
  <c r="L622" i="36"/>
  <c r="M622" i="36"/>
  <c r="N622" i="36"/>
  <c r="O622" i="36"/>
  <c r="C106" i="50"/>
  <c r="Q622" i="36"/>
  <c r="R622" i="36"/>
  <c r="B622" i="36"/>
  <c r="B106" i="50"/>
  <c r="I621" i="36"/>
  <c r="J621" i="36"/>
  <c r="K621" i="36"/>
  <c r="L621" i="36"/>
  <c r="M621" i="36"/>
  <c r="N621" i="36"/>
  <c r="O621" i="36"/>
  <c r="C105" i="50"/>
  <c r="R621" i="36"/>
  <c r="B621" i="36"/>
  <c r="B105" i="50"/>
  <c r="AB104" i="50"/>
  <c r="I620" i="36"/>
  <c r="J620" i="36"/>
  <c r="K620" i="36"/>
  <c r="L620" i="36"/>
  <c r="M620" i="36"/>
  <c r="N620" i="36"/>
  <c r="O620" i="36"/>
  <c r="C104" i="50"/>
  <c r="Q620" i="36"/>
  <c r="R620" i="36"/>
  <c r="B620" i="36"/>
  <c r="B104" i="50"/>
  <c r="AB103" i="50"/>
  <c r="I619" i="36"/>
  <c r="J619" i="36"/>
  <c r="K619" i="36"/>
  <c r="L619" i="36"/>
  <c r="M619" i="36"/>
  <c r="N619" i="36"/>
  <c r="O619" i="36"/>
  <c r="C103" i="50"/>
  <c r="Q619" i="36"/>
  <c r="R619" i="36"/>
  <c r="B619" i="36"/>
  <c r="B103" i="50"/>
  <c r="AB102" i="50"/>
  <c r="I618" i="36"/>
  <c r="J618" i="36"/>
  <c r="K618" i="36"/>
  <c r="L618" i="36"/>
  <c r="M618" i="36"/>
  <c r="N618" i="36"/>
  <c r="O618" i="36"/>
  <c r="C102" i="50"/>
  <c r="Q618" i="36"/>
  <c r="R618" i="36"/>
  <c r="B618" i="36"/>
  <c r="B102" i="50"/>
  <c r="I617" i="36"/>
  <c r="J617" i="36"/>
  <c r="K617" i="36"/>
  <c r="L617" i="36"/>
  <c r="M617" i="36"/>
  <c r="N617" i="36"/>
  <c r="O617" i="36"/>
  <c r="C101" i="50"/>
  <c r="Q617" i="36"/>
  <c r="R617" i="36"/>
  <c r="B617" i="36"/>
  <c r="B101" i="50"/>
  <c r="AB100" i="50"/>
  <c r="I616" i="36"/>
  <c r="J616" i="36"/>
  <c r="K616" i="36"/>
  <c r="L616" i="36"/>
  <c r="M616" i="36"/>
  <c r="N616" i="36"/>
  <c r="O616" i="36"/>
  <c r="C100" i="50"/>
  <c r="Q616" i="36"/>
  <c r="R616" i="36"/>
  <c r="B616" i="36"/>
  <c r="B100" i="50"/>
  <c r="AB99" i="50"/>
  <c r="I615" i="36"/>
  <c r="J615" i="36"/>
  <c r="K615" i="36"/>
  <c r="L615" i="36"/>
  <c r="M615" i="36"/>
  <c r="N615" i="36"/>
  <c r="O615" i="36"/>
  <c r="C99" i="50"/>
  <c r="Q615" i="36"/>
  <c r="R615" i="36"/>
  <c r="B615" i="36"/>
  <c r="B99" i="50"/>
  <c r="AB98" i="50"/>
  <c r="I614" i="36"/>
  <c r="J614" i="36"/>
  <c r="K614" i="36"/>
  <c r="L614" i="36"/>
  <c r="M614" i="36"/>
  <c r="N614" i="36"/>
  <c r="O614" i="36"/>
  <c r="C98" i="50"/>
  <c r="Q614" i="36"/>
  <c r="R614" i="36"/>
  <c r="B614" i="36"/>
  <c r="B98" i="50"/>
  <c r="AB97" i="50"/>
  <c r="I613" i="36"/>
  <c r="J613" i="36"/>
  <c r="K613" i="36"/>
  <c r="L613" i="36"/>
  <c r="M613" i="36"/>
  <c r="N613" i="36"/>
  <c r="O613" i="36"/>
  <c r="C97" i="50"/>
  <c r="Q613" i="36"/>
  <c r="R613" i="36"/>
  <c r="B613" i="36"/>
  <c r="B97" i="50"/>
  <c r="AB96" i="50"/>
  <c r="I612" i="36"/>
  <c r="J612" i="36"/>
  <c r="K612" i="36"/>
  <c r="L612" i="36"/>
  <c r="M612" i="36"/>
  <c r="N612" i="36"/>
  <c r="O612" i="36"/>
  <c r="C96" i="50"/>
  <c r="Q612" i="36"/>
  <c r="R612" i="36"/>
  <c r="B612" i="36"/>
  <c r="B96" i="50"/>
  <c r="I611" i="36"/>
  <c r="J611" i="36"/>
  <c r="K611" i="36"/>
  <c r="L611" i="36"/>
  <c r="M611" i="36"/>
  <c r="N611" i="36"/>
  <c r="O611" i="36"/>
  <c r="C95" i="50"/>
  <c r="Q611" i="36"/>
  <c r="R611" i="36"/>
  <c r="B611" i="36"/>
  <c r="B95" i="50"/>
  <c r="AB94" i="50"/>
  <c r="I610" i="36"/>
  <c r="J610" i="36"/>
  <c r="K610" i="36"/>
  <c r="L610" i="36"/>
  <c r="M610" i="36"/>
  <c r="N610" i="36"/>
  <c r="O610" i="36"/>
  <c r="C94" i="50"/>
  <c r="Q610" i="36"/>
  <c r="R610" i="36"/>
  <c r="B610" i="36"/>
  <c r="B94" i="50"/>
  <c r="AB93" i="50"/>
  <c r="I609" i="36"/>
  <c r="J609" i="36"/>
  <c r="K609" i="36"/>
  <c r="L609" i="36"/>
  <c r="M609" i="36"/>
  <c r="N609" i="36"/>
  <c r="O609" i="36"/>
  <c r="C93" i="50"/>
  <c r="Q609" i="36"/>
  <c r="R609" i="36"/>
  <c r="B609" i="36"/>
  <c r="B93" i="50"/>
  <c r="AB92" i="50"/>
  <c r="I608" i="36"/>
  <c r="J608" i="36"/>
  <c r="K608" i="36"/>
  <c r="L608" i="36"/>
  <c r="M608" i="36"/>
  <c r="N608" i="36"/>
  <c r="O608" i="36"/>
  <c r="C92" i="50"/>
  <c r="Q608" i="36"/>
  <c r="R608" i="36"/>
  <c r="B608" i="36"/>
  <c r="B92" i="50"/>
  <c r="AB91" i="50"/>
  <c r="I607" i="36"/>
  <c r="J607" i="36"/>
  <c r="K607" i="36"/>
  <c r="L607" i="36"/>
  <c r="M607" i="36"/>
  <c r="N607" i="36"/>
  <c r="O607" i="36"/>
  <c r="C91" i="50"/>
  <c r="Q607" i="36"/>
  <c r="R607" i="36"/>
  <c r="B607" i="36"/>
  <c r="B91" i="50"/>
  <c r="AB90" i="50"/>
  <c r="I606" i="36"/>
  <c r="J606" i="36"/>
  <c r="K606" i="36"/>
  <c r="L606" i="36"/>
  <c r="M606" i="36"/>
  <c r="N606" i="36"/>
  <c r="O606" i="36"/>
  <c r="C90" i="50"/>
  <c r="Q606" i="36"/>
  <c r="R606" i="36"/>
  <c r="B606" i="36"/>
  <c r="B90" i="50"/>
  <c r="AB89" i="50"/>
  <c r="I605" i="36"/>
  <c r="J605" i="36"/>
  <c r="K605" i="36"/>
  <c r="L605" i="36"/>
  <c r="M605" i="36"/>
  <c r="N605" i="36"/>
  <c r="O605" i="36"/>
  <c r="C89" i="50"/>
  <c r="Q605" i="36"/>
  <c r="R605" i="36"/>
  <c r="B605" i="36"/>
  <c r="B89" i="50"/>
  <c r="AB88" i="50"/>
  <c r="I604" i="36"/>
  <c r="J604" i="36"/>
  <c r="K604" i="36"/>
  <c r="L604" i="36"/>
  <c r="M604" i="36"/>
  <c r="N604" i="36"/>
  <c r="O604" i="36"/>
  <c r="C88" i="50"/>
  <c r="Q604" i="36"/>
  <c r="R604" i="36"/>
  <c r="B604" i="36"/>
  <c r="B88" i="50"/>
  <c r="AB87" i="50"/>
  <c r="I603" i="36"/>
  <c r="J603" i="36"/>
  <c r="K603" i="36"/>
  <c r="L603" i="36"/>
  <c r="M603" i="36"/>
  <c r="N603" i="36"/>
  <c r="O603" i="36"/>
  <c r="C87" i="50"/>
  <c r="Q603" i="36"/>
  <c r="R603" i="36"/>
  <c r="B603" i="36"/>
  <c r="B87" i="50"/>
  <c r="AB86" i="50"/>
  <c r="I602" i="36"/>
  <c r="J602" i="36"/>
  <c r="K602" i="36"/>
  <c r="L602" i="36"/>
  <c r="M602" i="36"/>
  <c r="N602" i="36"/>
  <c r="O602" i="36"/>
  <c r="C86" i="50"/>
  <c r="Q602" i="36"/>
  <c r="R602" i="36"/>
  <c r="B602" i="36"/>
  <c r="B86" i="50"/>
  <c r="I601" i="36"/>
  <c r="J601" i="36"/>
  <c r="K601" i="36"/>
  <c r="L601" i="36"/>
  <c r="M601" i="36"/>
  <c r="N601" i="36"/>
  <c r="O601" i="36"/>
  <c r="C85" i="50"/>
  <c r="Q601" i="36"/>
  <c r="R601" i="36"/>
  <c r="B601" i="36"/>
  <c r="B85" i="50"/>
  <c r="AB84" i="50"/>
  <c r="I600" i="36"/>
  <c r="J600" i="36"/>
  <c r="K600" i="36"/>
  <c r="L600" i="36"/>
  <c r="M600" i="36"/>
  <c r="N600" i="36"/>
  <c r="O600" i="36"/>
  <c r="C84" i="50"/>
  <c r="Q600" i="36"/>
  <c r="R600" i="36"/>
  <c r="B600" i="36"/>
  <c r="B84" i="50"/>
  <c r="I599" i="36"/>
  <c r="J599" i="36"/>
  <c r="K599" i="36"/>
  <c r="L599" i="36"/>
  <c r="M599" i="36"/>
  <c r="N599" i="36"/>
  <c r="O599" i="36"/>
  <c r="C83" i="50"/>
  <c r="R599" i="36"/>
  <c r="B599" i="36"/>
  <c r="B83" i="50"/>
  <c r="AB82" i="50"/>
  <c r="I598" i="36"/>
  <c r="J598" i="36"/>
  <c r="K598" i="36"/>
  <c r="L598" i="36"/>
  <c r="M598" i="36"/>
  <c r="N598" i="36"/>
  <c r="O598" i="36"/>
  <c r="C82" i="50"/>
  <c r="Q598" i="36"/>
  <c r="R598" i="36"/>
  <c r="B598" i="36"/>
  <c r="B82" i="50"/>
  <c r="AB81" i="50"/>
  <c r="I597" i="36"/>
  <c r="J597" i="36"/>
  <c r="K597" i="36"/>
  <c r="L597" i="36"/>
  <c r="M597" i="36"/>
  <c r="N597" i="36"/>
  <c r="O597" i="36"/>
  <c r="C81" i="50"/>
  <c r="Q597" i="36"/>
  <c r="R597" i="36"/>
  <c r="B597" i="36"/>
  <c r="B81" i="50"/>
  <c r="AB80" i="50"/>
  <c r="I596" i="36"/>
  <c r="J596" i="36"/>
  <c r="K596" i="36"/>
  <c r="L596" i="36"/>
  <c r="M596" i="36"/>
  <c r="N596" i="36"/>
  <c r="O596" i="36"/>
  <c r="C80" i="50"/>
  <c r="Q596" i="36"/>
  <c r="R596" i="36"/>
  <c r="B596" i="36"/>
  <c r="B80" i="50"/>
  <c r="AB79" i="50"/>
  <c r="I595" i="36"/>
  <c r="J595" i="36"/>
  <c r="K595" i="36"/>
  <c r="L595" i="36"/>
  <c r="M595" i="36"/>
  <c r="N595" i="36"/>
  <c r="O595" i="36"/>
  <c r="C79" i="50"/>
  <c r="Q595" i="36"/>
  <c r="R595" i="36"/>
  <c r="B595" i="36"/>
  <c r="B79" i="50"/>
  <c r="I594" i="36"/>
  <c r="J594" i="36"/>
  <c r="K594" i="36"/>
  <c r="L594" i="36"/>
  <c r="M594" i="36"/>
  <c r="N594" i="36"/>
  <c r="O594" i="36"/>
  <c r="C78" i="50"/>
  <c r="Q594" i="36"/>
  <c r="R594" i="36"/>
  <c r="B594" i="36"/>
  <c r="B78" i="50"/>
  <c r="AB77" i="50"/>
  <c r="I593" i="36"/>
  <c r="J593" i="36"/>
  <c r="K593" i="36"/>
  <c r="L593" i="36"/>
  <c r="M593" i="36"/>
  <c r="N593" i="36"/>
  <c r="O593" i="36"/>
  <c r="C77" i="50"/>
  <c r="Q593" i="36"/>
  <c r="R593" i="36"/>
  <c r="B593" i="36"/>
  <c r="B77" i="50"/>
  <c r="AB76" i="50"/>
  <c r="I592" i="36"/>
  <c r="J592" i="36"/>
  <c r="K592" i="36"/>
  <c r="L592" i="36"/>
  <c r="M592" i="36"/>
  <c r="N592" i="36"/>
  <c r="O592" i="36"/>
  <c r="C76" i="50"/>
  <c r="Q592" i="36"/>
  <c r="R592" i="36"/>
  <c r="B592" i="36"/>
  <c r="B76" i="50"/>
  <c r="I591" i="36"/>
  <c r="J591" i="36"/>
  <c r="K591" i="36"/>
  <c r="L591" i="36"/>
  <c r="M591" i="36"/>
  <c r="N591" i="36"/>
  <c r="O591" i="36"/>
  <c r="C75" i="50"/>
  <c r="Q591" i="36"/>
  <c r="R591" i="36"/>
  <c r="B591" i="36"/>
  <c r="B75" i="50"/>
  <c r="AB74" i="50"/>
  <c r="I590" i="36"/>
  <c r="J590" i="36"/>
  <c r="K590" i="36"/>
  <c r="L590" i="36"/>
  <c r="M590" i="36"/>
  <c r="N590" i="36"/>
  <c r="O590" i="36"/>
  <c r="C74" i="50"/>
  <c r="Q590" i="36"/>
  <c r="R590" i="36"/>
  <c r="B590" i="36"/>
  <c r="B74" i="50"/>
  <c r="AB73" i="50"/>
  <c r="I589" i="36"/>
  <c r="J589" i="36"/>
  <c r="K589" i="36"/>
  <c r="L589" i="36"/>
  <c r="M589" i="36"/>
  <c r="N589" i="36"/>
  <c r="O589" i="36"/>
  <c r="C73" i="50"/>
  <c r="Q589" i="36"/>
  <c r="R589" i="36"/>
  <c r="B589" i="36"/>
  <c r="B73" i="50"/>
  <c r="I588" i="36"/>
  <c r="J588" i="36"/>
  <c r="K588" i="36"/>
  <c r="L588" i="36"/>
  <c r="M588" i="36"/>
  <c r="N588" i="36"/>
  <c r="O588" i="36"/>
  <c r="C72" i="50"/>
  <c r="Q588" i="36"/>
  <c r="R588" i="36"/>
  <c r="B588" i="36"/>
  <c r="B72" i="50"/>
  <c r="AB71" i="50"/>
  <c r="I587" i="36"/>
  <c r="J587" i="36"/>
  <c r="K587" i="36"/>
  <c r="L587" i="36"/>
  <c r="M587" i="36"/>
  <c r="N587" i="36"/>
  <c r="O587" i="36"/>
  <c r="C71" i="50"/>
  <c r="Q587" i="36"/>
  <c r="R587" i="36"/>
  <c r="B587" i="36"/>
  <c r="B71" i="50"/>
  <c r="AB70" i="50"/>
  <c r="I586" i="36"/>
  <c r="J586" i="36"/>
  <c r="K586" i="36"/>
  <c r="L586" i="36"/>
  <c r="M586" i="36"/>
  <c r="N586" i="36"/>
  <c r="O586" i="36"/>
  <c r="C70" i="50"/>
  <c r="Q586" i="36"/>
  <c r="R586" i="36"/>
  <c r="B586" i="36"/>
  <c r="B70" i="50"/>
  <c r="AB69" i="50"/>
  <c r="I585" i="36"/>
  <c r="J585" i="36"/>
  <c r="K585" i="36"/>
  <c r="L585" i="36"/>
  <c r="M585" i="36"/>
  <c r="N585" i="36"/>
  <c r="O585" i="36"/>
  <c r="C69" i="50"/>
  <c r="Q585" i="36"/>
  <c r="R585" i="36"/>
  <c r="B585" i="36"/>
  <c r="B69" i="50"/>
  <c r="I584" i="36"/>
  <c r="J584" i="36"/>
  <c r="K584" i="36"/>
  <c r="L584" i="36"/>
  <c r="M584" i="36"/>
  <c r="N584" i="36"/>
  <c r="O584" i="36"/>
  <c r="C68" i="50"/>
  <c r="Q584" i="36"/>
  <c r="R584" i="36"/>
  <c r="B584" i="36"/>
  <c r="B68" i="50"/>
  <c r="AB67" i="50"/>
  <c r="I583" i="36"/>
  <c r="J583" i="36"/>
  <c r="K583" i="36"/>
  <c r="L583" i="36"/>
  <c r="M583" i="36"/>
  <c r="N583" i="36"/>
  <c r="O583" i="36"/>
  <c r="C67" i="50"/>
  <c r="Q583" i="36"/>
  <c r="R583" i="36"/>
  <c r="B583" i="36"/>
  <c r="B67" i="50"/>
  <c r="AB66" i="50"/>
  <c r="I582" i="36"/>
  <c r="J582" i="36"/>
  <c r="K582" i="36"/>
  <c r="L582" i="36"/>
  <c r="M582" i="36"/>
  <c r="N582" i="36"/>
  <c r="O582" i="36"/>
  <c r="C66" i="50"/>
  <c r="Q582" i="36"/>
  <c r="R582" i="36"/>
  <c r="B582" i="36"/>
  <c r="B66" i="50"/>
  <c r="I581" i="36"/>
  <c r="J581" i="36"/>
  <c r="K581" i="36"/>
  <c r="L581" i="36"/>
  <c r="M581" i="36"/>
  <c r="N581" i="36"/>
  <c r="O581" i="36"/>
  <c r="C65" i="50"/>
  <c r="Q581" i="36"/>
  <c r="R581" i="36"/>
  <c r="B581" i="36"/>
  <c r="B65" i="50"/>
  <c r="AB64" i="50"/>
  <c r="I580" i="36"/>
  <c r="J580" i="36"/>
  <c r="K580" i="36"/>
  <c r="L580" i="36"/>
  <c r="M580" i="36"/>
  <c r="N580" i="36"/>
  <c r="O580" i="36"/>
  <c r="C64" i="50"/>
  <c r="Q580" i="36"/>
  <c r="R580" i="36"/>
  <c r="B580" i="36"/>
  <c r="B64" i="50"/>
  <c r="AB63" i="50"/>
  <c r="I579" i="36"/>
  <c r="J579" i="36"/>
  <c r="K579" i="36"/>
  <c r="L579" i="36"/>
  <c r="M579" i="36"/>
  <c r="N579" i="36"/>
  <c r="O579" i="36"/>
  <c r="C63" i="50"/>
  <c r="Q579" i="36"/>
  <c r="R579" i="36"/>
  <c r="B579" i="36"/>
  <c r="B63" i="50"/>
  <c r="AB62" i="50"/>
  <c r="I578" i="36"/>
  <c r="J578" i="36"/>
  <c r="K578" i="36"/>
  <c r="L578" i="36"/>
  <c r="M578" i="36"/>
  <c r="N578" i="36"/>
  <c r="O578" i="36"/>
  <c r="C62" i="50"/>
  <c r="Q578" i="36"/>
  <c r="R578" i="36"/>
  <c r="B578" i="36"/>
  <c r="B62" i="50"/>
  <c r="AB61" i="50"/>
  <c r="I577" i="36"/>
  <c r="J577" i="36"/>
  <c r="K577" i="36"/>
  <c r="L577" i="36"/>
  <c r="M577" i="36"/>
  <c r="N577" i="36"/>
  <c r="O577" i="36"/>
  <c r="C61" i="50"/>
  <c r="Q577" i="36"/>
  <c r="R577" i="36"/>
  <c r="B577" i="36"/>
  <c r="B61" i="50"/>
  <c r="I576" i="36"/>
  <c r="J576" i="36"/>
  <c r="K576" i="36"/>
  <c r="L576" i="36"/>
  <c r="M576" i="36"/>
  <c r="N576" i="36"/>
  <c r="O576" i="36"/>
  <c r="C60" i="50"/>
  <c r="Q576" i="36"/>
  <c r="R576" i="36"/>
  <c r="B576" i="36"/>
  <c r="B60" i="50"/>
  <c r="AB59" i="50"/>
  <c r="I575" i="36"/>
  <c r="J575" i="36"/>
  <c r="K575" i="36"/>
  <c r="L575" i="36"/>
  <c r="M575" i="36"/>
  <c r="N575" i="36"/>
  <c r="O575" i="36"/>
  <c r="C59" i="50"/>
  <c r="Q575" i="36"/>
  <c r="R575" i="36"/>
  <c r="B575" i="36"/>
  <c r="B59" i="50"/>
  <c r="I574" i="36"/>
  <c r="J574" i="36"/>
  <c r="K574" i="36"/>
  <c r="L574" i="36"/>
  <c r="M574" i="36"/>
  <c r="N574" i="36"/>
  <c r="O574" i="36"/>
  <c r="C58" i="50"/>
  <c r="R574" i="36"/>
  <c r="B574" i="36"/>
  <c r="B58" i="50"/>
  <c r="AB57" i="50"/>
  <c r="I573" i="36"/>
  <c r="J573" i="36"/>
  <c r="K573" i="36"/>
  <c r="L573" i="36"/>
  <c r="M573" i="36"/>
  <c r="N573" i="36"/>
  <c r="O573" i="36"/>
  <c r="C57" i="50"/>
  <c r="Q573" i="36"/>
  <c r="R573" i="36"/>
  <c r="B573" i="36"/>
  <c r="B57" i="50"/>
  <c r="AB56" i="50"/>
  <c r="I572" i="36"/>
  <c r="J572" i="36"/>
  <c r="K572" i="36"/>
  <c r="L572" i="36"/>
  <c r="M572" i="36"/>
  <c r="N572" i="36"/>
  <c r="O572" i="36"/>
  <c r="C56" i="50"/>
  <c r="Q572" i="36"/>
  <c r="R572" i="36"/>
  <c r="B572" i="36"/>
  <c r="B56" i="50"/>
  <c r="AB55" i="50"/>
  <c r="I571" i="36"/>
  <c r="J571" i="36"/>
  <c r="K571" i="36"/>
  <c r="L571" i="36"/>
  <c r="M571" i="36"/>
  <c r="N571" i="36"/>
  <c r="O571" i="36"/>
  <c r="C55" i="50"/>
  <c r="Q571" i="36"/>
  <c r="R571" i="36"/>
  <c r="B571" i="36"/>
  <c r="B55" i="50"/>
  <c r="AB54" i="50"/>
  <c r="I570" i="36"/>
  <c r="J570" i="36"/>
  <c r="K570" i="36"/>
  <c r="L570" i="36"/>
  <c r="M570" i="36"/>
  <c r="N570" i="36"/>
  <c r="O570" i="36"/>
  <c r="C54" i="50"/>
  <c r="Q570" i="36"/>
  <c r="R570" i="36"/>
  <c r="B570" i="36"/>
  <c r="B54" i="50"/>
  <c r="AB53" i="50"/>
  <c r="I569" i="36"/>
  <c r="J569" i="36"/>
  <c r="K569" i="36"/>
  <c r="L569" i="36"/>
  <c r="M569" i="36"/>
  <c r="N569" i="36"/>
  <c r="O569" i="36"/>
  <c r="C53" i="50"/>
  <c r="Q569" i="36"/>
  <c r="R569" i="36"/>
  <c r="B569" i="36"/>
  <c r="B53" i="50"/>
  <c r="AB52" i="50"/>
  <c r="I568" i="36"/>
  <c r="J568" i="36"/>
  <c r="K568" i="36"/>
  <c r="L568" i="36"/>
  <c r="M568" i="36"/>
  <c r="N568" i="36"/>
  <c r="O568" i="36"/>
  <c r="C52" i="50"/>
  <c r="Q568" i="36"/>
  <c r="R568" i="36"/>
  <c r="B568" i="36"/>
  <c r="B52" i="50"/>
  <c r="AB51" i="50"/>
  <c r="I567" i="36"/>
  <c r="J567" i="36"/>
  <c r="K567" i="36"/>
  <c r="L567" i="36"/>
  <c r="M567" i="36"/>
  <c r="N567" i="36"/>
  <c r="O567" i="36"/>
  <c r="C51" i="50"/>
  <c r="Q567" i="36"/>
  <c r="R567" i="36"/>
  <c r="B567" i="36"/>
  <c r="B51" i="50"/>
  <c r="AB50" i="50"/>
  <c r="I566" i="36"/>
  <c r="J566" i="36"/>
  <c r="K566" i="36"/>
  <c r="L566" i="36"/>
  <c r="M566" i="36"/>
  <c r="N566" i="36"/>
  <c r="O566" i="36"/>
  <c r="C50" i="50"/>
  <c r="Q566" i="36"/>
  <c r="R566" i="36"/>
  <c r="B566" i="36"/>
  <c r="B50" i="50"/>
  <c r="I565" i="36"/>
  <c r="J565" i="36"/>
  <c r="K565" i="36"/>
  <c r="L565" i="36"/>
  <c r="M565" i="36"/>
  <c r="N565" i="36"/>
  <c r="O565" i="36"/>
  <c r="C49" i="50"/>
  <c r="Q565" i="36"/>
  <c r="R565" i="36"/>
  <c r="B565" i="36"/>
  <c r="B49" i="50"/>
  <c r="AB48" i="50"/>
  <c r="I564" i="36"/>
  <c r="J564" i="36"/>
  <c r="K564" i="36"/>
  <c r="L564" i="36"/>
  <c r="M564" i="36"/>
  <c r="N564" i="36"/>
  <c r="O564" i="36"/>
  <c r="C48" i="50"/>
  <c r="Q564" i="36"/>
  <c r="R564" i="36"/>
  <c r="B564" i="36"/>
  <c r="B48" i="50"/>
  <c r="AB47" i="50"/>
  <c r="I563" i="36"/>
  <c r="J563" i="36"/>
  <c r="K563" i="36"/>
  <c r="L563" i="36"/>
  <c r="M563" i="36"/>
  <c r="N563" i="36"/>
  <c r="O563" i="36"/>
  <c r="C47" i="50"/>
  <c r="Q563" i="36"/>
  <c r="R563" i="36"/>
  <c r="B563" i="36"/>
  <c r="B47" i="50"/>
  <c r="AB46" i="50"/>
  <c r="I562" i="36"/>
  <c r="J562" i="36"/>
  <c r="K562" i="36"/>
  <c r="L562" i="36"/>
  <c r="M562" i="36"/>
  <c r="N562" i="36"/>
  <c r="O562" i="36"/>
  <c r="C46" i="50"/>
  <c r="Q562" i="36"/>
  <c r="R562" i="36"/>
  <c r="B562" i="36"/>
  <c r="B46" i="50"/>
  <c r="AB45" i="50"/>
  <c r="I561" i="36"/>
  <c r="J561" i="36"/>
  <c r="K561" i="36"/>
  <c r="L561" i="36"/>
  <c r="M561" i="36"/>
  <c r="N561" i="36"/>
  <c r="O561" i="36"/>
  <c r="C45" i="50"/>
  <c r="Q561" i="36"/>
  <c r="R561" i="36"/>
  <c r="B561" i="36"/>
  <c r="B45" i="50"/>
  <c r="AB44" i="50"/>
  <c r="I560" i="36"/>
  <c r="J560" i="36"/>
  <c r="K560" i="36"/>
  <c r="L560" i="36"/>
  <c r="M560" i="36"/>
  <c r="N560" i="36"/>
  <c r="O560" i="36"/>
  <c r="C44" i="50"/>
  <c r="Q560" i="36"/>
  <c r="R560" i="36"/>
  <c r="B560" i="36"/>
  <c r="B44" i="50"/>
  <c r="AB43" i="50"/>
  <c r="I559" i="36"/>
  <c r="J559" i="36"/>
  <c r="K559" i="36"/>
  <c r="L559" i="36"/>
  <c r="M559" i="36"/>
  <c r="N559" i="36"/>
  <c r="O559" i="36"/>
  <c r="C43" i="50"/>
  <c r="Q559" i="36"/>
  <c r="R559" i="36"/>
  <c r="B559" i="36"/>
  <c r="B43" i="50"/>
  <c r="AB42" i="50"/>
  <c r="I558" i="36"/>
  <c r="J558" i="36"/>
  <c r="K558" i="36"/>
  <c r="L558" i="36"/>
  <c r="M558" i="36"/>
  <c r="N558" i="36"/>
  <c r="O558" i="36"/>
  <c r="C42" i="50"/>
  <c r="Q558" i="36"/>
  <c r="R558" i="36"/>
  <c r="B558" i="36"/>
  <c r="B42" i="50"/>
  <c r="AB41" i="50"/>
  <c r="I557" i="36"/>
  <c r="J557" i="36"/>
  <c r="K557" i="36"/>
  <c r="L557" i="36"/>
  <c r="M557" i="36"/>
  <c r="N557" i="36"/>
  <c r="O557" i="36"/>
  <c r="C41" i="50"/>
  <c r="Q557" i="36"/>
  <c r="R557" i="36"/>
  <c r="B557" i="36"/>
  <c r="B41" i="50"/>
  <c r="AB40" i="50"/>
  <c r="I556" i="36"/>
  <c r="J556" i="36"/>
  <c r="K556" i="36"/>
  <c r="L556" i="36"/>
  <c r="M556" i="36"/>
  <c r="N556" i="36"/>
  <c r="O556" i="36"/>
  <c r="C40" i="50"/>
  <c r="Q556" i="36"/>
  <c r="R556" i="36"/>
  <c r="B556" i="36"/>
  <c r="B40" i="50"/>
  <c r="I555" i="36"/>
  <c r="J555" i="36"/>
  <c r="K555" i="36"/>
  <c r="L555" i="36"/>
  <c r="M555" i="36"/>
  <c r="N555" i="36"/>
  <c r="O555" i="36"/>
  <c r="C39" i="50"/>
  <c r="Q555" i="36"/>
  <c r="R555" i="36"/>
  <c r="B555" i="36"/>
  <c r="B39" i="50"/>
  <c r="AB38" i="50"/>
  <c r="I554" i="36"/>
  <c r="J554" i="36"/>
  <c r="K554" i="36"/>
  <c r="L554" i="36"/>
  <c r="M554" i="36"/>
  <c r="N554" i="36"/>
  <c r="O554" i="36"/>
  <c r="C38" i="50"/>
  <c r="Q554" i="36"/>
  <c r="R554" i="36"/>
  <c r="B554" i="36"/>
  <c r="B38" i="50"/>
  <c r="AB37" i="50"/>
  <c r="I553" i="36"/>
  <c r="J553" i="36"/>
  <c r="K553" i="36"/>
  <c r="L553" i="36"/>
  <c r="M553" i="36"/>
  <c r="N553" i="36"/>
  <c r="O553" i="36"/>
  <c r="C37" i="50"/>
  <c r="Q553" i="36"/>
  <c r="R553" i="36"/>
  <c r="B553" i="36"/>
  <c r="B37" i="50"/>
  <c r="I552" i="36"/>
  <c r="J552" i="36"/>
  <c r="K552" i="36"/>
  <c r="L552" i="36"/>
  <c r="M552" i="36"/>
  <c r="N552" i="36"/>
  <c r="O552" i="36"/>
  <c r="C36" i="50"/>
  <c r="R552" i="36"/>
  <c r="B552" i="36"/>
  <c r="B36" i="50"/>
  <c r="AB35" i="50"/>
  <c r="I551" i="36"/>
  <c r="J551" i="36"/>
  <c r="K551" i="36"/>
  <c r="L551" i="36"/>
  <c r="M551" i="36"/>
  <c r="N551" i="36"/>
  <c r="O551" i="36"/>
  <c r="C35" i="50"/>
  <c r="Q551" i="36"/>
  <c r="R551" i="36"/>
  <c r="B551" i="36"/>
  <c r="B35" i="50"/>
  <c r="AB34" i="50"/>
  <c r="I550" i="36"/>
  <c r="J550" i="36"/>
  <c r="K550" i="36"/>
  <c r="L550" i="36"/>
  <c r="M550" i="36"/>
  <c r="N550" i="36"/>
  <c r="O550" i="36"/>
  <c r="C34" i="50"/>
  <c r="Q550" i="36"/>
  <c r="R550" i="36"/>
  <c r="B550" i="36"/>
  <c r="B34" i="50"/>
  <c r="AB33" i="50"/>
  <c r="I549" i="36"/>
  <c r="J549" i="36"/>
  <c r="K549" i="36"/>
  <c r="L549" i="36"/>
  <c r="M549" i="36"/>
  <c r="N549" i="36"/>
  <c r="O549" i="36"/>
  <c r="C33" i="50"/>
  <c r="Q549" i="36"/>
  <c r="R549" i="36"/>
  <c r="B549" i="36"/>
  <c r="B33" i="50"/>
  <c r="AB32" i="50"/>
  <c r="I548" i="36"/>
  <c r="J548" i="36"/>
  <c r="K548" i="36"/>
  <c r="L548" i="36"/>
  <c r="M548" i="36"/>
  <c r="N548" i="36"/>
  <c r="O548" i="36"/>
  <c r="C32" i="50"/>
  <c r="Q548" i="36"/>
  <c r="R548" i="36"/>
  <c r="B548" i="36"/>
  <c r="B32" i="50"/>
  <c r="AB31" i="50"/>
  <c r="I547" i="36"/>
  <c r="J547" i="36"/>
  <c r="K547" i="36"/>
  <c r="L547" i="36"/>
  <c r="M547" i="36"/>
  <c r="N547" i="36"/>
  <c r="O547" i="36"/>
  <c r="C31" i="50"/>
  <c r="Q547" i="36"/>
  <c r="R547" i="36"/>
  <c r="B547" i="36"/>
  <c r="B31" i="50"/>
  <c r="I546" i="36"/>
  <c r="J546" i="36"/>
  <c r="K546" i="36"/>
  <c r="L546" i="36"/>
  <c r="M546" i="36"/>
  <c r="N546" i="36"/>
  <c r="O546" i="36"/>
  <c r="C30" i="50"/>
  <c r="Q546" i="36"/>
  <c r="R546" i="36"/>
  <c r="B546" i="36"/>
  <c r="B30" i="50"/>
  <c r="AB29" i="50"/>
  <c r="I29" i="50"/>
  <c r="I545" i="36"/>
  <c r="J545" i="36"/>
  <c r="K545" i="36"/>
  <c r="L545" i="36"/>
  <c r="M545" i="36"/>
  <c r="N545" i="36"/>
  <c r="O545" i="36"/>
  <c r="C29" i="50"/>
  <c r="Q545" i="36"/>
  <c r="R545" i="36"/>
  <c r="B545" i="36"/>
  <c r="B29" i="50"/>
  <c r="AB28" i="50"/>
  <c r="I28" i="50"/>
  <c r="I544" i="36"/>
  <c r="J544" i="36"/>
  <c r="K544" i="36"/>
  <c r="L544" i="36"/>
  <c r="M544" i="36"/>
  <c r="N544" i="36"/>
  <c r="O544" i="36"/>
  <c r="C28" i="50"/>
  <c r="Q544" i="36"/>
  <c r="R544" i="36"/>
  <c r="B544" i="36"/>
  <c r="B28" i="50"/>
  <c r="AB27" i="50"/>
  <c r="I27" i="50"/>
  <c r="I543" i="36"/>
  <c r="J543" i="36"/>
  <c r="K543" i="36"/>
  <c r="L543" i="36"/>
  <c r="M543" i="36"/>
  <c r="N543" i="36"/>
  <c r="O543" i="36"/>
  <c r="C27" i="50"/>
  <c r="Q543" i="36"/>
  <c r="R543" i="36"/>
  <c r="B543" i="36"/>
  <c r="B27" i="50"/>
  <c r="AB26" i="50"/>
  <c r="I26" i="50"/>
  <c r="I542" i="36"/>
  <c r="J542" i="36"/>
  <c r="K542" i="36"/>
  <c r="L542" i="36"/>
  <c r="M542" i="36"/>
  <c r="N542" i="36"/>
  <c r="O542" i="36"/>
  <c r="C26" i="50"/>
  <c r="Q542" i="36"/>
  <c r="R542" i="36"/>
  <c r="B542" i="36"/>
  <c r="B26" i="50"/>
  <c r="AB25" i="50"/>
  <c r="I25" i="50"/>
  <c r="I541" i="36"/>
  <c r="J541" i="36"/>
  <c r="K541" i="36"/>
  <c r="L541" i="36"/>
  <c r="M541" i="36"/>
  <c r="N541" i="36"/>
  <c r="O541" i="36"/>
  <c r="C25" i="50"/>
  <c r="Q541" i="36"/>
  <c r="R541" i="36"/>
  <c r="B541" i="36"/>
  <c r="B25" i="50"/>
  <c r="AB24" i="50"/>
  <c r="I24" i="50"/>
  <c r="I540" i="36"/>
  <c r="J540" i="36"/>
  <c r="K540" i="36"/>
  <c r="L540" i="36"/>
  <c r="M540" i="36"/>
  <c r="N540" i="36"/>
  <c r="O540" i="36"/>
  <c r="C24" i="50"/>
  <c r="Q540" i="36"/>
  <c r="R540" i="36"/>
  <c r="B540" i="36"/>
  <c r="B24" i="50"/>
  <c r="AB23" i="50"/>
  <c r="I23" i="50"/>
  <c r="I539" i="36"/>
  <c r="J539" i="36"/>
  <c r="K539" i="36"/>
  <c r="L539" i="36"/>
  <c r="M539" i="36"/>
  <c r="N539" i="36"/>
  <c r="O539" i="36"/>
  <c r="C23" i="50"/>
  <c r="Q539" i="36"/>
  <c r="R539" i="36"/>
  <c r="B539" i="36"/>
  <c r="B23" i="50"/>
  <c r="I22" i="50"/>
  <c r="I538" i="36"/>
  <c r="J538" i="36"/>
  <c r="K538" i="36"/>
  <c r="L538" i="36"/>
  <c r="M538" i="36"/>
  <c r="N538" i="36"/>
  <c r="O538" i="36"/>
  <c r="C22" i="50"/>
  <c r="Q538" i="36"/>
  <c r="R538" i="36"/>
  <c r="B538" i="36"/>
  <c r="B22" i="50"/>
  <c r="AB21" i="50"/>
  <c r="I21" i="50"/>
  <c r="I537" i="36"/>
  <c r="J537" i="36"/>
  <c r="K537" i="36"/>
  <c r="L537" i="36"/>
  <c r="M537" i="36"/>
  <c r="N537" i="36"/>
  <c r="O537" i="36"/>
  <c r="C21" i="50"/>
  <c r="Q537" i="36"/>
  <c r="R537" i="36"/>
  <c r="B537" i="36"/>
  <c r="B21" i="50"/>
  <c r="I20" i="50"/>
  <c r="I536" i="36"/>
  <c r="J536" i="36"/>
  <c r="K536" i="36"/>
  <c r="L536" i="36"/>
  <c r="M536" i="36"/>
  <c r="N536" i="36"/>
  <c r="O536" i="36"/>
  <c r="C20" i="50"/>
  <c r="R536" i="36"/>
  <c r="B536" i="36"/>
  <c r="B20" i="50"/>
  <c r="AB19" i="50"/>
  <c r="I19" i="50"/>
  <c r="I535" i="36"/>
  <c r="J535" i="36"/>
  <c r="K535" i="36"/>
  <c r="L535" i="36"/>
  <c r="M535" i="36"/>
  <c r="N535" i="36"/>
  <c r="O535" i="36"/>
  <c r="C19" i="50"/>
  <c r="Q535" i="36"/>
  <c r="R535" i="36"/>
  <c r="B535" i="36"/>
  <c r="B19" i="50"/>
  <c r="AB18" i="50"/>
  <c r="I18" i="50"/>
  <c r="I534" i="36"/>
  <c r="J534" i="36"/>
  <c r="K534" i="36"/>
  <c r="L534" i="36"/>
  <c r="M534" i="36"/>
  <c r="N534" i="36"/>
  <c r="O534" i="36"/>
  <c r="C18" i="50"/>
  <c r="Q534" i="36"/>
  <c r="R534" i="36"/>
  <c r="B534" i="36"/>
  <c r="B18" i="50"/>
  <c r="AB17" i="50"/>
  <c r="I17" i="50"/>
  <c r="I533" i="36"/>
  <c r="J533" i="36"/>
  <c r="K533" i="36"/>
  <c r="L533" i="36"/>
  <c r="M533" i="36"/>
  <c r="N533" i="36"/>
  <c r="O533" i="36"/>
  <c r="C17" i="50"/>
  <c r="Q533" i="36"/>
  <c r="R533" i="36"/>
  <c r="B533" i="36"/>
  <c r="B17" i="50"/>
  <c r="AB16" i="50"/>
  <c r="I16" i="50"/>
  <c r="I532" i="36"/>
  <c r="J532" i="36"/>
  <c r="K532" i="36"/>
  <c r="L532" i="36"/>
  <c r="M532" i="36"/>
  <c r="N532" i="36"/>
  <c r="O532" i="36"/>
  <c r="C16" i="50"/>
  <c r="Q532" i="36"/>
  <c r="R532" i="36"/>
  <c r="B532" i="36"/>
  <c r="B16" i="50"/>
  <c r="AB15" i="50"/>
  <c r="I15" i="50"/>
  <c r="I531" i="36"/>
  <c r="J531" i="36"/>
  <c r="K531" i="36"/>
  <c r="L531" i="36"/>
  <c r="M531" i="36"/>
  <c r="N531" i="36"/>
  <c r="O531" i="36"/>
  <c r="C15" i="50"/>
  <c r="Q531" i="36"/>
  <c r="R531" i="36"/>
  <c r="B531" i="36"/>
  <c r="B15" i="50"/>
  <c r="AB14" i="50"/>
  <c r="I14" i="50"/>
  <c r="I530" i="36"/>
  <c r="J530" i="36"/>
  <c r="K530" i="36"/>
  <c r="L530" i="36"/>
  <c r="M530" i="36"/>
  <c r="N530" i="36"/>
  <c r="O530" i="36"/>
  <c r="C14" i="50"/>
  <c r="Q530" i="36"/>
  <c r="R530" i="36"/>
  <c r="B530" i="36"/>
  <c r="B14" i="50"/>
  <c r="AB13" i="50"/>
  <c r="I13" i="50"/>
  <c r="I529" i="36"/>
  <c r="J529" i="36"/>
  <c r="K529" i="36"/>
  <c r="L529" i="36"/>
  <c r="M529" i="36"/>
  <c r="N529" i="36"/>
  <c r="O529" i="36"/>
  <c r="C13" i="50"/>
  <c r="Q529" i="36"/>
  <c r="R529" i="36"/>
  <c r="B529" i="36"/>
  <c r="B13" i="50"/>
  <c r="AB12" i="50"/>
  <c r="I12" i="50"/>
  <c r="I528" i="36"/>
  <c r="J528" i="36"/>
  <c r="K528" i="36"/>
  <c r="L528" i="36"/>
  <c r="M528" i="36"/>
  <c r="N528" i="36"/>
  <c r="O528" i="36"/>
  <c r="C12" i="50"/>
  <c r="Q528" i="36"/>
  <c r="R528" i="36"/>
  <c r="B528" i="36"/>
  <c r="B12" i="50"/>
  <c r="AB11" i="50"/>
  <c r="I11" i="50"/>
  <c r="I527" i="36"/>
  <c r="J527" i="36"/>
  <c r="K527" i="36"/>
  <c r="L527" i="36"/>
  <c r="M527" i="36"/>
  <c r="N527" i="36"/>
  <c r="O527" i="36"/>
  <c r="C11" i="50"/>
  <c r="Q527" i="36"/>
  <c r="R527" i="36"/>
  <c r="B527" i="36"/>
  <c r="B11" i="50"/>
  <c r="AB10" i="50"/>
  <c r="I10" i="50"/>
  <c r="I526" i="36"/>
  <c r="J526" i="36"/>
  <c r="K526" i="36"/>
  <c r="L526" i="36"/>
  <c r="M526" i="36"/>
  <c r="N526" i="36"/>
  <c r="O526" i="36"/>
  <c r="C10" i="50"/>
  <c r="Q526" i="36"/>
  <c r="R526" i="36"/>
  <c r="B526" i="36"/>
  <c r="B10" i="50"/>
  <c r="AB9" i="50"/>
  <c r="I9" i="50"/>
  <c r="I525" i="36"/>
  <c r="J525" i="36"/>
  <c r="K525" i="36"/>
  <c r="L525" i="36"/>
  <c r="M525" i="36"/>
  <c r="N525" i="36"/>
  <c r="O525" i="36"/>
  <c r="C9" i="50"/>
  <c r="Q525" i="36"/>
  <c r="R525" i="36"/>
  <c r="B525" i="36"/>
  <c r="B9" i="50"/>
  <c r="H8" i="50"/>
  <c r="I8" i="50"/>
  <c r="I524" i="36"/>
  <c r="J524" i="36"/>
  <c r="K524" i="36"/>
  <c r="L524" i="36"/>
  <c r="M524" i="36"/>
  <c r="N524" i="36"/>
  <c r="O524" i="36"/>
  <c r="C8" i="50"/>
  <c r="R524" i="36"/>
  <c r="B524" i="36"/>
  <c r="B8" i="50"/>
  <c r="I13" i="37"/>
  <c r="AC18" i="21"/>
  <c r="AF18" i="21"/>
  <c r="AC17" i="21"/>
  <c r="AE17" i="21" s="1"/>
  <c r="AC16" i="21"/>
  <c r="AF16" i="21"/>
  <c r="AC15" i="21"/>
  <c r="AC14" i="21"/>
  <c r="AF14" i="21"/>
  <c r="AC13" i="21"/>
  <c r="AC12" i="21"/>
  <c r="AF12" i="21" s="1"/>
  <c r="AB12" i="21"/>
  <c r="AE12" i="21" s="1"/>
  <c r="AC11" i="21"/>
  <c r="AC10" i="21"/>
  <c r="AF10" i="21" s="1"/>
  <c r="AC9" i="21"/>
  <c r="AC8" i="21"/>
  <c r="AF8" i="21"/>
  <c r="AC7" i="21"/>
  <c r="AF7" i="21" s="1"/>
  <c r="AC6" i="21"/>
  <c r="AF6" i="21" s="1"/>
  <c r="AC5" i="21"/>
  <c r="AF5" i="21" s="1"/>
  <c r="AC4" i="21"/>
  <c r="AF4" i="21"/>
  <c r="AC3" i="21"/>
  <c r="AF3" i="21" s="1"/>
  <c r="AC2" i="21"/>
  <c r="AF2" i="21"/>
  <c r="AC1" i="21"/>
  <c r="AF1" i="21" s="1"/>
  <c r="AB2" i="21"/>
  <c r="AB3" i="21"/>
  <c r="AE3" i="21" s="1"/>
  <c r="AB4" i="21"/>
  <c r="AB5" i="21"/>
  <c r="AB6" i="21"/>
  <c r="AE6" i="21" s="1"/>
  <c r="AB7" i="21"/>
  <c r="AE7" i="21" s="1"/>
  <c r="AB8" i="21"/>
  <c r="AE8" i="21" s="1"/>
  <c r="AB9" i="21"/>
  <c r="AE9" i="21" s="1"/>
  <c r="AB10" i="21"/>
  <c r="AE10" i="21" s="1"/>
  <c r="AB11" i="21"/>
  <c r="AE11" i="21" s="1"/>
  <c r="AB13" i="21"/>
  <c r="AB14" i="21"/>
  <c r="AE14" i="21" s="1"/>
  <c r="AB15" i="21"/>
  <c r="AB16" i="21"/>
  <c r="AB17" i="21"/>
  <c r="AB18" i="21"/>
  <c r="AE18" i="21" s="1"/>
  <c r="AB1" i="21"/>
  <c r="AG2" i="21"/>
  <c r="AG3" i="21"/>
  <c r="AG4" i="21"/>
  <c r="AG5" i="21"/>
  <c r="AG6" i="21"/>
  <c r="AG7" i="21"/>
  <c r="AG8" i="21"/>
  <c r="AG9" i="21"/>
  <c r="AG10" i="21"/>
  <c r="AG11" i="21"/>
  <c r="AG12" i="21"/>
  <c r="AG13" i="21"/>
  <c r="AG14" i="21"/>
  <c r="AG15" i="21"/>
  <c r="AG16" i="21"/>
  <c r="AG17" i="21"/>
  <c r="AG18" i="21"/>
  <c r="AG1" i="21"/>
  <c r="F27" i="37"/>
  <c r="F21" i="37"/>
  <c r="F30" i="37"/>
  <c r="Q599" i="36"/>
  <c r="Q621" i="36"/>
  <c r="U588" i="36"/>
  <c r="U584" i="36"/>
  <c r="U606" i="36"/>
  <c r="U617" i="36"/>
  <c r="S617" i="36"/>
  <c r="U632" i="36"/>
  <c r="U587" i="36"/>
  <c r="U597" i="36"/>
  <c r="U586" i="36"/>
  <c r="U593" i="36"/>
  <c r="U605" i="36"/>
  <c r="U612" i="36"/>
  <c r="S612" i="36"/>
  <c r="S602" i="36"/>
  <c r="U602" i="36"/>
  <c r="C83" i="38"/>
  <c r="U599" i="36"/>
  <c r="U598" i="36"/>
  <c r="U590" i="36"/>
  <c r="U594" i="36"/>
  <c r="U604" i="36"/>
  <c r="U614" i="36"/>
  <c r="U631" i="36"/>
  <c r="S631" i="36"/>
  <c r="U611" i="36"/>
  <c r="S611" i="36"/>
  <c r="S618" i="36"/>
  <c r="U618" i="36"/>
  <c r="U603" i="36"/>
  <c r="U607" i="36"/>
  <c r="S607" i="36"/>
  <c r="C127" i="38"/>
  <c r="U643" i="36"/>
  <c r="S643" i="36"/>
  <c r="U589" i="36"/>
  <c r="U629" i="36"/>
  <c r="C125" i="38"/>
  <c r="U641" i="36"/>
  <c r="U583" i="36"/>
  <c r="S583" i="36"/>
  <c r="S622" i="36"/>
  <c r="U622" i="36"/>
  <c r="U615" i="36"/>
  <c r="C105" i="38"/>
  <c r="U621" i="36"/>
  <c r="S621" i="36"/>
  <c r="U619" i="36"/>
  <c r="U608" i="36"/>
  <c r="S608" i="36"/>
  <c r="U624" i="36"/>
  <c r="S624" i="36"/>
  <c r="C124" i="38"/>
  <c r="U640" i="36"/>
  <c r="S640" i="36"/>
  <c r="C120" i="38"/>
  <c r="S636" i="36"/>
  <c r="U636" i="36"/>
  <c r="S630" i="36"/>
  <c r="U630" i="36"/>
  <c r="C126" i="38"/>
  <c r="U642" i="36"/>
  <c r="C117" i="38"/>
  <c r="U633" i="36"/>
  <c r="S633" i="36"/>
  <c r="S620" i="36"/>
  <c r="U620" i="36"/>
  <c r="C122" i="38"/>
  <c r="U638" i="36"/>
  <c r="U628" i="36"/>
  <c r="C129" i="38"/>
  <c r="U645" i="36"/>
  <c r="C128" i="38"/>
  <c r="U644" i="36"/>
  <c r="S644" i="36"/>
  <c r="U579" i="36"/>
  <c r="S628" i="36"/>
  <c r="U627" i="36"/>
  <c r="U591" i="36"/>
  <c r="C123" i="38"/>
  <c r="U639" i="36"/>
  <c r="S639" i="36"/>
  <c r="U585" i="36"/>
  <c r="C121" i="38"/>
  <c r="U637" i="36"/>
  <c r="S637" i="36"/>
  <c r="U592" i="36"/>
  <c r="U581" i="36"/>
  <c r="S581" i="36"/>
  <c r="U580" i="36"/>
  <c r="U609" i="36"/>
  <c r="S609" i="36"/>
  <c r="S582" i="36"/>
  <c r="U582" i="36"/>
  <c r="C118" i="38"/>
  <c r="S634" i="36"/>
  <c r="U634" i="36"/>
  <c r="U623" i="36"/>
  <c r="U625" i="36"/>
  <c r="S625" i="36"/>
  <c r="U613" i="36"/>
  <c r="C119" i="38"/>
  <c r="U635" i="36"/>
  <c r="U626" i="36"/>
  <c r="S616" i="36"/>
  <c r="U616" i="36"/>
  <c r="C130" i="38"/>
  <c r="U646" i="36"/>
  <c r="U601" i="36"/>
  <c r="S601" i="36"/>
  <c r="U600" i="36"/>
  <c r="S600" i="36"/>
  <c r="U595" i="36"/>
  <c r="U610" i="36"/>
  <c r="U596" i="36"/>
  <c r="S599" i="36"/>
  <c r="S595" i="36"/>
  <c r="S594" i="36"/>
  <c r="S592" i="36"/>
  <c r="S591" i="36"/>
  <c r="S589" i="36"/>
  <c r="S588" i="36"/>
  <c r="S587" i="36"/>
  <c r="S585" i="36"/>
  <c r="S584" i="36"/>
  <c r="AF15" i="21"/>
  <c r="AF13" i="21"/>
  <c r="AF11" i="21"/>
  <c r="AF9" i="21"/>
  <c r="S593" i="36"/>
  <c r="S623" i="36"/>
  <c r="S614" i="36"/>
  <c r="S580" i="36"/>
  <c r="S645" i="36"/>
  <c r="S632" i="36"/>
  <c r="S604" i="36"/>
  <c r="S626" i="36"/>
  <c r="S615" i="36"/>
  <c r="S606" i="36"/>
  <c r="T635" i="36"/>
  <c r="T610" i="36"/>
  <c r="T600" i="36"/>
  <c r="T609" i="36"/>
  <c r="T637" i="36"/>
  <c r="T639" i="36"/>
  <c r="T629" i="36"/>
  <c r="T618" i="36"/>
  <c r="B83" i="38"/>
  <c r="T623" i="36"/>
  <c r="T644" i="36"/>
  <c r="T619" i="36"/>
  <c r="T622" i="36"/>
  <c r="T643" i="36"/>
  <c r="T631" i="36"/>
  <c r="T582" i="36"/>
  <c r="T628" i="36"/>
  <c r="T608" i="36"/>
  <c r="S610" i="36"/>
  <c r="T633" i="36"/>
  <c r="T636" i="36"/>
  <c r="S619" i="36"/>
  <c r="T583" i="36"/>
  <c r="T602" i="36"/>
  <c r="T646" i="36"/>
  <c r="T617" i="36"/>
  <c r="T642" i="36"/>
  <c r="T641" i="36"/>
  <c r="T603" i="36"/>
  <c r="T604" i="36"/>
  <c r="T601" i="36"/>
  <c r="T580" i="36"/>
  <c r="T615" i="36"/>
  <c r="T611" i="36"/>
  <c r="S635" i="36"/>
  <c r="T607" i="36"/>
  <c r="T614" i="36"/>
  <c r="T632" i="36"/>
  <c r="T638" i="36"/>
  <c r="T612" i="36"/>
  <c r="S613" i="36"/>
  <c r="T640" i="36"/>
  <c r="S605" i="36"/>
  <c r="T626" i="36"/>
  <c r="T625" i="36"/>
  <c r="S627" i="36"/>
  <c r="S629" i="36"/>
  <c r="S646" i="36"/>
  <c r="T616" i="36"/>
  <c r="T613" i="36"/>
  <c r="T634" i="36"/>
  <c r="T581" i="36"/>
  <c r="T627" i="36"/>
  <c r="T645" i="36"/>
  <c r="S638" i="36"/>
  <c r="T620" i="36"/>
  <c r="S642" i="36"/>
  <c r="T630" i="36"/>
  <c r="T624" i="36"/>
  <c r="T621" i="36"/>
  <c r="S641" i="36"/>
  <c r="S603" i="36"/>
  <c r="T605" i="36"/>
  <c r="T606" i="36"/>
  <c r="S598" i="36"/>
  <c r="T599" i="36"/>
  <c r="S597" i="36"/>
  <c r="T598" i="36"/>
  <c r="S596" i="36"/>
  <c r="T597" i="36"/>
  <c r="T596" i="36"/>
  <c r="T595" i="36"/>
  <c r="T594" i="36"/>
  <c r="T593" i="36"/>
  <c r="T592" i="36"/>
  <c r="S590" i="36"/>
  <c r="T591" i="36"/>
  <c r="T590" i="36"/>
  <c r="T589" i="36"/>
  <c r="T588" i="36"/>
  <c r="S586" i="36"/>
  <c r="T587" i="36"/>
  <c r="T586" i="36"/>
  <c r="T585" i="36"/>
  <c r="T584" i="36"/>
  <c r="B105" i="38"/>
  <c r="B124" i="38"/>
  <c r="B130" i="38"/>
  <c r="B123" i="38"/>
  <c r="B122" i="38"/>
  <c r="B129" i="38"/>
  <c r="B126" i="38"/>
  <c r="B121" i="38"/>
  <c r="B118" i="38"/>
  <c r="B127" i="38"/>
  <c r="B120" i="38"/>
  <c r="B128" i="38"/>
  <c r="B117" i="38"/>
  <c r="B119" i="38"/>
  <c r="B125" i="38"/>
  <c r="U5" i="20"/>
  <c r="U4" i="20"/>
  <c r="Q574" i="36"/>
  <c r="Q552" i="36"/>
  <c r="Q524" i="36"/>
  <c r="Q523" i="36"/>
  <c r="Q513" i="36"/>
  <c r="Q489" i="36"/>
  <c r="Q471" i="36"/>
  <c r="Q470" i="36"/>
  <c r="Q437" i="36"/>
  <c r="Q366" i="36"/>
  <c r="Q327" i="36"/>
  <c r="Q305" i="36"/>
  <c r="Q304" i="36"/>
  <c r="Q263" i="36"/>
  <c r="Q262" i="36"/>
  <c r="Q261" i="36"/>
  <c r="Q259" i="36"/>
  <c r="Q258" i="36"/>
  <c r="Q257" i="36"/>
  <c r="Q255" i="36"/>
  <c r="Q254" i="36"/>
  <c r="Q253" i="36"/>
  <c r="Q252" i="36"/>
  <c r="Q251" i="36"/>
  <c r="Q250" i="36"/>
  <c r="Q247" i="36"/>
  <c r="Q246" i="36"/>
  <c r="Q245" i="36"/>
  <c r="Q238" i="36"/>
  <c r="Q237" i="36"/>
  <c r="Q235" i="36"/>
  <c r="Q234" i="36"/>
  <c r="Q233" i="36"/>
  <c r="Q232" i="36"/>
  <c r="Q231" i="36"/>
  <c r="Q230" i="36"/>
  <c r="Q227" i="36"/>
  <c r="Q226" i="36"/>
  <c r="Q225" i="36"/>
  <c r="Q222" i="36"/>
  <c r="Q221" i="36"/>
  <c r="Q220" i="36"/>
  <c r="Q219" i="36"/>
  <c r="Q218" i="36"/>
  <c r="Q215" i="36"/>
  <c r="Q214" i="36"/>
  <c r="Q213" i="36"/>
  <c r="Q212" i="36"/>
  <c r="Q211" i="36"/>
  <c r="Q207" i="36"/>
  <c r="Q206" i="36"/>
  <c r="Q204" i="36"/>
  <c r="Q203" i="36"/>
  <c r="Q202" i="36"/>
  <c r="Q201" i="36"/>
  <c r="Q200" i="36"/>
  <c r="Q199" i="36"/>
  <c r="Q196" i="36"/>
  <c r="Q195" i="36"/>
  <c r="Q194" i="36"/>
  <c r="Q191" i="36"/>
  <c r="Q190" i="36"/>
  <c r="Q189" i="36"/>
  <c r="Q188" i="36"/>
  <c r="Q184" i="36"/>
  <c r="Q183" i="36"/>
  <c r="Q182" i="36"/>
  <c r="Q181" i="36"/>
  <c r="Q180" i="36"/>
  <c r="Q178" i="36"/>
  <c r="Q177" i="36"/>
  <c r="Q176" i="36"/>
  <c r="Q175" i="36"/>
  <c r="Q174" i="36"/>
  <c r="Q173" i="36"/>
  <c r="Q169" i="36"/>
  <c r="Q168" i="36"/>
  <c r="Q167" i="36"/>
  <c r="Q165" i="36"/>
  <c r="Q164" i="36"/>
  <c r="Q163" i="36"/>
  <c r="Q162" i="36"/>
  <c r="Q160" i="36"/>
  <c r="Q159" i="36"/>
  <c r="Q158" i="36"/>
  <c r="Q157" i="36"/>
  <c r="Q152" i="36"/>
  <c r="Q151" i="36"/>
  <c r="Q150" i="36"/>
  <c r="Q149" i="36"/>
  <c r="Q148" i="36"/>
  <c r="Q147" i="36"/>
  <c r="Q145" i="36"/>
  <c r="Q144" i="36"/>
  <c r="Q138" i="36"/>
  <c r="Q137" i="36"/>
  <c r="Q136" i="36"/>
  <c r="Q134" i="36"/>
  <c r="Q133" i="36"/>
  <c r="Q131" i="36"/>
  <c r="Q130" i="36"/>
  <c r="Q129" i="36"/>
  <c r="Q127" i="36"/>
  <c r="Q126" i="36"/>
  <c r="Q125" i="36"/>
  <c r="Q123" i="36"/>
  <c r="Q122" i="36"/>
  <c r="Q121" i="36"/>
  <c r="Q120" i="36"/>
  <c r="Q118" i="36"/>
  <c r="Q117" i="36"/>
  <c r="Q116" i="36"/>
  <c r="Q115" i="36"/>
  <c r="Q113" i="36"/>
  <c r="Q112" i="36"/>
  <c r="Q111" i="36"/>
  <c r="Q109" i="36"/>
  <c r="Q108" i="36"/>
  <c r="Q107" i="36"/>
  <c r="Q106" i="36"/>
  <c r="Q104" i="36"/>
  <c r="Q103" i="36"/>
  <c r="Q101" i="36"/>
  <c r="Q100" i="36"/>
  <c r="Q99" i="36"/>
  <c r="Q98" i="36"/>
  <c r="Q97" i="36"/>
  <c r="Q96" i="36"/>
  <c r="Q95" i="36"/>
  <c r="Q94" i="36"/>
  <c r="Q92" i="36"/>
  <c r="Q91" i="36"/>
  <c r="Q90" i="36"/>
  <c r="Q87" i="36"/>
  <c r="Q86" i="36"/>
  <c r="Q85" i="36"/>
  <c r="Q84" i="36"/>
  <c r="Q83" i="36"/>
  <c r="Q80" i="36"/>
  <c r="Q79" i="36"/>
  <c r="Q78" i="36"/>
  <c r="Q77" i="36"/>
  <c r="Q76" i="36"/>
  <c r="Q74" i="36"/>
  <c r="Q73" i="36"/>
  <c r="Q72" i="36"/>
  <c r="Q70" i="36"/>
  <c r="Q69" i="36"/>
  <c r="Q68" i="36"/>
  <c r="Q66" i="36"/>
  <c r="Q65" i="36"/>
  <c r="Q62" i="36"/>
  <c r="Q61" i="36"/>
  <c r="Q60" i="36"/>
  <c r="Q52" i="36"/>
  <c r="Q51" i="36"/>
  <c r="Q49" i="36"/>
  <c r="Q48" i="36"/>
  <c r="Q47" i="36"/>
  <c r="Q43" i="36"/>
  <c r="Q42" i="36"/>
  <c r="Q41" i="36"/>
  <c r="Q39" i="36"/>
  <c r="Q38" i="36"/>
  <c r="Q37" i="36"/>
  <c r="Q36" i="36"/>
  <c r="Q34" i="36"/>
  <c r="Q33" i="36"/>
  <c r="Q32" i="36"/>
  <c r="Q31" i="36"/>
  <c r="Q30" i="36"/>
  <c r="Q29" i="36"/>
  <c r="Q26" i="36"/>
  <c r="Q22" i="36"/>
  <c r="Q21" i="36"/>
  <c r="Q20" i="36"/>
  <c r="Q19" i="36"/>
  <c r="Q18" i="36"/>
  <c r="Q16" i="36"/>
  <c r="Q15" i="36"/>
  <c r="Q14" i="36"/>
  <c r="Q10" i="36"/>
  <c r="Q9" i="36"/>
  <c r="Q7" i="36"/>
  <c r="Q6" i="36"/>
  <c r="Q372" i="36"/>
  <c r="Q248" i="36"/>
  <c r="Q243" i="36"/>
  <c r="Q240" i="36"/>
  <c r="Q239" i="36"/>
  <c r="Q228" i="36"/>
  <c r="Q223" i="36"/>
  <c r="Q216" i="36"/>
  <c r="Q209" i="36"/>
  <c r="Q197" i="36"/>
  <c r="Q192" i="36"/>
  <c r="Q186" i="36"/>
  <c r="Q185" i="36"/>
  <c r="Q171" i="36"/>
  <c r="Q155" i="36"/>
  <c r="Q153" i="36"/>
  <c r="Q142" i="36"/>
  <c r="Q140" i="36"/>
  <c r="Q139" i="36"/>
  <c r="Q81" i="36"/>
  <c r="Q63" i="36"/>
  <c r="Q58" i="36"/>
  <c r="Q55" i="36"/>
  <c r="Q54" i="36"/>
  <c r="Q53" i="36"/>
  <c r="Q45" i="36"/>
  <c r="Q44" i="36"/>
  <c r="Q27" i="36"/>
  <c r="Q25" i="36"/>
  <c r="Q24" i="36"/>
  <c r="Q12" i="36"/>
  <c r="Q11" i="36"/>
  <c r="Q4" i="36"/>
  <c r="Q536" i="36"/>
  <c r="Q415" i="36"/>
  <c r="Q348" i="36"/>
  <c r="Q260" i="36"/>
  <c r="Q256" i="36"/>
  <c r="Q249" i="36"/>
  <c r="Q244" i="36"/>
  <c r="Q236" i="36"/>
  <c r="Q229" i="36"/>
  <c r="Q224" i="36"/>
  <c r="Q217" i="36"/>
  <c r="Q210" i="36"/>
  <c r="Q205" i="36"/>
  <c r="Q198" i="36"/>
  <c r="Q193" i="36"/>
  <c r="Q187" i="36"/>
  <c r="Q179" i="36"/>
  <c r="Q172" i="36"/>
  <c r="Q166" i="36"/>
  <c r="Q161" i="36"/>
  <c r="Q156" i="36"/>
  <c r="Q146" i="36"/>
  <c r="Q143" i="36"/>
  <c r="Q135" i="36"/>
  <c r="Q132" i="36"/>
  <c r="Q128" i="36"/>
  <c r="Q124" i="36"/>
  <c r="Q119" i="36"/>
  <c r="Q114" i="36"/>
  <c r="Q110" i="36"/>
  <c r="Q105" i="36"/>
  <c r="Q102" i="36"/>
  <c r="Q93" i="36"/>
  <c r="Q89" i="36"/>
  <c r="Q82" i="36"/>
  <c r="Q75" i="36"/>
  <c r="Q71" i="36"/>
  <c r="Q67" i="36"/>
  <c r="Q64" i="36"/>
  <c r="Q59" i="36"/>
  <c r="Q50" i="36"/>
  <c r="Q46" i="36"/>
  <c r="Q40" i="36"/>
  <c r="Q35" i="36"/>
  <c r="Q28" i="36"/>
  <c r="Q17" i="36"/>
  <c r="Q13" i="36"/>
  <c r="Q8" i="36"/>
  <c r="Q5" i="36"/>
  <c r="Q371" i="36"/>
  <c r="Q154" i="36"/>
  <c r="Q141" i="36"/>
  <c r="Q88" i="36"/>
  <c r="Q57" i="36"/>
  <c r="Q333" i="36"/>
  <c r="Q242" i="36"/>
  <c r="Q208" i="36"/>
  <c r="Q170" i="36"/>
  <c r="Q56" i="36"/>
  <c r="Q23" i="36"/>
  <c r="Q3" i="36"/>
  <c r="Q2" i="36"/>
  <c r="Q241" i="36"/>
  <c r="I523" i="36"/>
  <c r="I262" i="36"/>
  <c r="I261" i="36"/>
  <c r="I259" i="36"/>
  <c r="I258" i="36"/>
  <c r="I257" i="36"/>
  <c r="I255" i="36"/>
  <c r="I254" i="36"/>
  <c r="I253" i="36"/>
  <c r="I252" i="36"/>
  <c r="I251" i="36"/>
  <c r="I250" i="36"/>
  <c r="I247" i="36"/>
  <c r="I246" i="36"/>
  <c r="I245" i="36"/>
  <c r="I238" i="36"/>
  <c r="I237" i="36"/>
  <c r="I235" i="36"/>
  <c r="I234" i="36"/>
  <c r="I233" i="36"/>
  <c r="I232" i="36"/>
  <c r="I231" i="36"/>
  <c r="I230" i="36"/>
  <c r="I227" i="36"/>
  <c r="I226" i="36"/>
  <c r="I225" i="36"/>
  <c r="I222" i="36"/>
  <c r="I221" i="36"/>
  <c r="I220" i="36"/>
  <c r="I219" i="36"/>
  <c r="I218" i="36"/>
  <c r="I215" i="36"/>
  <c r="I214" i="36"/>
  <c r="I213" i="36"/>
  <c r="I212" i="36"/>
  <c r="I211" i="36"/>
  <c r="I207" i="36"/>
  <c r="I206" i="36"/>
  <c r="I204" i="36"/>
  <c r="I203" i="36"/>
  <c r="I202" i="36"/>
  <c r="I201" i="36"/>
  <c r="I200" i="36"/>
  <c r="I199" i="36"/>
  <c r="I196" i="36"/>
  <c r="I195" i="36"/>
  <c r="I194" i="36"/>
  <c r="I191" i="36"/>
  <c r="I190" i="36"/>
  <c r="I189" i="36"/>
  <c r="I188" i="36"/>
  <c r="I184" i="36"/>
  <c r="I183" i="36"/>
  <c r="I182" i="36"/>
  <c r="I181" i="36"/>
  <c r="I180" i="36"/>
  <c r="I178" i="36"/>
  <c r="I177" i="36"/>
  <c r="I176" i="36"/>
  <c r="I175" i="36"/>
  <c r="I174" i="36"/>
  <c r="I173" i="36"/>
  <c r="I169" i="36"/>
  <c r="I168" i="36"/>
  <c r="I167" i="36"/>
  <c r="I165" i="36"/>
  <c r="I164" i="36"/>
  <c r="I163" i="36"/>
  <c r="I162" i="36"/>
  <c r="I160" i="36"/>
  <c r="I159" i="36"/>
  <c r="I158" i="36"/>
  <c r="I157" i="36"/>
  <c r="I152" i="36"/>
  <c r="I151" i="36"/>
  <c r="I150" i="36"/>
  <c r="I149" i="36"/>
  <c r="I148" i="36"/>
  <c r="I147" i="36"/>
  <c r="I145" i="36"/>
  <c r="I144" i="36"/>
  <c r="I138" i="36"/>
  <c r="I137" i="36"/>
  <c r="I136" i="36"/>
  <c r="I134" i="36"/>
  <c r="I133" i="36"/>
  <c r="I131" i="36"/>
  <c r="I130" i="36"/>
  <c r="I129" i="36"/>
  <c r="I127" i="36"/>
  <c r="I126" i="36"/>
  <c r="I125" i="36"/>
  <c r="I123" i="36"/>
  <c r="I122" i="36"/>
  <c r="I121" i="36"/>
  <c r="I120" i="36"/>
  <c r="I118" i="36"/>
  <c r="I117" i="36"/>
  <c r="I116" i="36"/>
  <c r="I115" i="36"/>
  <c r="I113" i="36"/>
  <c r="I112" i="36"/>
  <c r="I111" i="36"/>
  <c r="I109" i="36"/>
  <c r="I108" i="36"/>
  <c r="I107" i="36"/>
  <c r="I106" i="36"/>
  <c r="I104" i="36"/>
  <c r="I103" i="36"/>
  <c r="I101" i="36"/>
  <c r="I100" i="36"/>
  <c r="I99" i="36"/>
  <c r="I98" i="36"/>
  <c r="I97" i="36"/>
  <c r="I96" i="36"/>
  <c r="I95" i="36"/>
  <c r="I94" i="36"/>
  <c r="I92" i="36"/>
  <c r="I91" i="36"/>
  <c r="I90" i="36"/>
  <c r="I87" i="36"/>
  <c r="I86" i="36"/>
  <c r="I85" i="36"/>
  <c r="I84" i="36"/>
  <c r="I83" i="36"/>
  <c r="I80" i="36"/>
  <c r="I79" i="36"/>
  <c r="I78" i="36"/>
  <c r="I77" i="36"/>
  <c r="I76" i="36"/>
  <c r="I74" i="36"/>
  <c r="I73" i="36"/>
  <c r="I72" i="36"/>
  <c r="I70" i="36"/>
  <c r="I69" i="36"/>
  <c r="I68" i="36"/>
  <c r="I66" i="36"/>
  <c r="I65" i="36"/>
  <c r="I62" i="36"/>
  <c r="I61" i="36"/>
  <c r="I60" i="36"/>
  <c r="I52" i="36"/>
  <c r="I51" i="36"/>
  <c r="I49" i="36"/>
  <c r="I48" i="36"/>
  <c r="I47" i="36"/>
  <c r="I43" i="36"/>
  <c r="I42" i="36"/>
  <c r="I41" i="36"/>
  <c r="I39" i="36"/>
  <c r="I38" i="36"/>
  <c r="I37" i="36"/>
  <c r="I36" i="36"/>
  <c r="I34" i="36"/>
  <c r="I33" i="36"/>
  <c r="I32" i="36"/>
  <c r="I31" i="36"/>
  <c r="I30" i="36"/>
  <c r="I29" i="36"/>
  <c r="I26" i="36"/>
  <c r="I22" i="36"/>
  <c r="I21" i="36"/>
  <c r="I20" i="36"/>
  <c r="I19" i="36"/>
  <c r="I18" i="36"/>
  <c r="I16" i="36"/>
  <c r="I15" i="36"/>
  <c r="I14" i="36"/>
  <c r="I10" i="36"/>
  <c r="I9" i="36"/>
  <c r="I7" i="36"/>
  <c r="I6" i="36"/>
  <c r="I248" i="36"/>
  <c r="I243" i="36"/>
  <c r="I240" i="36"/>
  <c r="I239" i="36"/>
  <c r="I228" i="36"/>
  <c r="I223" i="36"/>
  <c r="I216" i="36"/>
  <c r="I209" i="36"/>
  <c r="I197" i="36"/>
  <c r="I192" i="36"/>
  <c r="I186" i="36"/>
  <c r="I185" i="36"/>
  <c r="I171" i="36"/>
  <c r="I155" i="36"/>
  <c r="I153" i="36"/>
  <c r="I142" i="36"/>
  <c r="I140" i="36"/>
  <c r="I139" i="36"/>
  <c r="I81" i="36"/>
  <c r="I63" i="36"/>
  <c r="I58" i="36"/>
  <c r="I55" i="36"/>
  <c r="I54" i="36"/>
  <c r="I53" i="36"/>
  <c r="I45" i="36"/>
  <c r="I44" i="36"/>
  <c r="I27" i="36"/>
  <c r="I25" i="36"/>
  <c r="I24" i="36"/>
  <c r="I12" i="36"/>
  <c r="I11" i="36"/>
  <c r="I4" i="36"/>
  <c r="I260" i="36"/>
  <c r="I256" i="36"/>
  <c r="I249" i="36"/>
  <c r="I244" i="36"/>
  <c r="I236" i="36"/>
  <c r="I229" i="36"/>
  <c r="I224" i="36"/>
  <c r="I217" i="36"/>
  <c r="I210" i="36"/>
  <c r="I205" i="36"/>
  <c r="I198" i="36"/>
  <c r="I193" i="36"/>
  <c r="I187" i="36"/>
  <c r="I179" i="36"/>
  <c r="I172" i="36"/>
  <c r="I166" i="36"/>
  <c r="I161" i="36"/>
  <c r="I156" i="36"/>
  <c r="I146" i="36"/>
  <c r="I143" i="36"/>
  <c r="I135" i="36"/>
  <c r="I132" i="36"/>
  <c r="I128" i="36"/>
  <c r="I124" i="36"/>
  <c r="I119" i="36"/>
  <c r="I114" i="36"/>
  <c r="I110" i="36"/>
  <c r="I105" i="36"/>
  <c r="I102" i="36"/>
  <c r="I93" i="36"/>
  <c r="I89" i="36"/>
  <c r="I82" i="36"/>
  <c r="I75" i="36"/>
  <c r="I71" i="36"/>
  <c r="I67" i="36"/>
  <c r="I64" i="36"/>
  <c r="I59" i="36"/>
  <c r="I50" i="36"/>
  <c r="I46" i="36"/>
  <c r="I40" i="36"/>
  <c r="I35" i="36"/>
  <c r="I28" i="36"/>
  <c r="I17" i="36"/>
  <c r="I13" i="36"/>
  <c r="I8" i="36"/>
  <c r="I5" i="36"/>
  <c r="I154" i="36"/>
  <c r="I141" i="36"/>
  <c r="I88" i="36"/>
  <c r="I57" i="36"/>
  <c r="I242" i="36"/>
  <c r="I208" i="36"/>
  <c r="I170" i="36"/>
  <c r="I56" i="36"/>
  <c r="I23" i="36"/>
  <c r="I3" i="36"/>
  <c r="I241" i="36"/>
  <c r="J523" i="36"/>
  <c r="J262" i="36"/>
  <c r="J261" i="36"/>
  <c r="J259" i="36"/>
  <c r="J258" i="36"/>
  <c r="J257" i="36"/>
  <c r="J255" i="36"/>
  <c r="J254" i="36"/>
  <c r="J253" i="36"/>
  <c r="J252" i="36"/>
  <c r="J251" i="36"/>
  <c r="J250" i="36"/>
  <c r="J247" i="36"/>
  <c r="J246" i="36"/>
  <c r="J245" i="36"/>
  <c r="J238" i="36"/>
  <c r="J237" i="36"/>
  <c r="J235" i="36"/>
  <c r="J234" i="36"/>
  <c r="J233" i="36"/>
  <c r="J232" i="36"/>
  <c r="J231" i="36"/>
  <c r="J230" i="36"/>
  <c r="J227" i="36"/>
  <c r="J226" i="36"/>
  <c r="J225" i="36"/>
  <c r="J222" i="36"/>
  <c r="J221" i="36"/>
  <c r="J220" i="36"/>
  <c r="J219" i="36"/>
  <c r="J218" i="36"/>
  <c r="J215" i="36"/>
  <c r="J214" i="36"/>
  <c r="J213" i="36"/>
  <c r="J212" i="36"/>
  <c r="J211" i="36"/>
  <c r="J207" i="36"/>
  <c r="J206" i="36"/>
  <c r="J204" i="36"/>
  <c r="J203" i="36"/>
  <c r="J202" i="36"/>
  <c r="J201" i="36"/>
  <c r="J200" i="36"/>
  <c r="J199" i="36"/>
  <c r="J196" i="36"/>
  <c r="J195" i="36"/>
  <c r="J194" i="36"/>
  <c r="J191" i="36"/>
  <c r="J190" i="36"/>
  <c r="J189" i="36"/>
  <c r="J188" i="36"/>
  <c r="J184" i="36"/>
  <c r="J183" i="36"/>
  <c r="J182" i="36"/>
  <c r="J181" i="36"/>
  <c r="J180" i="36"/>
  <c r="J178" i="36"/>
  <c r="J177" i="36"/>
  <c r="J176" i="36"/>
  <c r="J175" i="36"/>
  <c r="J174" i="36"/>
  <c r="J173" i="36"/>
  <c r="J169" i="36"/>
  <c r="J168" i="36"/>
  <c r="J167" i="36"/>
  <c r="J165" i="36"/>
  <c r="J164" i="36"/>
  <c r="J163" i="36"/>
  <c r="J162" i="36"/>
  <c r="J160" i="36"/>
  <c r="J159" i="36"/>
  <c r="J158" i="36"/>
  <c r="J157" i="36"/>
  <c r="J152" i="36"/>
  <c r="J151" i="36"/>
  <c r="J150" i="36"/>
  <c r="J149" i="36"/>
  <c r="J148" i="36"/>
  <c r="J147" i="36"/>
  <c r="J145" i="36"/>
  <c r="J144" i="36"/>
  <c r="J138" i="36"/>
  <c r="J137" i="36"/>
  <c r="J136" i="36"/>
  <c r="J134" i="36"/>
  <c r="J133" i="36"/>
  <c r="J131" i="36"/>
  <c r="J130" i="36"/>
  <c r="J129" i="36"/>
  <c r="J127" i="36"/>
  <c r="J126" i="36"/>
  <c r="J125" i="36"/>
  <c r="J123" i="36"/>
  <c r="J122" i="36"/>
  <c r="J121" i="36"/>
  <c r="J120" i="36"/>
  <c r="J118" i="36"/>
  <c r="J117" i="36"/>
  <c r="J116" i="36"/>
  <c r="J115" i="36"/>
  <c r="J113" i="36"/>
  <c r="J112" i="36"/>
  <c r="J111" i="36"/>
  <c r="J109" i="36"/>
  <c r="J108" i="36"/>
  <c r="J107" i="36"/>
  <c r="J106" i="36"/>
  <c r="J104" i="36"/>
  <c r="J103" i="36"/>
  <c r="J101" i="36"/>
  <c r="J100" i="36"/>
  <c r="J99" i="36"/>
  <c r="J98" i="36"/>
  <c r="J97" i="36"/>
  <c r="J96" i="36"/>
  <c r="J95" i="36"/>
  <c r="J94" i="36"/>
  <c r="J92" i="36"/>
  <c r="J91" i="36"/>
  <c r="J90" i="36"/>
  <c r="J87" i="36"/>
  <c r="J86" i="36"/>
  <c r="J85" i="36"/>
  <c r="J84" i="36"/>
  <c r="J83" i="36"/>
  <c r="J80" i="36"/>
  <c r="J79" i="36"/>
  <c r="J78" i="36"/>
  <c r="J77" i="36"/>
  <c r="J76" i="36"/>
  <c r="J74" i="36"/>
  <c r="J73" i="36"/>
  <c r="J72" i="36"/>
  <c r="J70" i="36"/>
  <c r="J69" i="36"/>
  <c r="J68" i="36"/>
  <c r="J66" i="36"/>
  <c r="J65" i="36"/>
  <c r="J62" i="36"/>
  <c r="J61" i="36"/>
  <c r="J60" i="36"/>
  <c r="J52" i="36"/>
  <c r="J51" i="36"/>
  <c r="J49" i="36"/>
  <c r="J48" i="36"/>
  <c r="J47" i="36"/>
  <c r="J43" i="36"/>
  <c r="J42" i="36"/>
  <c r="J41" i="36"/>
  <c r="J39" i="36"/>
  <c r="J38" i="36"/>
  <c r="J37" i="36"/>
  <c r="J36" i="36"/>
  <c r="J34" i="36"/>
  <c r="J33" i="36"/>
  <c r="J32" i="36"/>
  <c r="J31" i="36"/>
  <c r="J30" i="36"/>
  <c r="J29" i="36"/>
  <c r="J26" i="36"/>
  <c r="J22" i="36"/>
  <c r="J21" i="36"/>
  <c r="J20" i="36"/>
  <c r="J19" i="36"/>
  <c r="J18" i="36"/>
  <c r="J16" i="36"/>
  <c r="J15" i="36"/>
  <c r="J14" i="36"/>
  <c r="J10" i="36"/>
  <c r="J9" i="36"/>
  <c r="J7" i="36"/>
  <c r="J6" i="36"/>
  <c r="J248" i="36"/>
  <c r="J243" i="36"/>
  <c r="J240" i="36"/>
  <c r="J239" i="36"/>
  <c r="J228" i="36"/>
  <c r="J223" i="36"/>
  <c r="J216" i="36"/>
  <c r="J209" i="36"/>
  <c r="J197" i="36"/>
  <c r="J192" i="36"/>
  <c r="J186" i="36"/>
  <c r="J185" i="36"/>
  <c r="J171" i="36"/>
  <c r="J155" i="36"/>
  <c r="J153" i="36"/>
  <c r="J142" i="36"/>
  <c r="J140" i="36"/>
  <c r="J139" i="36"/>
  <c r="J81" i="36"/>
  <c r="J63" i="36"/>
  <c r="J58" i="36"/>
  <c r="J55" i="36"/>
  <c r="J54" i="36"/>
  <c r="J53" i="36"/>
  <c r="J45" i="36"/>
  <c r="J44" i="36"/>
  <c r="J27" i="36"/>
  <c r="J25" i="36"/>
  <c r="J24" i="36"/>
  <c r="J12" i="36"/>
  <c r="J11" i="36"/>
  <c r="J4" i="36"/>
  <c r="J260" i="36"/>
  <c r="J256" i="36"/>
  <c r="J249" i="36"/>
  <c r="J244" i="36"/>
  <c r="J236" i="36"/>
  <c r="J229" i="36"/>
  <c r="J224" i="36"/>
  <c r="J217" i="36"/>
  <c r="J210" i="36"/>
  <c r="J205" i="36"/>
  <c r="J198" i="36"/>
  <c r="J193" i="36"/>
  <c r="J187" i="36"/>
  <c r="J179" i="36"/>
  <c r="J172" i="36"/>
  <c r="J166" i="36"/>
  <c r="J161" i="36"/>
  <c r="J156" i="36"/>
  <c r="J146" i="36"/>
  <c r="J143" i="36"/>
  <c r="J135" i="36"/>
  <c r="J132" i="36"/>
  <c r="J128" i="36"/>
  <c r="J124" i="36"/>
  <c r="J119" i="36"/>
  <c r="J114" i="36"/>
  <c r="J110" i="36"/>
  <c r="J105" i="36"/>
  <c r="J102" i="36"/>
  <c r="J93" i="36"/>
  <c r="J89" i="36"/>
  <c r="J82" i="36"/>
  <c r="J75" i="36"/>
  <c r="J71" i="36"/>
  <c r="J67" i="36"/>
  <c r="J64" i="36"/>
  <c r="J59" i="36"/>
  <c r="J50" i="36"/>
  <c r="J46" i="36"/>
  <c r="J40" i="36"/>
  <c r="J35" i="36"/>
  <c r="J28" i="36"/>
  <c r="J17" i="36"/>
  <c r="J13" i="36"/>
  <c r="J8" i="36"/>
  <c r="J5" i="36"/>
  <c r="J154" i="36"/>
  <c r="J141" i="36"/>
  <c r="J88" i="36"/>
  <c r="J57" i="36"/>
  <c r="J242" i="36"/>
  <c r="J208" i="36"/>
  <c r="J170" i="36"/>
  <c r="J56" i="36"/>
  <c r="J23" i="36"/>
  <c r="J3" i="36"/>
  <c r="J241" i="36"/>
  <c r="J2" i="36"/>
  <c r="I2" i="36"/>
  <c r="N523" i="36"/>
  <c r="N262" i="36"/>
  <c r="N261" i="36"/>
  <c r="N260" i="36"/>
  <c r="N259" i="36"/>
  <c r="N258" i="36"/>
  <c r="N257" i="36"/>
  <c r="N256" i="36"/>
  <c r="N255" i="36"/>
  <c r="N254" i="36"/>
  <c r="N253" i="36"/>
  <c r="N252" i="36"/>
  <c r="N251" i="36"/>
  <c r="N250" i="36"/>
  <c r="N249" i="36"/>
  <c r="N248" i="36"/>
  <c r="N247" i="36"/>
  <c r="N246" i="36"/>
  <c r="N245" i="36"/>
  <c r="N244" i="36"/>
  <c r="N243" i="36"/>
  <c r="N242" i="36"/>
  <c r="N241" i="36"/>
  <c r="N240" i="36"/>
  <c r="N239" i="36"/>
  <c r="N238" i="36"/>
  <c r="N237" i="36"/>
  <c r="N236" i="36"/>
  <c r="N235" i="36"/>
  <c r="N234" i="36"/>
  <c r="N233" i="36"/>
  <c r="N232" i="36"/>
  <c r="N231" i="36"/>
  <c r="N230" i="36"/>
  <c r="N229" i="36"/>
  <c r="N228" i="36"/>
  <c r="N227" i="36"/>
  <c r="N226" i="36"/>
  <c r="N225" i="36"/>
  <c r="N224" i="36"/>
  <c r="N223" i="36"/>
  <c r="N222" i="36"/>
  <c r="N221" i="36"/>
  <c r="N220" i="36"/>
  <c r="N219" i="36"/>
  <c r="N218" i="36"/>
  <c r="N217" i="36"/>
  <c r="N216" i="36"/>
  <c r="N215" i="36"/>
  <c r="N214" i="36"/>
  <c r="N213" i="36"/>
  <c r="N212" i="36"/>
  <c r="N211" i="36"/>
  <c r="N210" i="36"/>
  <c r="N209" i="36"/>
  <c r="N208" i="36"/>
  <c r="N207" i="36"/>
  <c r="N206" i="36"/>
  <c r="N205" i="36"/>
  <c r="N204" i="36"/>
  <c r="N203" i="36"/>
  <c r="N202" i="36"/>
  <c r="N201" i="36"/>
  <c r="N200" i="36"/>
  <c r="N199" i="36"/>
  <c r="N198" i="36"/>
  <c r="N197" i="36"/>
  <c r="N196" i="36"/>
  <c r="N195" i="36"/>
  <c r="N194" i="36"/>
  <c r="N193" i="36"/>
  <c r="N192" i="36"/>
  <c r="N191" i="36"/>
  <c r="N190" i="36"/>
  <c r="N189" i="36"/>
  <c r="N188" i="36"/>
  <c r="N187" i="36"/>
  <c r="N186" i="36"/>
  <c r="N185" i="36"/>
  <c r="N184" i="36"/>
  <c r="N183" i="36"/>
  <c r="N182" i="36"/>
  <c r="N181" i="36"/>
  <c r="N180" i="36"/>
  <c r="N179" i="36"/>
  <c r="N178" i="36"/>
  <c r="N177" i="36"/>
  <c r="N176" i="36"/>
  <c r="N175" i="36"/>
  <c r="N174" i="36"/>
  <c r="N173" i="36"/>
  <c r="N172" i="36"/>
  <c r="N171" i="36"/>
  <c r="N170" i="36"/>
  <c r="N169" i="36"/>
  <c r="N168" i="36"/>
  <c r="N167" i="36"/>
  <c r="N166" i="36"/>
  <c r="N165" i="36"/>
  <c r="N164" i="36"/>
  <c r="N163" i="36"/>
  <c r="N162" i="36"/>
  <c r="N161" i="36"/>
  <c r="N160" i="36"/>
  <c r="N159" i="36"/>
  <c r="N158" i="36"/>
  <c r="N157" i="36"/>
  <c r="N156" i="36"/>
  <c r="N155" i="36"/>
  <c r="N154" i="36"/>
  <c r="N153" i="36"/>
  <c r="N152" i="36"/>
  <c r="N151" i="36"/>
  <c r="N150" i="36"/>
  <c r="N149" i="36"/>
  <c r="N148" i="36"/>
  <c r="N147" i="36"/>
  <c r="N146" i="36"/>
  <c r="N145" i="36"/>
  <c r="N144" i="36"/>
  <c r="N143" i="36"/>
  <c r="N142" i="36"/>
  <c r="N141" i="36"/>
  <c r="N140" i="36"/>
  <c r="N139" i="36"/>
  <c r="N138" i="36"/>
  <c r="N137" i="36"/>
  <c r="N136" i="36"/>
  <c r="N135" i="36"/>
  <c r="N134" i="36"/>
  <c r="N133" i="36"/>
  <c r="N132" i="36"/>
  <c r="N131" i="36"/>
  <c r="N130" i="36"/>
  <c r="N129" i="36"/>
  <c r="N128" i="36"/>
  <c r="N127" i="36"/>
  <c r="N126" i="36"/>
  <c r="N125" i="36"/>
  <c r="N124" i="36"/>
  <c r="N123" i="36"/>
  <c r="N122" i="36"/>
  <c r="N121" i="36"/>
  <c r="N120" i="36"/>
  <c r="N119" i="36"/>
  <c r="N118" i="36"/>
  <c r="N117" i="36"/>
  <c r="N116" i="36"/>
  <c r="N115" i="36"/>
  <c r="N114" i="36"/>
  <c r="N113" i="36"/>
  <c r="N112" i="36"/>
  <c r="N111" i="36"/>
  <c r="N110" i="36"/>
  <c r="N109" i="36"/>
  <c r="N108" i="36"/>
  <c r="N107" i="36"/>
  <c r="N106" i="36"/>
  <c r="N105" i="36"/>
  <c r="N104" i="36"/>
  <c r="N103" i="36"/>
  <c r="N102" i="36"/>
  <c r="N101" i="36"/>
  <c r="N100" i="36"/>
  <c r="N99" i="36"/>
  <c r="N98" i="36"/>
  <c r="N97" i="36"/>
  <c r="N96" i="36"/>
  <c r="N95" i="36"/>
  <c r="N94" i="36"/>
  <c r="N93" i="36"/>
  <c r="N92" i="36"/>
  <c r="N91" i="36"/>
  <c r="N90" i="36"/>
  <c r="N89" i="36"/>
  <c r="N88" i="36"/>
  <c r="N87" i="36"/>
  <c r="N86" i="36"/>
  <c r="N85" i="36"/>
  <c r="N84" i="36"/>
  <c r="N83" i="36"/>
  <c r="N82" i="36"/>
  <c r="N81" i="36"/>
  <c r="N80" i="36"/>
  <c r="N79" i="36"/>
  <c r="N78" i="36"/>
  <c r="N77" i="36"/>
  <c r="N76" i="36"/>
  <c r="N75" i="36"/>
  <c r="N74" i="36"/>
  <c r="N73" i="36"/>
  <c r="N72" i="36"/>
  <c r="N71" i="36"/>
  <c r="N70" i="36"/>
  <c r="N69" i="36"/>
  <c r="N68" i="36"/>
  <c r="N67" i="36"/>
  <c r="N66" i="36"/>
  <c r="N65" i="36"/>
  <c r="N64" i="36"/>
  <c r="N63" i="36"/>
  <c r="N62" i="36"/>
  <c r="N61" i="36"/>
  <c r="N60" i="36"/>
  <c r="N59" i="36"/>
  <c r="N58" i="36"/>
  <c r="N57" i="36"/>
  <c r="N56" i="36"/>
  <c r="N55" i="36"/>
  <c r="N54" i="36"/>
  <c r="N53" i="36"/>
  <c r="N52" i="36"/>
  <c r="N51" i="36"/>
  <c r="N50" i="36"/>
  <c r="N49" i="36"/>
  <c r="N48" i="36"/>
  <c r="N47" i="36"/>
  <c r="N46" i="36"/>
  <c r="N45" i="36"/>
  <c r="N44" i="36"/>
  <c r="N43" i="36"/>
  <c r="N42" i="36"/>
  <c r="N41" i="36"/>
  <c r="N40" i="36"/>
  <c r="N39" i="36"/>
  <c r="N38" i="36"/>
  <c r="N37" i="36"/>
  <c r="N36" i="36"/>
  <c r="N35" i="36"/>
  <c r="N34" i="36"/>
  <c r="N33" i="36"/>
  <c r="N32" i="36"/>
  <c r="N31" i="36"/>
  <c r="N30" i="36"/>
  <c r="N29" i="36"/>
  <c r="N28" i="36"/>
  <c r="N27" i="36"/>
  <c r="N26" i="36"/>
  <c r="N25" i="36"/>
  <c r="N24" i="36"/>
  <c r="N23" i="36"/>
  <c r="N22" i="36"/>
  <c r="N21" i="36"/>
  <c r="N20" i="36"/>
  <c r="N19" i="36"/>
  <c r="N18" i="36"/>
  <c r="N17" i="36"/>
  <c r="N16" i="36"/>
  <c r="N15" i="36"/>
  <c r="N14" i="36"/>
  <c r="N13" i="36"/>
  <c r="N12" i="36"/>
  <c r="N11" i="36"/>
  <c r="N10" i="36"/>
  <c r="N9" i="36"/>
  <c r="N8" i="36"/>
  <c r="N7" i="36"/>
  <c r="N6" i="36"/>
  <c r="N5" i="36"/>
  <c r="N4" i="36"/>
  <c r="N3" i="36"/>
  <c r="N2" i="36"/>
  <c r="M523" i="36"/>
  <c r="M262" i="36"/>
  <c r="M261" i="36"/>
  <c r="M260" i="36"/>
  <c r="M259" i="36"/>
  <c r="M258" i="36"/>
  <c r="M257" i="36"/>
  <c r="M256" i="36"/>
  <c r="M255" i="36"/>
  <c r="M254" i="36"/>
  <c r="M253" i="36"/>
  <c r="M252" i="36"/>
  <c r="M251" i="36"/>
  <c r="M250" i="36"/>
  <c r="M249" i="36"/>
  <c r="M248" i="36"/>
  <c r="M247" i="36"/>
  <c r="M246" i="36"/>
  <c r="M245" i="36"/>
  <c r="M244" i="36"/>
  <c r="M243" i="36"/>
  <c r="M242" i="36"/>
  <c r="M241" i="36"/>
  <c r="M240" i="36"/>
  <c r="M239" i="36"/>
  <c r="M238" i="36"/>
  <c r="M237" i="36"/>
  <c r="M236" i="36"/>
  <c r="M235" i="36"/>
  <c r="M234" i="36"/>
  <c r="M233" i="36"/>
  <c r="M232" i="36"/>
  <c r="M231" i="36"/>
  <c r="M230" i="36"/>
  <c r="M229" i="36"/>
  <c r="M228" i="36"/>
  <c r="M227" i="36"/>
  <c r="M226" i="36"/>
  <c r="M225" i="36"/>
  <c r="M224" i="36"/>
  <c r="M223" i="36"/>
  <c r="M222" i="36"/>
  <c r="M221" i="36"/>
  <c r="M220" i="36"/>
  <c r="M219" i="36"/>
  <c r="M218" i="36"/>
  <c r="M217" i="36"/>
  <c r="M216" i="36"/>
  <c r="M215" i="36"/>
  <c r="M214" i="36"/>
  <c r="M213" i="36"/>
  <c r="M212" i="36"/>
  <c r="M211" i="36"/>
  <c r="M210" i="36"/>
  <c r="M209" i="36"/>
  <c r="M208" i="36"/>
  <c r="M207" i="36"/>
  <c r="M206" i="36"/>
  <c r="M205" i="36"/>
  <c r="M204" i="36"/>
  <c r="M203" i="36"/>
  <c r="M202" i="36"/>
  <c r="M201" i="36"/>
  <c r="M200" i="36"/>
  <c r="M199" i="36"/>
  <c r="M198" i="36"/>
  <c r="M197" i="36"/>
  <c r="M196" i="36"/>
  <c r="M195" i="36"/>
  <c r="M194" i="36"/>
  <c r="M193" i="36"/>
  <c r="M192" i="36"/>
  <c r="M191" i="36"/>
  <c r="M190" i="36"/>
  <c r="M189" i="36"/>
  <c r="M188" i="36"/>
  <c r="M187" i="36"/>
  <c r="M186" i="36"/>
  <c r="M185" i="36"/>
  <c r="M184" i="36"/>
  <c r="M183" i="36"/>
  <c r="M182" i="36"/>
  <c r="M181" i="36"/>
  <c r="M180" i="36"/>
  <c r="M179" i="36"/>
  <c r="M178" i="36"/>
  <c r="M177" i="36"/>
  <c r="M176" i="36"/>
  <c r="M175" i="36"/>
  <c r="M174" i="36"/>
  <c r="M173" i="36"/>
  <c r="M172" i="36"/>
  <c r="M171" i="36"/>
  <c r="M170" i="36"/>
  <c r="M169" i="36"/>
  <c r="M168" i="36"/>
  <c r="M167" i="36"/>
  <c r="M166" i="36"/>
  <c r="M165" i="36"/>
  <c r="M164" i="36"/>
  <c r="M163" i="36"/>
  <c r="M162" i="36"/>
  <c r="M161" i="36"/>
  <c r="M160" i="36"/>
  <c r="M159" i="36"/>
  <c r="M158" i="36"/>
  <c r="M157" i="36"/>
  <c r="M156" i="36"/>
  <c r="M155" i="36"/>
  <c r="M154" i="36"/>
  <c r="M153" i="36"/>
  <c r="M152" i="36"/>
  <c r="M151" i="36"/>
  <c r="M150" i="36"/>
  <c r="M149" i="36"/>
  <c r="M148" i="36"/>
  <c r="M147" i="36"/>
  <c r="M146" i="36"/>
  <c r="M145" i="36"/>
  <c r="M144" i="36"/>
  <c r="M143" i="36"/>
  <c r="M142" i="36"/>
  <c r="M141" i="36"/>
  <c r="M140" i="36"/>
  <c r="M139" i="36"/>
  <c r="M138" i="36"/>
  <c r="M137" i="36"/>
  <c r="M136" i="36"/>
  <c r="M135" i="36"/>
  <c r="M134" i="36"/>
  <c r="M133" i="36"/>
  <c r="M132" i="36"/>
  <c r="M131" i="36"/>
  <c r="M130" i="36"/>
  <c r="M129" i="36"/>
  <c r="M128" i="36"/>
  <c r="M127" i="36"/>
  <c r="M126" i="36"/>
  <c r="M125" i="36"/>
  <c r="M124" i="36"/>
  <c r="M123" i="36"/>
  <c r="M122" i="36"/>
  <c r="M121" i="36"/>
  <c r="M120" i="36"/>
  <c r="M119" i="36"/>
  <c r="M118" i="36"/>
  <c r="M117" i="36"/>
  <c r="M116" i="36"/>
  <c r="M115" i="36"/>
  <c r="M114" i="36"/>
  <c r="M113" i="36"/>
  <c r="M112" i="36"/>
  <c r="M111" i="36"/>
  <c r="M110" i="36"/>
  <c r="M109" i="36"/>
  <c r="M108" i="36"/>
  <c r="M107" i="36"/>
  <c r="M106" i="36"/>
  <c r="M105" i="36"/>
  <c r="M104" i="36"/>
  <c r="M103" i="36"/>
  <c r="M102" i="36"/>
  <c r="M101" i="36"/>
  <c r="M100" i="36"/>
  <c r="M99" i="36"/>
  <c r="M98" i="36"/>
  <c r="M97" i="36"/>
  <c r="M96" i="36"/>
  <c r="M95" i="36"/>
  <c r="M94" i="36"/>
  <c r="M93" i="36"/>
  <c r="M92" i="36"/>
  <c r="M91" i="36"/>
  <c r="M90" i="36"/>
  <c r="M89" i="36"/>
  <c r="M88" i="36"/>
  <c r="M87" i="36"/>
  <c r="M86" i="36"/>
  <c r="M85" i="36"/>
  <c r="M84" i="36"/>
  <c r="M83" i="36"/>
  <c r="M82" i="36"/>
  <c r="M81" i="36"/>
  <c r="M80" i="36"/>
  <c r="M79" i="36"/>
  <c r="M78" i="36"/>
  <c r="M77" i="36"/>
  <c r="M76" i="36"/>
  <c r="M75" i="36"/>
  <c r="M74" i="36"/>
  <c r="M73" i="36"/>
  <c r="M72" i="36"/>
  <c r="M71" i="36"/>
  <c r="M70" i="36"/>
  <c r="M69" i="36"/>
  <c r="M68" i="36"/>
  <c r="M67" i="36"/>
  <c r="M66" i="36"/>
  <c r="M65" i="36"/>
  <c r="M64" i="36"/>
  <c r="M63" i="36"/>
  <c r="M62" i="36"/>
  <c r="M61" i="36"/>
  <c r="M60" i="36"/>
  <c r="M59" i="36"/>
  <c r="M58" i="36"/>
  <c r="M57" i="36"/>
  <c r="M56" i="36"/>
  <c r="M55" i="36"/>
  <c r="M54" i="36"/>
  <c r="M53" i="36"/>
  <c r="M52" i="36"/>
  <c r="M51" i="36"/>
  <c r="M50" i="36"/>
  <c r="M49" i="36"/>
  <c r="M48" i="36"/>
  <c r="M47" i="36"/>
  <c r="M46" i="36"/>
  <c r="M45" i="36"/>
  <c r="M44" i="36"/>
  <c r="M43" i="36"/>
  <c r="M42" i="36"/>
  <c r="M41" i="36"/>
  <c r="M40" i="36"/>
  <c r="M39" i="36"/>
  <c r="M38" i="36"/>
  <c r="M37" i="36"/>
  <c r="M36" i="36"/>
  <c r="M35" i="36"/>
  <c r="M34" i="36"/>
  <c r="M33" i="36"/>
  <c r="M32" i="36"/>
  <c r="M31" i="36"/>
  <c r="M30" i="36"/>
  <c r="M29" i="36"/>
  <c r="M28" i="36"/>
  <c r="M27" i="36"/>
  <c r="M26" i="36"/>
  <c r="M25" i="36"/>
  <c r="M24" i="36"/>
  <c r="M23" i="36"/>
  <c r="M22" i="36"/>
  <c r="M21" i="36"/>
  <c r="M20" i="36"/>
  <c r="M19" i="36"/>
  <c r="M18" i="36"/>
  <c r="M17" i="36"/>
  <c r="M16" i="36"/>
  <c r="M15" i="36"/>
  <c r="M14" i="36"/>
  <c r="M13" i="36"/>
  <c r="M12" i="36"/>
  <c r="M11" i="36"/>
  <c r="M10" i="36"/>
  <c r="M9" i="36"/>
  <c r="M8" i="36"/>
  <c r="M7" i="36"/>
  <c r="M6" i="36"/>
  <c r="M5" i="36"/>
  <c r="M4" i="36"/>
  <c r="M3" i="36"/>
  <c r="M2" i="36"/>
  <c r="L523" i="36"/>
  <c r="L262" i="36"/>
  <c r="L261" i="36"/>
  <c r="L260" i="36"/>
  <c r="L259" i="36"/>
  <c r="L258" i="36"/>
  <c r="L257" i="36"/>
  <c r="L256" i="36"/>
  <c r="L255" i="36"/>
  <c r="L254" i="36"/>
  <c r="L253" i="36"/>
  <c r="L252" i="36"/>
  <c r="L251" i="36"/>
  <c r="L250" i="36"/>
  <c r="L249" i="36"/>
  <c r="L248" i="36"/>
  <c r="L247" i="36"/>
  <c r="L246" i="36"/>
  <c r="L245" i="36"/>
  <c r="L244" i="36"/>
  <c r="L243" i="36"/>
  <c r="L242" i="36"/>
  <c r="L241" i="36"/>
  <c r="L240" i="36"/>
  <c r="L239" i="36"/>
  <c r="L238" i="36"/>
  <c r="L237" i="36"/>
  <c r="L236" i="36"/>
  <c r="L235" i="36"/>
  <c r="L234" i="36"/>
  <c r="L233" i="36"/>
  <c r="L232" i="36"/>
  <c r="L231" i="36"/>
  <c r="L230" i="36"/>
  <c r="L229" i="36"/>
  <c r="L228" i="36"/>
  <c r="L227" i="36"/>
  <c r="L226" i="36"/>
  <c r="L225" i="36"/>
  <c r="L224" i="36"/>
  <c r="L223" i="36"/>
  <c r="L222" i="36"/>
  <c r="L221" i="36"/>
  <c r="L220" i="36"/>
  <c r="L219" i="36"/>
  <c r="L218" i="36"/>
  <c r="L217" i="36"/>
  <c r="L216" i="36"/>
  <c r="L215" i="36"/>
  <c r="L214" i="36"/>
  <c r="L213" i="36"/>
  <c r="L212" i="36"/>
  <c r="L211" i="36"/>
  <c r="L210" i="36"/>
  <c r="L209" i="36"/>
  <c r="L208" i="36"/>
  <c r="L207" i="36"/>
  <c r="L206" i="36"/>
  <c r="L205" i="36"/>
  <c r="L204" i="36"/>
  <c r="L203" i="36"/>
  <c r="L202" i="36"/>
  <c r="L201" i="36"/>
  <c r="L200" i="36"/>
  <c r="L199" i="36"/>
  <c r="L198" i="36"/>
  <c r="L197" i="36"/>
  <c r="L196" i="36"/>
  <c r="L195" i="36"/>
  <c r="L194" i="36"/>
  <c r="L193" i="36"/>
  <c r="L192" i="36"/>
  <c r="L191" i="36"/>
  <c r="L190" i="36"/>
  <c r="L189" i="36"/>
  <c r="L188" i="36"/>
  <c r="L187" i="36"/>
  <c r="L186" i="36"/>
  <c r="L185" i="36"/>
  <c r="L184" i="36"/>
  <c r="L183" i="36"/>
  <c r="L182" i="36"/>
  <c r="L181" i="36"/>
  <c r="L180" i="36"/>
  <c r="L179" i="36"/>
  <c r="L178" i="36"/>
  <c r="L177" i="36"/>
  <c r="L176" i="36"/>
  <c r="L175" i="36"/>
  <c r="L174" i="36"/>
  <c r="L173" i="36"/>
  <c r="L172" i="36"/>
  <c r="L171" i="36"/>
  <c r="L170" i="36"/>
  <c r="L169" i="36"/>
  <c r="L168" i="36"/>
  <c r="L167" i="36"/>
  <c r="L166" i="36"/>
  <c r="L165" i="36"/>
  <c r="L164" i="36"/>
  <c r="L163" i="36"/>
  <c r="L162" i="36"/>
  <c r="L161" i="36"/>
  <c r="L160" i="36"/>
  <c r="L159" i="36"/>
  <c r="L158" i="36"/>
  <c r="L157" i="36"/>
  <c r="L156" i="36"/>
  <c r="L155" i="36"/>
  <c r="L154" i="36"/>
  <c r="L153" i="36"/>
  <c r="L152" i="36"/>
  <c r="L151" i="36"/>
  <c r="L150" i="36"/>
  <c r="L149" i="36"/>
  <c r="L148" i="36"/>
  <c r="L147" i="36"/>
  <c r="L146" i="36"/>
  <c r="L145" i="36"/>
  <c r="L144" i="36"/>
  <c r="L143" i="36"/>
  <c r="L142" i="36"/>
  <c r="L141" i="36"/>
  <c r="L140" i="36"/>
  <c r="L139" i="36"/>
  <c r="L138" i="36"/>
  <c r="L137" i="36"/>
  <c r="L136" i="36"/>
  <c r="L135" i="36"/>
  <c r="L134" i="36"/>
  <c r="L133" i="36"/>
  <c r="L132" i="36"/>
  <c r="L131" i="36"/>
  <c r="L130" i="36"/>
  <c r="L129" i="36"/>
  <c r="L128" i="36"/>
  <c r="L127" i="36"/>
  <c r="L126" i="36"/>
  <c r="L125" i="36"/>
  <c r="L124" i="36"/>
  <c r="L123" i="36"/>
  <c r="L122" i="36"/>
  <c r="L121" i="36"/>
  <c r="L120" i="36"/>
  <c r="L119" i="36"/>
  <c r="L118" i="36"/>
  <c r="L117" i="36"/>
  <c r="L116" i="36"/>
  <c r="L115" i="36"/>
  <c r="L114" i="36"/>
  <c r="L113" i="36"/>
  <c r="L112" i="36"/>
  <c r="L111" i="36"/>
  <c r="L110" i="36"/>
  <c r="L109" i="36"/>
  <c r="L108" i="36"/>
  <c r="L107" i="36"/>
  <c r="L106" i="36"/>
  <c r="L105" i="36"/>
  <c r="L104" i="36"/>
  <c r="L103" i="36"/>
  <c r="L102" i="36"/>
  <c r="L101" i="36"/>
  <c r="L100" i="36"/>
  <c r="L99" i="36"/>
  <c r="L98" i="36"/>
  <c r="L97" i="36"/>
  <c r="L96" i="36"/>
  <c r="L95" i="36"/>
  <c r="L94" i="36"/>
  <c r="L93" i="36"/>
  <c r="L92" i="36"/>
  <c r="L91" i="36"/>
  <c r="L90" i="36"/>
  <c r="L89" i="36"/>
  <c r="L88" i="36"/>
  <c r="L87" i="36"/>
  <c r="L86" i="36"/>
  <c r="L85" i="36"/>
  <c r="L84" i="36"/>
  <c r="L83" i="36"/>
  <c r="L82" i="36"/>
  <c r="L81" i="36"/>
  <c r="L80" i="36"/>
  <c r="L79" i="36"/>
  <c r="L78" i="36"/>
  <c r="L77" i="36"/>
  <c r="L76" i="36"/>
  <c r="L75" i="36"/>
  <c r="L74" i="36"/>
  <c r="L73" i="36"/>
  <c r="L72" i="36"/>
  <c r="L71" i="36"/>
  <c r="L70" i="36"/>
  <c r="L69" i="36"/>
  <c r="L68" i="36"/>
  <c r="L67" i="36"/>
  <c r="L66" i="36"/>
  <c r="L65" i="36"/>
  <c r="L64" i="36"/>
  <c r="L63" i="36"/>
  <c r="L62" i="36"/>
  <c r="L61" i="36"/>
  <c r="L60" i="36"/>
  <c r="L59" i="36"/>
  <c r="L58" i="36"/>
  <c r="L57" i="36"/>
  <c r="L56" i="36"/>
  <c r="L55" i="36"/>
  <c r="L54" i="36"/>
  <c r="L53" i="36"/>
  <c r="L52" i="36"/>
  <c r="L51" i="36"/>
  <c r="L50" i="36"/>
  <c r="L49" i="36"/>
  <c r="L48" i="36"/>
  <c r="L47" i="36"/>
  <c r="L46" i="36"/>
  <c r="L45" i="36"/>
  <c r="L44" i="36"/>
  <c r="L43" i="36"/>
  <c r="L42" i="36"/>
  <c r="L41" i="36"/>
  <c r="L40" i="36"/>
  <c r="L39" i="36"/>
  <c r="L38" i="36"/>
  <c r="L37" i="36"/>
  <c r="L36" i="36"/>
  <c r="L35" i="36"/>
  <c r="L34" i="36"/>
  <c r="L33" i="36"/>
  <c r="L32" i="36"/>
  <c r="L31" i="36"/>
  <c r="L30" i="36"/>
  <c r="L29" i="36"/>
  <c r="L28" i="36"/>
  <c r="L27" i="36"/>
  <c r="L26" i="36"/>
  <c r="L25" i="36"/>
  <c r="L24" i="36"/>
  <c r="L23" i="36"/>
  <c r="L22" i="36"/>
  <c r="L21" i="36"/>
  <c r="L20" i="36"/>
  <c r="L19" i="36"/>
  <c r="L18" i="36"/>
  <c r="L17" i="36"/>
  <c r="L16" i="36"/>
  <c r="L15" i="36"/>
  <c r="L14" i="36"/>
  <c r="L13" i="36"/>
  <c r="L12" i="36"/>
  <c r="L11" i="36"/>
  <c r="L10" i="36"/>
  <c r="L9" i="36"/>
  <c r="L8" i="36"/>
  <c r="L7" i="36"/>
  <c r="L6" i="36"/>
  <c r="L5" i="36"/>
  <c r="L4" i="36"/>
  <c r="L3" i="36"/>
  <c r="L2" i="36"/>
  <c r="K523" i="36"/>
  <c r="K262" i="36"/>
  <c r="K261" i="36"/>
  <c r="K260" i="36"/>
  <c r="K259" i="36"/>
  <c r="K258" i="36"/>
  <c r="K257" i="36"/>
  <c r="K256" i="36"/>
  <c r="K255" i="36"/>
  <c r="K254" i="36"/>
  <c r="K253" i="36"/>
  <c r="K252" i="36"/>
  <c r="K251" i="36"/>
  <c r="K250" i="36"/>
  <c r="K249" i="36"/>
  <c r="K248" i="36"/>
  <c r="K247" i="36"/>
  <c r="K246" i="36"/>
  <c r="K245" i="36"/>
  <c r="K244" i="36"/>
  <c r="K243" i="36"/>
  <c r="K242" i="36"/>
  <c r="K241" i="36"/>
  <c r="K240" i="36"/>
  <c r="K239" i="36"/>
  <c r="K238" i="36"/>
  <c r="K237" i="36"/>
  <c r="K236" i="36"/>
  <c r="K235" i="36"/>
  <c r="K234" i="36"/>
  <c r="K233" i="36"/>
  <c r="K232" i="36"/>
  <c r="K231" i="36"/>
  <c r="K230" i="36"/>
  <c r="K229" i="36"/>
  <c r="K228" i="36"/>
  <c r="K227" i="36"/>
  <c r="K226" i="36"/>
  <c r="K225" i="36"/>
  <c r="K224" i="36"/>
  <c r="K223" i="36"/>
  <c r="K222" i="36"/>
  <c r="K221" i="36"/>
  <c r="K220" i="36"/>
  <c r="K219" i="36"/>
  <c r="K218" i="36"/>
  <c r="K217" i="36"/>
  <c r="K216" i="36"/>
  <c r="K215" i="36"/>
  <c r="K214" i="36"/>
  <c r="K213" i="36"/>
  <c r="K212" i="36"/>
  <c r="K211" i="36"/>
  <c r="K210" i="36"/>
  <c r="K209" i="36"/>
  <c r="K208" i="36"/>
  <c r="K207" i="36"/>
  <c r="K206" i="36"/>
  <c r="K205" i="36"/>
  <c r="K204" i="36"/>
  <c r="K203" i="36"/>
  <c r="K202" i="36"/>
  <c r="K201" i="36"/>
  <c r="K200" i="36"/>
  <c r="K199" i="36"/>
  <c r="K198" i="36"/>
  <c r="K197" i="36"/>
  <c r="K196" i="36"/>
  <c r="K195" i="36"/>
  <c r="K194" i="36"/>
  <c r="K193" i="36"/>
  <c r="K192" i="36"/>
  <c r="K191" i="36"/>
  <c r="K190" i="36"/>
  <c r="K189" i="36"/>
  <c r="K188" i="36"/>
  <c r="K187" i="36"/>
  <c r="K186" i="36"/>
  <c r="K185" i="36"/>
  <c r="K184" i="36"/>
  <c r="K183" i="36"/>
  <c r="K182" i="36"/>
  <c r="K181" i="36"/>
  <c r="K180" i="36"/>
  <c r="K179" i="36"/>
  <c r="K178" i="36"/>
  <c r="K177" i="36"/>
  <c r="K176" i="36"/>
  <c r="K175" i="36"/>
  <c r="K174" i="36"/>
  <c r="K173" i="36"/>
  <c r="K172" i="36"/>
  <c r="K171" i="36"/>
  <c r="K170" i="36"/>
  <c r="K169" i="36"/>
  <c r="K168" i="36"/>
  <c r="K167" i="36"/>
  <c r="K166" i="36"/>
  <c r="K165" i="36"/>
  <c r="K164" i="36"/>
  <c r="K163" i="36"/>
  <c r="K162" i="36"/>
  <c r="K161" i="36"/>
  <c r="K160" i="36"/>
  <c r="K159" i="36"/>
  <c r="K158" i="36"/>
  <c r="K157" i="36"/>
  <c r="K156" i="36"/>
  <c r="K155" i="36"/>
  <c r="K154" i="36"/>
  <c r="K153" i="36"/>
  <c r="K152" i="36"/>
  <c r="K151" i="36"/>
  <c r="K150" i="36"/>
  <c r="K149" i="36"/>
  <c r="K148" i="36"/>
  <c r="K147" i="36"/>
  <c r="K146" i="36"/>
  <c r="K145" i="36"/>
  <c r="K144" i="36"/>
  <c r="K143" i="36"/>
  <c r="K142" i="36"/>
  <c r="K141" i="36"/>
  <c r="K140" i="36"/>
  <c r="K139" i="36"/>
  <c r="K138" i="36"/>
  <c r="K137" i="36"/>
  <c r="K136" i="36"/>
  <c r="K135" i="36"/>
  <c r="K134" i="36"/>
  <c r="K133" i="36"/>
  <c r="K132" i="36"/>
  <c r="K131" i="36"/>
  <c r="K130" i="36"/>
  <c r="K129" i="36"/>
  <c r="K128" i="36"/>
  <c r="K127" i="36"/>
  <c r="K126" i="36"/>
  <c r="K125" i="36"/>
  <c r="K124" i="36"/>
  <c r="K123" i="36"/>
  <c r="K122" i="36"/>
  <c r="K121" i="36"/>
  <c r="K120" i="36"/>
  <c r="K119" i="36"/>
  <c r="K118" i="36"/>
  <c r="K117" i="36"/>
  <c r="K116" i="36"/>
  <c r="K115" i="36"/>
  <c r="K114" i="36"/>
  <c r="K113" i="36"/>
  <c r="K112" i="36"/>
  <c r="K111" i="36"/>
  <c r="K110" i="36"/>
  <c r="K109" i="36"/>
  <c r="K108" i="36"/>
  <c r="K107" i="36"/>
  <c r="K106" i="36"/>
  <c r="K105" i="36"/>
  <c r="K104" i="36"/>
  <c r="K103" i="36"/>
  <c r="K102" i="36"/>
  <c r="K101" i="36"/>
  <c r="K100" i="36"/>
  <c r="K99" i="36"/>
  <c r="K98" i="36"/>
  <c r="K97" i="36"/>
  <c r="K96" i="36"/>
  <c r="K95" i="36"/>
  <c r="K94" i="36"/>
  <c r="K93" i="36"/>
  <c r="K92" i="36"/>
  <c r="K91" i="36"/>
  <c r="K90" i="36"/>
  <c r="K89" i="36"/>
  <c r="K88" i="36"/>
  <c r="K87" i="36"/>
  <c r="K86" i="36"/>
  <c r="K85" i="36"/>
  <c r="K84" i="36"/>
  <c r="K83" i="36"/>
  <c r="K82" i="36"/>
  <c r="K81" i="36"/>
  <c r="K80" i="36"/>
  <c r="K79" i="36"/>
  <c r="K78" i="36"/>
  <c r="K77" i="36"/>
  <c r="K76" i="36"/>
  <c r="K75" i="36"/>
  <c r="K74" i="36"/>
  <c r="K73" i="36"/>
  <c r="K72" i="36"/>
  <c r="K71" i="36"/>
  <c r="K70" i="36"/>
  <c r="K69" i="36"/>
  <c r="K68" i="36"/>
  <c r="K67" i="36"/>
  <c r="K66" i="36"/>
  <c r="K65" i="36"/>
  <c r="K64" i="36"/>
  <c r="K63" i="36"/>
  <c r="K62" i="36"/>
  <c r="K61" i="36"/>
  <c r="K60" i="36"/>
  <c r="K59" i="36"/>
  <c r="K58" i="36"/>
  <c r="K57" i="36"/>
  <c r="K56" i="36"/>
  <c r="K55" i="36"/>
  <c r="K54" i="36"/>
  <c r="K53" i="36"/>
  <c r="K52" i="36"/>
  <c r="K51" i="36"/>
  <c r="K50" i="36"/>
  <c r="K49" i="36"/>
  <c r="K48" i="36"/>
  <c r="K47" i="36"/>
  <c r="K46" i="36"/>
  <c r="K45" i="36"/>
  <c r="K44" i="36"/>
  <c r="K43" i="36"/>
  <c r="K42" i="36"/>
  <c r="K41" i="36"/>
  <c r="K40" i="36"/>
  <c r="K39" i="36"/>
  <c r="K38" i="36"/>
  <c r="K37" i="36"/>
  <c r="K36" i="36"/>
  <c r="K35" i="36"/>
  <c r="K34" i="36"/>
  <c r="K33" i="36"/>
  <c r="K32" i="36"/>
  <c r="K31" i="36"/>
  <c r="K30" i="36"/>
  <c r="K29" i="36"/>
  <c r="K28" i="36"/>
  <c r="K27" i="36"/>
  <c r="K26" i="36"/>
  <c r="K25" i="36"/>
  <c r="K24" i="36"/>
  <c r="K23" i="36"/>
  <c r="K22" i="36"/>
  <c r="K21" i="36"/>
  <c r="K20" i="36"/>
  <c r="K19" i="36"/>
  <c r="K18" i="36"/>
  <c r="K17" i="36"/>
  <c r="K16" i="36"/>
  <c r="K15" i="36"/>
  <c r="K14" i="36"/>
  <c r="K13" i="36"/>
  <c r="K12" i="36"/>
  <c r="K11" i="36"/>
  <c r="K10" i="36"/>
  <c r="K9" i="36"/>
  <c r="K8" i="36"/>
  <c r="K7" i="36"/>
  <c r="K6" i="36"/>
  <c r="K5" i="36"/>
  <c r="K4" i="36"/>
  <c r="K3" i="36"/>
  <c r="K2" i="36"/>
  <c r="O191" i="36"/>
  <c r="U191" i="36"/>
  <c r="O223" i="36"/>
  <c r="U223" i="36"/>
  <c r="O2" i="36"/>
  <c r="AA1" i="21"/>
  <c r="O152" i="36"/>
  <c r="U152" i="36"/>
  <c r="O215" i="36"/>
  <c r="U215" i="36"/>
  <c r="O18" i="36"/>
  <c r="U18" i="36"/>
  <c r="O33" i="36"/>
  <c r="U33" i="36"/>
  <c r="O104" i="36"/>
  <c r="U104" i="36"/>
  <c r="O136" i="36"/>
  <c r="U136" i="36"/>
  <c r="O230" i="36"/>
  <c r="U230" i="36"/>
  <c r="O120" i="36"/>
  <c r="U120" i="36"/>
  <c r="O41" i="36"/>
  <c r="U41" i="36"/>
  <c r="O57" i="36"/>
  <c r="U57" i="36"/>
  <c r="O80" i="36"/>
  <c r="U80" i="36"/>
  <c r="O160" i="36"/>
  <c r="U160" i="36"/>
  <c r="O184" i="36"/>
  <c r="U184" i="36"/>
  <c r="O96" i="36"/>
  <c r="U96" i="36"/>
  <c r="O168" i="36"/>
  <c r="U168" i="36"/>
  <c r="O112" i="36"/>
  <c r="U112" i="36"/>
  <c r="O207" i="36"/>
  <c r="U207" i="36"/>
  <c r="O196" i="36"/>
  <c r="U196" i="36"/>
  <c r="O238" i="36"/>
  <c r="U238" i="36"/>
  <c r="O254" i="36"/>
  <c r="O144" i="36"/>
  <c r="U144" i="36"/>
  <c r="O49" i="36"/>
  <c r="U49" i="36"/>
  <c r="O262" i="36"/>
  <c r="U262" i="36"/>
  <c r="O10" i="36"/>
  <c r="U10" i="36"/>
  <c r="O65" i="36"/>
  <c r="U65" i="36"/>
  <c r="O176" i="36"/>
  <c r="U176" i="36"/>
  <c r="O199" i="36"/>
  <c r="U199" i="36"/>
  <c r="O26" i="36"/>
  <c r="U26" i="36"/>
  <c r="O88" i="36"/>
  <c r="U88" i="36"/>
  <c r="O72" i="36"/>
  <c r="U72" i="36"/>
  <c r="O246" i="36"/>
  <c r="O23" i="36"/>
  <c r="U23" i="36"/>
  <c r="O149" i="36"/>
  <c r="U149" i="36"/>
  <c r="U525" i="36"/>
  <c r="O21" i="36"/>
  <c r="U21" i="36"/>
  <c r="O36" i="36"/>
  <c r="U36" i="36"/>
  <c r="O44" i="36"/>
  <c r="U44" i="36"/>
  <c r="O52" i="36"/>
  <c r="U52" i="36"/>
  <c r="O60" i="36"/>
  <c r="U60" i="36"/>
  <c r="O68" i="36"/>
  <c r="U68" i="36"/>
  <c r="O83" i="36"/>
  <c r="U83" i="36"/>
  <c r="O91" i="36"/>
  <c r="U91" i="36"/>
  <c r="O99" i="36"/>
  <c r="U99" i="36"/>
  <c r="O107" i="36"/>
  <c r="U107" i="36"/>
  <c r="O115" i="36"/>
  <c r="U115" i="36"/>
  <c r="O123" i="36"/>
  <c r="U123" i="36"/>
  <c r="O131" i="36"/>
  <c r="U131" i="36"/>
  <c r="O139" i="36"/>
  <c r="U139" i="36"/>
  <c r="O147" i="36"/>
  <c r="U147" i="36"/>
  <c r="O155" i="36"/>
  <c r="U155" i="36"/>
  <c r="O163" i="36"/>
  <c r="U163" i="36"/>
  <c r="O171" i="36"/>
  <c r="U171" i="36"/>
  <c r="O194" i="36"/>
  <c r="U194" i="36"/>
  <c r="O202" i="36"/>
  <c r="U202" i="36"/>
  <c r="O218" i="36"/>
  <c r="U218" i="36"/>
  <c r="O226" i="36"/>
  <c r="U226" i="36"/>
  <c r="O233" i="36"/>
  <c r="U233" i="36"/>
  <c r="O241" i="36"/>
  <c r="O257" i="36"/>
  <c r="U265" i="36"/>
  <c r="O48" i="36"/>
  <c r="U48" i="36"/>
  <c r="O175" i="36"/>
  <c r="U175" i="36"/>
  <c r="O11" i="36"/>
  <c r="U11" i="36"/>
  <c r="O113" i="36"/>
  <c r="U113" i="36"/>
  <c r="O153" i="36"/>
  <c r="U153" i="36"/>
  <c r="O208" i="36"/>
  <c r="U208" i="36"/>
  <c r="O239" i="36"/>
  <c r="U239" i="36"/>
  <c r="O7" i="36"/>
  <c r="U7" i="36"/>
  <c r="O38" i="36"/>
  <c r="U38" i="36"/>
  <c r="O77" i="36"/>
  <c r="U77" i="36"/>
  <c r="O109" i="36"/>
  <c r="U109" i="36"/>
  <c r="O141" i="36"/>
  <c r="U141" i="36"/>
  <c r="O173" i="36"/>
  <c r="U173" i="36"/>
  <c r="O259" i="36"/>
  <c r="O3" i="36"/>
  <c r="U3" i="36"/>
  <c r="O81" i="36"/>
  <c r="U81" i="36"/>
  <c r="O137" i="36"/>
  <c r="U137" i="36"/>
  <c r="O30" i="36"/>
  <c r="U30" i="36"/>
  <c r="O62" i="36"/>
  <c r="U62" i="36"/>
  <c r="O125" i="36"/>
  <c r="U125" i="36"/>
  <c r="O157" i="36"/>
  <c r="U157" i="36"/>
  <c r="O188" i="36"/>
  <c r="O220" i="36"/>
  <c r="U220" i="36"/>
  <c r="O251" i="36"/>
  <c r="O95" i="36"/>
  <c r="U95" i="36"/>
  <c r="O127" i="36"/>
  <c r="U127" i="36"/>
  <c r="O222" i="36"/>
  <c r="U222" i="36"/>
  <c r="O253" i="36"/>
  <c r="O66" i="36"/>
  <c r="U66" i="36"/>
  <c r="O129" i="36"/>
  <c r="U129" i="36"/>
  <c r="O192" i="36"/>
  <c r="U192" i="36"/>
  <c r="O231" i="36"/>
  <c r="U231" i="36"/>
  <c r="U263" i="36"/>
  <c r="O15" i="36"/>
  <c r="U15" i="36"/>
  <c r="O54" i="36"/>
  <c r="U54" i="36"/>
  <c r="O85" i="36"/>
  <c r="U85" i="36"/>
  <c r="O117" i="36"/>
  <c r="U117" i="36"/>
  <c r="O181" i="36"/>
  <c r="U181" i="36"/>
  <c r="O212" i="36"/>
  <c r="U212" i="36"/>
  <c r="O243" i="36"/>
  <c r="U243" i="36"/>
  <c r="O17" i="36"/>
  <c r="U17" i="36"/>
  <c r="O32" i="36"/>
  <c r="U32" i="36"/>
  <c r="O64" i="36"/>
  <c r="U64" i="36"/>
  <c r="O79" i="36"/>
  <c r="U79" i="36"/>
  <c r="O111" i="36"/>
  <c r="U111" i="36"/>
  <c r="O143" i="36"/>
  <c r="U143" i="36"/>
  <c r="O159" i="36"/>
  <c r="U159" i="36"/>
  <c r="O167" i="36"/>
  <c r="U167" i="36"/>
  <c r="O183" i="36"/>
  <c r="U183" i="36"/>
  <c r="O190" i="36"/>
  <c r="U190" i="36"/>
  <c r="O206" i="36"/>
  <c r="U206" i="36"/>
  <c r="O214" i="36"/>
  <c r="U214" i="36"/>
  <c r="O229" i="36"/>
  <c r="U229" i="36"/>
  <c r="O237" i="36"/>
  <c r="U237" i="36"/>
  <c r="O261" i="36"/>
  <c r="O19" i="36"/>
  <c r="U19" i="36"/>
  <c r="O42" i="36"/>
  <c r="U42" i="36"/>
  <c r="O73" i="36"/>
  <c r="U73" i="36"/>
  <c r="O97" i="36"/>
  <c r="U97" i="36"/>
  <c r="O121" i="36"/>
  <c r="U121" i="36"/>
  <c r="O145" i="36"/>
  <c r="U145" i="36"/>
  <c r="O169" i="36"/>
  <c r="U169" i="36"/>
  <c r="O177" i="36"/>
  <c r="U177" i="36"/>
  <c r="O200" i="36"/>
  <c r="U200" i="36"/>
  <c r="O247" i="36"/>
  <c r="O25" i="36"/>
  <c r="U25" i="36"/>
  <c r="O151" i="36"/>
  <c r="U151" i="36"/>
  <c r="O245" i="36"/>
  <c r="O34" i="36"/>
  <c r="U34" i="36"/>
  <c r="O58" i="36"/>
  <c r="U58" i="36"/>
  <c r="O185" i="36"/>
  <c r="U185" i="36"/>
  <c r="O216" i="36"/>
  <c r="U216" i="36"/>
  <c r="O255" i="36"/>
  <c r="O101" i="36"/>
  <c r="U101" i="36"/>
  <c r="O133" i="36"/>
  <c r="U133" i="36"/>
  <c r="O165" i="36"/>
  <c r="U165" i="36"/>
  <c r="O204" i="36"/>
  <c r="U204" i="36"/>
  <c r="O235" i="36"/>
  <c r="U235" i="36"/>
  <c r="O9" i="36"/>
  <c r="U9" i="36"/>
  <c r="O40" i="36"/>
  <c r="U40" i="36"/>
  <c r="O56" i="36"/>
  <c r="U56" i="36"/>
  <c r="O87" i="36"/>
  <c r="U87" i="36"/>
  <c r="O103" i="36"/>
  <c r="U103" i="36"/>
  <c r="O135" i="36"/>
  <c r="U135" i="36"/>
  <c r="O523" i="36"/>
  <c r="U523" i="36"/>
  <c r="U538" i="36"/>
  <c r="U546" i="36"/>
  <c r="O5" i="36"/>
  <c r="U5" i="36"/>
  <c r="O187" i="36"/>
  <c r="U187" i="36"/>
  <c r="O249" i="36"/>
  <c r="O50" i="36"/>
  <c r="U50" i="36"/>
  <c r="O224" i="36"/>
  <c r="U224" i="36"/>
  <c r="O119" i="36"/>
  <c r="U119" i="36"/>
  <c r="O198" i="36"/>
  <c r="U198" i="36"/>
  <c r="O13" i="36"/>
  <c r="U13" i="36"/>
  <c r="O75" i="36"/>
  <c r="U75" i="36"/>
  <c r="O179" i="36"/>
  <c r="U179" i="36"/>
  <c r="O71" i="36"/>
  <c r="U71" i="36"/>
  <c r="O46" i="36"/>
  <c r="U46" i="36"/>
  <c r="O93" i="36"/>
  <c r="U93" i="36"/>
  <c r="O128" i="36"/>
  <c r="U128" i="36"/>
  <c r="O28" i="36"/>
  <c r="U28" i="36"/>
  <c r="O210" i="36"/>
  <c r="U210" i="36"/>
  <c r="O89" i="36"/>
  <c r="U89" i="36"/>
  <c r="O105" i="36"/>
  <c r="U105" i="36"/>
  <c r="O161" i="36"/>
  <c r="U161" i="36"/>
  <c r="O29" i="36"/>
  <c r="U29" i="36"/>
  <c r="O61" i="36"/>
  <c r="U61" i="36"/>
  <c r="O84" i="36"/>
  <c r="U84" i="36"/>
  <c r="O116" i="36"/>
  <c r="U116" i="36"/>
  <c r="O148" i="36"/>
  <c r="U148" i="36"/>
  <c r="O180" i="36"/>
  <c r="U180" i="36"/>
  <c r="O211" i="36"/>
  <c r="U211" i="36"/>
  <c r="O242" i="36"/>
  <c r="U242" i="36"/>
  <c r="U266" i="36"/>
  <c r="O16" i="36"/>
  <c r="U16" i="36"/>
  <c r="O39" i="36"/>
  <c r="U39" i="36"/>
  <c r="O70" i="36"/>
  <c r="O102" i="36"/>
  <c r="U102" i="36"/>
  <c r="O134" i="36"/>
  <c r="U134" i="36"/>
  <c r="O166" i="36"/>
  <c r="U166" i="36"/>
  <c r="O197" i="36"/>
  <c r="U197" i="36"/>
  <c r="O221" i="36"/>
  <c r="U221" i="36"/>
  <c r="O252" i="36"/>
  <c r="O4" i="36"/>
  <c r="U4" i="36"/>
  <c r="O12" i="36"/>
  <c r="U12" i="36"/>
  <c r="O20" i="36"/>
  <c r="U20" i="36"/>
  <c r="O27" i="36"/>
  <c r="O35" i="36"/>
  <c r="U35" i="36"/>
  <c r="O43" i="36"/>
  <c r="U43" i="36"/>
  <c r="O51" i="36"/>
  <c r="U51" i="36"/>
  <c r="O59" i="36"/>
  <c r="U59" i="36"/>
  <c r="O67" i="36"/>
  <c r="U67" i="36"/>
  <c r="O74" i="36"/>
  <c r="U74" i="36"/>
  <c r="O82" i="36"/>
  <c r="U82" i="36"/>
  <c r="O90" i="36"/>
  <c r="U90" i="36"/>
  <c r="O98" i="36"/>
  <c r="U98" i="36"/>
  <c r="O106" i="36"/>
  <c r="U106" i="36"/>
  <c r="O114" i="36"/>
  <c r="U114" i="36"/>
  <c r="O122" i="36"/>
  <c r="U122" i="36"/>
  <c r="O130" i="36"/>
  <c r="U130" i="36"/>
  <c r="O138" i="36"/>
  <c r="U138" i="36"/>
  <c r="O146" i="36"/>
  <c r="U146" i="36"/>
  <c r="O154" i="36"/>
  <c r="U154" i="36"/>
  <c r="O162" i="36"/>
  <c r="U162" i="36"/>
  <c r="O170" i="36"/>
  <c r="U170" i="36"/>
  <c r="O178" i="36"/>
  <c r="U178" i="36"/>
  <c r="O186" i="36"/>
  <c r="U186" i="36"/>
  <c r="O193" i="36"/>
  <c r="U193" i="36"/>
  <c r="O201" i="36"/>
  <c r="U201" i="36"/>
  <c r="O14" i="36"/>
  <c r="U14" i="36"/>
  <c r="O53" i="36"/>
  <c r="U53" i="36"/>
  <c r="O92" i="36"/>
  <c r="U92" i="36"/>
  <c r="O124" i="36"/>
  <c r="U124" i="36"/>
  <c r="O156" i="36"/>
  <c r="U156" i="36"/>
  <c r="O195" i="36"/>
  <c r="U195" i="36"/>
  <c r="O234" i="36"/>
  <c r="U234" i="36"/>
  <c r="O8" i="36"/>
  <c r="U8" i="36"/>
  <c r="O47" i="36"/>
  <c r="U47" i="36"/>
  <c r="O78" i="36"/>
  <c r="U78" i="36"/>
  <c r="O110" i="36"/>
  <c r="U110" i="36"/>
  <c r="O142" i="36"/>
  <c r="U142" i="36"/>
  <c r="O174" i="36"/>
  <c r="U174" i="36"/>
  <c r="O205" i="36"/>
  <c r="U205" i="36"/>
  <c r="O236" i="36"/>
  <c r="U236" i="36"/>
  <c r="U524" i="36"/>
  <c r="O6" i="36"/>
  <c r="U6" i="36"/>
  <c r="O37" i="36"/>
  <c r="U37" i="36"/>
  <c r="O69" i="36"/>
  <c r="U69" i="36"/>
  <c r="O100" i="36"/>
  <c r="U100" i="36"/>
  <c r="O132" i="36"/>
  <c r="U132" i="36"/>
  <c r="O164" i="36"/>
  <c r="U164" i="36"/>
  <c r="O219" i="36"/>
  <c r="U219" i="36"/>
  <c r="O250" i="36"/>
  <c r="O24" i="36"/>
  <c r="U24" i="36"/>
  <c r="O55" i="36"/>
  <c r="U55" i="36"/>
  <c r="O86" i="36"/>
  <c r="U86" i="36"/>
  <c r="O118" i="36"/>
  <c r="U118" i="36"/>
  <c r="O150" i="36"/>
  <c r="U150" i="36"/>
  <c r="O182" i="36"/>
  <c r="U182" i="36"/>
  <c r="O228" i="36"/>
  <c r="O260" i="36"/>
  <c r="U539" i="36"/>
  <c r="U565" i="36"/>
  <c r="O22" i="36"/>
  <c r="U22" i="36"/>
  <c r="O45" i="36"/>
  <c r="U45" i="36"/>
  <c r="O76" i="36"/>
  <c r="U76" i="36"/>
  <c r="O108" i="36"/>
  <c r="U108" i="36"/>
  <c r="O140" i="36"/>
  <c r="U140" i="36"/>
  <c r="O172" i="36"/>
  <c r="U172" i="36"/>
  <c r="O203" i="36"/>
  <c r="U203" i="36"/>
  <c r="O227" i="36"/>
  <c r="U227" i="36"/>
  <c r="O258" i="36"/>
  <c r="U555" i="36"/>
  <c r="O31" i="36"/>
  <c r="U31" i="36"/>
  <c r="O63" i="36"/>
  <c r="U63" i="36"/>
  <c r="O94" i="36"/>
  <c r="U94" i="36"/>
  <c r="O126" i="36"/>
  <c r="U126" i="36"/>
  <c r="O158" i="36"/>
  <c r="U158" i="36"/>
  <c r="O189" i="36"/>
  <c r="U189" i="36"/>
  <c r="O213" i="36"/>
  <c r="U213" i="36"/>
  <c r="O244" i="36"/>
  <c r="U244" i="36"/>
  <c r="O209" i="36"/>
  <c r="U209" i="36"/>
  <c r="O217" i="36"/>
  <c r="U217" i="36"/>
  <c r="O225" i="36"/>
  <c r="U225" i="36"/>
  <c r="O232" i="36"/>
  <c r="U232" i="36"/>
  <c r="O240" i="36"/>
  <c r="U240" i="36"/>
  <c r="O248" i="36"/>
  <c r="O256" i="36"/>
  <c r="U264" i="36"/>
  <c r="U576" i="36"/>
  <c r="C100" i="37"/>
  <c r="U355" i="36"/>
  <c r="C13" i="37"/>
  <c r="U268" i="36"/>
  <c r="C50" i="37"/>
  <c r="U305" i="36"/>
  <c r="C218" i="37"/>
  <c r="U473" i="36"/>
  <c r="C70" i="37"/>
  <c r="U325" i="36"/>
  <c r="C36" i="37"/>
  <c r="U291" i="36"/>
  <c r="C160" i="37"/>
  <c r="U415" i="36"/>
  <c r="C252" i="37"/>
  <c r="U507" i="36"/>
  <c r="C16" i="37"/>
  <c r="U271" i="36"/>
  <c r="C115" i="37"/>
  <c r="U370" i="36"/>
  <c r="C47" i="37"/>
  <c r="U302" i="36"/>
  <c r="C64" i="37"/>
  <c r="U319" i="36"/>
  <c r="U416" i="36"/>
  <c r="C161" i="37"/>
  <c r="C68" i="37"/>
  <c r="U323" i="36"/>
  <c r="C145" i="37"/>
  <c r="U400" i="36"/>
  <c r="C229" i="37"/>
  <c r="U484" i="36"/>
  <c r="U563" i="36"/>
  <c r="C19" i="37"/>
  <c r="U274" i="36"/>
  <c r="C259" i="37"/>
  <c r="U514" i="36"/>
  <c r="C43" i="37"/>
  <c r="U298" i="36"/>
  <c r="U427" i="36"/>
  <c r="C172" i="37"/>
  <c r="C255" i="37"/>
  <c r="U510" i="36"/>
  <c r="C62" i="37"/>
  <c r="U317" i="36"/>
  <c r="C65" i="37"/>
  <c r="U320" i="36"/>
  <c r="U421" i="36"/>
  <c r="C166" i="37"/>
  <c r="C244" i="37"/>
  <c r="U499" i="36"/>
  <c r="C221" i="37"/>
  <c r="U476" i="36"/>
  <c r="U247" i="36"/>
  <c r="C197" i="23"/>
  <c r="U435" i="36"/>
  <c r="C180" i="37"/>
  <c r="C77" i="37"/>
  <c r="U332" i="36"/>
  <c r="C83" i="37"/>
  <c r="U338" i="36"/>
  <c r="U556" i="36"/>
  <c r="C231" i="37"/>
  <c r="U486" i="36"/>
  <c r="U551" i="36"/>
  <c r="C87" i="37"/>
  <c r="U342" i="36"/>
  <c r="U567" i="36"/>
  <c r="C44" i="37"/>
  <c r="U299" i="36"/>
  <c r="C150" i="37"/>
  <c r="U405" i="36"/>
  <c r="C219" i="37"/>
  <c r="U474" i="36"/>
  <c r="U423" i="36"/>
  <c r="C168" i="37"/>
  <c r="C97" i="37"/>
  <c r="U352" i="36"/>
  <c r="C230" i="37"/>
  <c r="U485" i="36"/>
  <c r="C15" i="37"/>
  <c r="U270" i="36"/>
  <c r="U412" i="36"/>
  <c r="C157" i="37"/>
  <c r="C249" i="37"/>
  <c r="U504" i="36"/>
  <c r="C119" i="37"/>
  <c r="U374" i="36"/>
  <c r="C56" i="37"/>
  <c r="U311" i="36"/>
  <c r="C264" i="37"/>
  <c r="U519" i="36"/>
  <c r="C84" i="37"/>
  <c r="U339" i="36"/>
  <c r="C129" i="37"/>
  <c r="U384" i="36"/>
  <c r="C37" i="37"/>
  <c r="U292" i="36"/>
  <c r="C114" i="37"/>
  <c r="U369" i="36"/>
  <c r="U537" i="36"/>
  <c r="C155" i="37"/>
  <c r="U410" i="36"/>
  <c r="C227" i="37"/>
  <c r="U482" i="36"/>
  <c r="C20" i="38"/>
  <c r="U536" i="36"/>
  <c r="C247" i="37"/>
  <c r="U502" i="36"/>
  <c r="C31" i="37"/>
  <c r="U286" i="36"/>
  <c r="C118" i="37"/>
  <c r="U373" i="36"/>
  <c r="C236" i="37"/>
  <c r="U491" i="36"/>
  <c r="U419" i="36"/>
  <c r="C164" i="37"/>
  <c r="C61" i="37"/>
  <c r="U316" i="36"/>
  <c r="C28" i="37"/>
  <c r="U283" i="36"/>
  <c r="C148" i="37"/>
  <c r="U403" i="36"/>
  <c r="C223" i="37"/>
  <c r="U478" i="36"/>
  <c r="U544" i="36"/>
  <c r="C217" i="37"/>
  <c r="U472" i="36"/>
  <c r="S188" i="36"/>
  <c r="U188" i="36"/>
  <c r="C55" i="37"/>
  <c r="U310" i="36"/>
  <c r="U577" i="36"/>
  <c r="U259" i="36"/>
  <c r="C209" i="23"/>
  <c r="C111" i="37"/>
  <c r="U366" i="36"/>
  <c r="C22" i="37"/>
  <c r="U277" i="36"/>
  <c r="C152" i="37"/>
  <c r="U407" i="36"/>
  <c r="C89" i="37"/>
  <c r="U344" i="36"/>
  <c r="U257" i="36"/>
  <c r="C207" i="23"/>
  <c r="U254" i="36"/>
  <c r="C204" i="23"/>
  <c r="C117" i="37"/>
  <c r="U372" i="36"/>
  <c r="C20" i="37"/>
  <c r="U275" i="36"/>
  <c r="C135" i="37"/>
  <c r="U390" i="36"/>
  <c r="C248" i="37"/>
  <c r="U503" i="36"/>
  <c r="U432" i="36"/>
  <c r="C177" i="37"/>
  <c r="U578" i="36"/>
  <c r="C74" i="37"/>
  <c r="U329" i="36"/>
  <c r="U526" i="36"/>
  <c r="C239" i="37"/>
  <c r="U494" i="36"/>
  <c r="U431" i="36"/>
  <c r="C176" i="37"/>
  <c r="C18" i="37"/>
  <c r="U273" i="36"/>
  <c r="C257" i="37"/>
  <c r="U512" i="36"/>
  <c r="U248" i="36"/>
  <c r="C198" i="23"/>
  <c r="C52" i="37"/>
  <c r="U307" i="36"/>
  <c r="C106" i="37"/>
  <c r="U361" i="36"/>
  <c r="U426" i="36"/>
  <c r="C171" i="37"/>
  <c r="C251" i="37"/>
  <c r="U506" i="36"/>
  <c r="U436" i="36"/>
  <c r="C181" i="37"/>
  <c r="C228" i="37"/>
  <c r="U483" i="36"/>
  <c r="U425" i="36"/>
  <c r="C170" i="37"/>
  <c r="U570" i="36"/>
  <c r="C73" i="37"/>
  <c r="U328" i="36"/>
  <c r="U420" i="36"/>
  <c r="C165" i="37"/>
  <c r="C233" i="37"/>
  <c r="U488" i="36"/>
  <c r="C104" i="37"/>
  <c r="U359" i="36"/>
  <c r="C224" i="37"/>
  <c r="U479" i="36"/>
  <c r="S228" i="36"/>
  <c r="U228" i="36"/>
  <c r="U545" i="36"/>
  <c r="S536" i="36"/>
  <c r="U535" i="36"/>
  <c r="C103" i="37"/>
  <c r="U358" i="36"/>
  <c r="C42" i="37"/>
  <c r="U297" i="36"/>
  <c r="U572" i="36"/>
  <c r="C93" i="37"/>
  <c r="U348" i="36"/>
  <c r="C142" i="37"/>
  <c r="U397" i="36"/>
  <c r="C256" i="37"/>
  <c r="U511" i="36"/>
  <c r="C140" i="37"/>
  <c r="U395" i="36"/>
  <c r="C38" i="37"/>
  <c r="U293" i="36"/>
  <c r="C134" i="37"/>
  <c r="U389" i="36"/>
  <c r="C46" i="37"/>
  <c r="U301" i="36"/>
  <c r="C258" i="37"/>
  <c r="U513" i="36"/>
  <c r="C154" i="37"/>
  <c r="U409" i="36"/>
  <c r="U562" i="36"/>
  <c r="U428" i="36"/>
  <c r="C173" i="37"/>
  <c r="C78" i="37"/>
  <c r="U333" i="36"/>
  <c r="C102" i="37"/>
  <c r="U357" i="36"/>
  <c r="U553" i="36"/>
  <c r="C25" i="37"/>
  <c r="U280" i="36"/>
  <c r="C267" i="37"/>
  <c r="U522" i="36"/>
  <c r="C27" i="37"/>
  <c r="U282" i="36"/>
  <c r="C108" i="37"/>
  <c r="U363" i="36"/>
  <c r="U424" i="36"/>
  <c r="C169" i="37"/>
  <c r="U557" i="36"/>
  <c r="C60" i="37"/>
  <c r="U315" i="36"/>
  <c r="S70" i="36"/>
  <c r="U70" i="36"/>
  <c r="C153" i="37"/>
  <c r="U408" i="36"/>
  <c r="C24" i="37"/>
  <c r="U279" i="36"/>
  <c r="C133" i="37"/>
  <c r="U388" i="36"/>
  <c r="U531" i="36"/>
  <c r="C238" i="37"/>
  <c r="U493" i="36"/>
  <c r="C266" i="37"/>
  <c r="U521" i="36"/>
  <c r="C107" i="37"/>
  <c r="U362" i="36"/>
  <c r="C63" i="37"/>
  <c r="U318" i="36"/>
  <c r="U245" i="36"/>
  <c r="C195" i="23"/>
  <c r="C95" i="37"/>
  <c r="U350" i="36"/>
  <c r="C232" i="37"/>
  <c r="U487" i="36"/>
  <c r="C132" i="37"/>
  <c r="U387" i="36"/>
  <c r="C30" i="37"/>
  <c r="U285" i="36"/>
  <c r="U253" i="36"/>
  <c r="C203" i="23"/>
  <c r="U549" i="36"/>
  <c r="C250" i="37"/>
  <c r="U505" i="36"/>
  <c r="C122" i="37"/>
  <c r="U377" i="36"/>
  <c r="C36" i="38"/>
  <c r="U552" i="36"/>
  <c r="S552" i="36"/>
  <c r="C128" i="37"/>
  <c r="U383" i="36"/>
  <c r="C49" i="37"/>
  <c r="U304" i="36"/>
  <c r="S304" i="36"/>
  <c r="U568" i="36"/>
  <c r="U246" i="36"/>
  <c r="C196" i="23"/>
  <c r="C125" i="37"/>
  <c r="U380" i="36"/>
  <c r="C67" i="37"/>
  <c r="U322" i="36"/>
  <c r="C23" i="37"/>
  <c r="U278" i="36"/>
  <c r="C54" i="37"/>
  <c r="U309" i="36"/>
  <c r="C265" i="37"/>
  <c r="U520" i="36"/>
  <c r="C72" i="37"/>
  <c r="U327" i="36"/>
  <c r="C85" i="37"/>
  <c r="U340" i="36"/>
  <c r="U251" i="36"/>
  <c r="C201" i="23"/>
  <c r="C254" i="37"/>
  <c r="U509" i="36"/>
  <c r="U575" i="36"/>
  <c r="U569" i="36"/>
  <c r="U430" i="36"/>
  <c r="C175" i="37"/>
  <c r="C112" i="37"/>
  <c r="U367" i="36"/>
  <c r="U573" i="36"/>
  <c r="R260" i="36"/>
  <c r="B260" i="36"/>
  <c r="U260" i="36"/>
  <c r="C210" i="23"/>
  <c r="C90" i="37"/>
  <c r="U345" i="36"/>
  <c r="C123" i="37"/>
  <c r="U378" i="36"/>
  <c r="U529" i="36"/>
  <c r="C79" i="37"/>
  <c r="U334" i="36"/>
  <c r="C144" i="37"/>
  <c r="U399" i="36"/>
  <c r="U241" i="36"/>
  <c r="U527" i="36"/>
  <c r="U561" i="36"/>
  <c r="U422" i="36"/>
  <c r="C167" i="37"/>
  <c r="C33" i="37"/>
  <c r="U288" i="36"/>
  <c r="U547" i="36"/>
  <c r="C21" i="37"/>
  <c r="U276" i="36"/>
  <c r="C66" i="37"/>
  <c r="U321" i="36"/>
  <c r="C58" i="37"/>
  <c r="U313" i="36"/>
  <c r="U533" i="36"/>
  <c r="C136" i="37"/>
  <c r="U391" i="36"/>
  <c r="C57" i="37"/>
  <c r="U312" i="36"/>
  <c r="C240" i="37"/>
  <c r="U495" i="36"/>
  <c r="C149" i="37"/>
  <c r="U404" i="36"/>
  <c r="C220" i="37"/>
  <c r="U475" i="36"/>
  <c r="C225" i="37"/>
  <c r="U480" i="36"/>
  <c r="U414" i="36"/>
  <c r="C159" i="37"/>
  <c r="C96" i="37"/>
  <c r="U351" i="36"/>
  <c r="C261" i="37"/>
  <c r="U516" i="36"/>
  <c r="C35" i="37"/>
  <c r="U290" i="36"/>
  <c r="U543" i="36"/>
  <c r="C222" i="37"/>
  <c r="U477" i="36"/>
  <c r="C151" i="37"/>
  <c r="U406" i="36"/>
  <c r="C88" i="37"/>
  <c r="U343" i="36"/>
  <c r="C17" i="37"/>
  <c r="U272" i="36"/>
  <c r="C237" i="37"/>
  <c r="U492" i="36"/>
  <c r="U530" i="36"/>
  <c r="U258" i="36"/>
  <c r="C208" i="23"/>
  <c r="U418" i="36"/>
  <c r="C163" i="37"/>
  <c r="C235" i="37"/>
  <c r="U490" i="36"/>
  <c r="U250" i="36"/>
  <c r="C200" i="23"/>
  <c r="U560" i="36"/>
  <c r="C76" i="37"/>
  <c r="U331" i="36"/>
  <c r="C137" i="37"/>
  <c r="U392" i="36"/>
  <c r="U532" i="36"/>
  <c r="C29" i="37"/>
  <c r="U284" i="36"/>
  <c r="C121" i="37"/>
  <c r="U376" i="36"/>
  <c r="C110" i="37"/>
  <c r="U365" i="36"/>
  <c r="C75" i="37"/>
  <c r="U330" i="36"/>
  <c r="C48" i="37"/>
  <c r="U303" i="36"/>
  <c r="C124" i="37"/>
  <c r="U379" i="36"/>
  <c r="C81" i="37"/>
  <c r="U336" i="36"/>
  <c r="C12" i="37"/>
  <c r="U267" i="36"/>
  <c r="C32" i="37"/>
  <c r="U287" i="36"/>
  <c r="C71" i="37"/>
  <c r="U326" i="36"/>
  <c r="C109" i="37"/>
  <c r="U364" i="36"/>
  <c r="C14" i="37"/>
  <c r="U269" i="36"/>
  <c r="U541" i="36"/>
  <c r="C242" i="37"/>
  <c r="U497" i="36"/>
  <c r="C91" i="37"/>
  <c r="U346" i="36"/>
  <c r="C69" i="37"/>
  <c r="U324" i="36"/>
  <c r="U417" i="36"/>
  <c r="C162" i="37"/>
  <c r="U559" i="36"/>
  <c r="C120" i="37"/>
  <c r="U375" i="36"/>
  <c r="C34" i="37"/>
  <c r="U289" i="36"/>
  <c r="U540" i="36"/>
  <c r="C94" i="37"/>
  <c r="U349" i="36"/>
  <c r="R2" i="36"/>
  <c r="B2" i="36"/>
  <c r="U2" i="36"/>
  <c r="U256" i="36"/>
  <c r="C206" i="23"/>
  <c r="C246" i="37"/>
  <c r="U501" i="36"/>
  <c r="U434" i="36"/>
  <c r="C179" i="37"/>
  <c r="U564" i="36"/>
  <c r="C226" i="37"/>
  <c r="U481" i="36"/>
  <c r="C126" i="37"/>
  <c r="U381" i="36"/>
  <c r="C58" i="38"/>
  <c r="S574" i="36"/>
  <c r="U574" i="36"/>
  <c r="C99" i="37"/>
  <c r="U354" i="36"/>
  <c r="C105" i="37"/>
  <c r="U360" i="36"/>
  <c r="C127" i="37"/>
  <c r="U382" i="36"/>
  <c r="C147" i="37"/>
  <c r="U402" i="36"/>
  <c r="C241" i="37"/>
  <c r="U496" i="36"/>
  <c r="C41" i="37"/>
  <c r="U296" i="36"/>
  <c r="C253" i="37"/>
  <c r="U508" i="36"/>
  <c r="U571" i="36"/>
  <c r="C262" i="37"/>
  <c r="U517" i="36"/>
  <c r="U566" i="36"/>
  <c r="C146" i="37"/>
  <c r="U401" i="36"/>
  <c r="U429" i="36"/>
  <c r="C174" i="37"/>
  <c r="U542" i="36"/>
  <c r="C156" i="37"/>
  <c r="U411" i="36"/>
  <c r="C53" i="37"/>
  <c r="U308" i="36"/>
  <c r="C182" i="37"/>
  <c r="U437" i="36"/>
  <c r="C116" i="37"/>
  <c r="U371" i="36"/>
  <c r="S371" i="36"/>
  <c r="C139" i="37"/>
  <c r="U394" i="36"/>
  <c r="C216" i="37"/>
  <c r="U471" i="36"/>
  <c r="C92" i="37"/>
  <c r="U347" i="36"/>
  <c r="C141" i="37"/>
  <c r="U396" i="36"/>
  <c r="C138" i="37"/>
  <c r="U393" i="36"/>
  <c r="U528" i="36"/>
  <c r="C143" i="37"/>
  <c r="U398" i="36"/>
  <c r="C80" i="37"/>
  <c r="U335" i="36"/>
  <c r="U548" i="36"/>
  <c r="C243" i="37"/>
  <c r="U498" i="36"/>
  <c r="U558" i="36"/>
  <c r="C131" i="37"/>
  <c r="U386" i="36"/>
  <c r="U550" i="36"/>
  <c r="C45" i="37"/>
  <c r="U300" i="36"/>
  <c r="C82" i="37"/>
  <c r="U337" i="36"/>
  <c r="U27" i="36"/>
  <c r="S27" i="36"/>
  <c r="C245" i="37"/>
  <c r="U500" i="36"/>
  <c r="U252" i="36"/>
  <c r="C202" i="23"/>
  <c r="C98" i="37"/>
  <c r="U353" i="36"/>
  <c r="U534" i="36"/>
  <c r="C86" i="37"/>
  <c r="U341" i="36"/>
  <c r="C51" i="37"/>
  <c r="U306" i="36"/>
  <c r="U554" i="36"/>
  <c r="U249" i="36"/>
  <c r="C199" i="23"/>
  <c r="C260" i="37"/>
  <c r="U515" i="36"/>
  <c r="U255" i="36"/>
  <c r="C205" i="23"/>
  <c r="C40" i="37"/>
  <c r="U295" i="36"/>
  <c r="C101" i="37"/>
  <c r="U356" i="36"/>
  <c r="U261" i="36"/>
  <c r="C211" i="23"/>
  <c r="U433" i="36"/>
  <c r="C178" i="37"/>
  <c r="C263" i="37"/>
  <c r="U518" i="36"/>
  <c r="C234" i="37"/>
  <c r="U489" i="36"/>
  <c r="C59" i="37"/>
  <c r="U314" i="36"/>
  <c r="U413" i="36"/>
  <c r="C158" i="37"/>
  <c r="C215" i="37"/>
  <c r="U470" i="36"/>
  <c r="C130" i="37"/>
  <c r="U385" i="36"/>
  <c r="C113" i="37"/>
  <c r="U368" i="36"/>
  <c r="C26" i="37"/>
  <c r="U281" i="36"/>
  <c r="C39" i="37"/>
  <c r="U294" i="36"/>
  <c r="C214" i="37"/>
  <c r="U469" i="36"/>
  <c r="S470" i="36"/>
  <c r="C213" i="37"/>
  <c r="U468" i="36"/>
  <c r="C212" i="37"/>
  <c r="U467" i="36"/>
  <c r="C211" i="37"/>
  <c r="U466" i="36"/>
  <c r="C210" i="37"/>
  <c r="U465" i="36"/>
  <c r="C209" i="37"/>
  <c r="U464" i="36"/>
  <c r="C208" i="37"/>
  <c r="U463" i="36"/>
  <c r="C207" i="37"/>
  <c r="U462" i="36"/>
  <c r="C206" i="37"/>
  <c r="U461" i="36"/>
  <c r="C205" i="37"/>
  <c r="U460" i="36"/>
  <c r="C204" i="37"/>
  <c r="U459" i="36"/>
  <c r="C203" i="37"/>
  <c r="U458" i="36"/>
  <c r="C202" i="37"/>
  <c r="U457" i="36"/>
  <c r="C201" i="37"/>
  <c r="U456" i="36"/>
  <c r="C200" i="37"/>
  <c r="U455" i="36"/>
  <c r="C199" i="37"/>
  <c r="U454" i="36"/>
  <c r="C198" i="37"/>
  <c r="U453" i="36"/>
  <c r="C197" i="37"/>
  <c r="U452" i="36"/>
  <c r="C196" i="37"/>
  <c r="U451" i="36"/>
  <c r="C195" i="37"/>
  <c r="U450" i="36"/>
  <c r="C194" i="37"/>
  <c r="U449" i="36"/>
  <c r="C193" i="37"/>
  <c r="U448" i="36"/>
  <c r="C192" i="37"/>
  <c r="U447" i="36"/>
  <c r="C191" i="37"/>
  <c r="U446" i="36"/>
  <c r="C190" i="37"/>
  <c r="U445" i="36"/>
  <c r="C189" i="37"/>
  <c r="U444" i="36"/>
  <c r="C188" i="37"/>
  <c r="U443" i="36"/>
  <c r="C187" i="37"/>
  <c r="U442" i="36"/>
  <c r="C186" i="37"/>
  <c r="U441" i="36"/>
  <c r="C185" i="37"/>
  <c r="U440" i="36"/>
  <c r="C184" i="37"/>
  <c r="U439" i="36"/>
  <c r="C183" i="37"/>
  <c r="U438" i="36"/>
  <c r="C90" i="38"/>
  <c r="C23" i="38"/>
  <c r="C194" i="23"/>
  <c r="R244" i="36"/>
  <c r="B244" i="36"/>
  <c r="C113" i="38"/>
  <c r="C110" i="23"/>
  <c r="C156" i="23"/>
  <c r="C140" i="23"/>
  <c r="C42" i="23"/>
  <c r="C35" i="38"/>
  <c r="C57" i="23"/>
  <c r="C91" i="38"/>
  <c r="C151" i="23"/>
  <c r="C50" i="38"/>
  <c r="C189" i="23"/>
  <c r="C111" i="23"/>
  <c r="C37" i="23"/>
  <c r="C175" i="23"/>
  <c r="C193" i="23"/>
  <c r="C79" i="38"/>
  <c r="C186" i="23"/>
  <c r="C78" i="23"/>
  <c r="C124" i="23"/>
  <c r="C102" i="38"/>
  <c r="C116" i="23"/>
  <c r="R166" i="36"/>
  <c r="B166" i="36"/>
  <c r="C59" i="38"/>
  <c r="C13" i="23"/>
  <c r="C98" i="23"/>
  <c r="C174" i="23"/>
  <c r="C116" i="38"/>
  <c r="C36" i="23"/>
  <c r="C41" i="23"/>
  <c r="R121" i="36"/>
  <c r="B121" i="36"/>
  <c r="C71" i="23"/>
  <c r="C42" i="38"/>
  <c r="C169" i="23"/>
  <c r="C101" i="38"/>
  <c r="C25" i="23"/>
  <c r="C191" i="23"/>
  <c r="C95" i="23"/>
  <c r="C79" i="23"/>
  <c r="C53" i="38"/>
  <c r="C24" i="38"/>
  <c r="C61" i="23"/>
  <c r="C161" i="23"/>
  <c r="C179" i="23"/>
  <c r="C91" i="23"/>
  <c r="C10" i="38"/>
  <c r="C72" i="23"/>
  <c r="R191" i="36"/>
  <c r="B191" i="36"/>
  <c r="R194" i="36"/>
  <c r="B194" i="36"/>
  <c r="C144" i="23"/>
  <c r="C38" i="38"/>
  <c r="C38" i="23"/>
  <c r="C86" i="38"/>
  <c r="C106" i="23"/>
  <c r="C16" i="23"/>
  <c r="C68" i="23"/>
  <c r="C69" i="38"/>
  <c r="C49" i="23"/>
  <c r="C145" i="23"/>
  <c r="C77" i="38"/>
  <c r="C32" i="38"/>
  <c r="C19" i="23"/>
  <c r="C89" i="38"/>
  <c r="C93" i="23"/>
  <c r="R49" i="36"/>
  <c r="B49" i="36"/>
  <c r="C187" i="23"/>
  <c r="C99" i="23"/>
  <c r="R149" i="36"/>
  <c r="B149" i="36"/>
  <c r="C35" i="23"/>
  <c r="C30" i="38"/>
  <c r="C192" i="23"/>
  <c r="C48" i="23"/>
  <c r="C15" i="38"/>
  <c r="C54" i="38"/>
  <c r="C34" i="23"/>
  <c r="C8" i="38"/>
  <c r="C61" i="38"/>
  <c r="C139" i="23"/>
  <c r="R207" i="36"/>
  <c r="B207" i="36"/>
  <c r="C157" i="23"/>
  <c r="C81" i="23"/>
  <c r="C12" i="38"/>
  <c r="C178" i="23"/>
  <c r="C75" i="38"/>
  <c r="C84" i="23"/>
  <c r="R134" i="36"/>
  <c r="B134" i="36"/>
  <c r="C190" i="23"/>
  <c r="C90" i="23"/>
  <c r="R140" i="36"/>
  <c r="B140" i="36"/>
  <c r="C150" i="23"/>
  <c r="R200" i="36"/>
  <c r="B200" i="36"/>
  <c r="C45" i="23"/>
  <c r="C34" i="38"/>
  <c r="R167" i="36"/>
  <c r="B167" i="36"/>
  <c r="C117" i="23"/>
  <c r="C11" i="38"/>
  <c r="C63" i="23"/>
  <c r="C47" i="23"/>
  <c r="C16" i="38"/>
  <c r="R155" i="36"/>
  <c r="B155" i="36"/>
  <c r="C105" i="23"/>
  <c r="C171" i="23"/>
  <c r="C63" i="38"/>
  <c r="C170" i="23"/>
  <c r="R64" i="36"/>
  <c r="B64" i="36"/>
  <c r="C60" i="23"/>
  <c r="C43" i="38"/>
  <c r="C108" i="38"/>
  <c r="C52" i="23"/>
  <c r="C158" i="23"/>
  <c r="C73" i="38"/>
  <c r="C188" i="23"/>
  <c r="C146" i="23"/>
  <c r="C82" i="23"/>
  <c r="R132" i="36"/>
  <c r="B132" i="36"/>
  <c r="C9" i="23"/>
  <c r="C118" i="23"/>
  <c r="C17" i="38"/>
  <c r="C18" i="23"/>
  <c r="C72" i="38"/>
  <c r="C37" i="38"/>
  <c r="C131" i="23"/>
  <c r="R181" i="36"/>
  <c r="B181" i="36"/>
  <c r="C26" i="38"/>
  <c r="C85" i="23"/>
  <c r="R59" i="36"/>
  <c r="B59" i="36"/>
  <c r="C153" i="23"/>
  <c r="C167" i="23"/>
  <c r="R81" i="36"/>
  <c r="B81" i="36"/>
  <c r="C31" i="23"/>
  <c r="C15" i="23"/>
  <c r="C93" i="38"/>
  <c r="C21" i="38"/>
  <c r="C87" i="38"/>
  <c r="R223" i="36"/>
  <c r="B223" i="36"/>
  <c r="C173" i="23"/>
  <c r="C104" i="38"/>
  <c r="C65" i="23"/>
  <c r="C155" i="23"/>
  <c r="C75" i="23"/>
  <c r="R125" i="36"/>
  <c r="B125" i="36"/>
  <c r="C60" i="38"/>
  <c r="C24" i="23"/>
  <c r="R199" i="36"/>
  <c r="B199" i="36"/>
  <c r="C149" i="23"/>
  <c r="C136" i="23"/>
  <c r="C184" i="23"/>
  <c r="R215" i="36"/>
  <c r="B215" i="36"/>
  <c r="C168" i="23"/>
  <c r="C71" i="38"/>
  <c r="C110" i="38"/>
  <c r="C46" i="23"/>
  <c r="C92" i="23"/>
  <c r="R142" i="36"/>
  <c r="B142" i="36"/>
  <c r="C19" i="38"/>
  <c r="C100" i="38"/>
  <c r="C154" i="23"/>
  <c r="R204" i="36"/>
  <c r="B204" i="36"/>
  <c r="C26" i="23"/>
  <c r="C49" i="38"/>
  <c r="C45" i="38"/>
  <c r="C10" i="23"/>
  <c r="C14" i="23"/>
  <c r="C137" i="23"/>
  <c r="C183" i="23"/>
  <c r="R67" i="36"/>
  <c r="B67" i="36"/>
  <c r="C29" i="38"/>
  <c r="C112" i="38"/>
  <c r="C29" i="23"/>
  <c r="C96" i="38"/>
  <c r="C83" i="23"/>
  <c r="R133" i="36"/>
  <c r="B133" i="36"/>
  <c r="C76" i="38"/>
  <c r="C55" i="38"/>
  <c r="C162" i="23"/>
  <c r="C51" i="38"/>
  <c r="C20" i="23"/>
  <c r="R78" i="36"/>
  <c r="B78" i="36"/>
  <c r="C28" i="23"/>
  <c r="C14" i="38"/>
  <c r="C182" i="23"/>
  <c r="C81" i="38"/>
  <c r="C126" i="23"/>
  <c r="C41" i="38"/>
  <c r="C148" i="23"/>
  <c r="R198" i="36"/>
  <c r="B198" i="36"/>
  <c r="C138" i="23"/>
  <c r="C74" i="23"/>
  <c r="R124" i="36"/>
  <c r="B124" i="36"/>
  <c r="C52" i="38"/>
  <c r="C86" i="23"/>
  <c r="C8" i="37"/>
  <c r="C80" i="23"/>
  <c r="C103" i="38"/>
  <c r="C27" i="23"/>
  <c r="C177" i="23"/>
  <c r="C18" i="38"/>
  <c r="C53" i="23"/>
  <c r="R35" i="36"/>
  <c r="B35" i="36"/>
  <c r="C129" i="23"/>
  <c r="C78" i="38"/>
  <c r="C159" i="23"/>
  <c r="C9" i="37"/>
  <c r="C13" i="38"/>
  <c r="C80" i="38"/>
  <c r="C141" i="23"/>
  <c r="C88" i="38"/>
  <c r="C12" i="23"/>
  <c r="C147" i="23"/>
  <c r="C67" i="23"/>
  <c r="R117" i="36"/>
  <c r="B117" i="36"/>
  <c r="C44" i="38"/>
  <c r="R90" i="36"/>
  <c r="B90" i="36"/>
  <c r="C40" i="23"/>
  <c r="R210" i="36"/>
  <c r="B210" i="36"/>
  <c r="C160" i="23"/>
  <c r="C112" i="23"/>
  <c r="C88" i="23"/>
  <c r="R152" i="36"/>
  <c r="B152" i="36"/>
  <c r="R154" i="36"/>
  <c r="B154" i="36"/>
  <c r="C104" i="23"/>
  <c r="C47" i="38"/>
  <c r="C111" i="38"/>
  <c r="C10" i="37"/>
  <c r="C57" i="38"/>
  <c r="C94" i="23"/>
  <c r="C108" i="23"/>
  <c r="R158" i="36"/>
  <c r="B158" i="36"/>
  <c r="C66" i="23"/>
  <c r="C70" i="38"/>
  <c r="C54" i="23"/>
  <c r="C164" i="23"/>
  <c r="C109" i="38"/>
  <c r="C82" i="38"/>
  <c r="R171" i="36"/>
  <c r="B171" i="36"/>
  <c r="C121" i="23"/>
  <c r="C143" i="23"/>
  <c r="C165" i="23"/>
  <c r="C64" i="38"/>
  <c r="C109" i="23"/>
  <c r="C115" i="38"/>
  <c r="C59" i="23"/>
  <c r="C152" i="23"/>
  <c r="C64" i="23"/>
  <c r="C56" i="23"/>
  <c r="C106" i="38"/>
  <c r="C39" i="38"/>
  <c r="C84" i="38"/>
  <c r="C166" i="23"/>
  <c r="C65" i="38"/>
  <c r="C102" i="23"/>
  <c r="C25" i="38"/>
  <c r="C11" i="23"/>
  <c r="C62" i="23"/>
  <c r="C76" i="23"/>
  <c r="C122" i="23"/>
  <c r="C58" i="23"/>
  <c r="C94" i="38"/>
  <c r="C22" i="23"/>
  <c r="C132" i="23"/>
  <c r="R182" i="36"/>
  <c r="B182" i="36"/>
  <c r="C163" i="23"/>
  <c r="C66" i="38"/>
  <c r="R73" i="36"/>
  <c r="B73" i="36"/>
  <c r="C23" i="23"/>
  <c r="C28" i="38"/>
  <c r="C56" i="38"/>
  <c r="C74" i="38"/>
  <c r="C55" i="23"/>
  <c r="C11" i="37"/>
  <c r="C97" i="23"/>
  <c r="C22" i="38"/>
  <c r="C135" i="23"/>
  <c r="C133" i="23"/>
  <c r="C68" i="38"/>
  <c r="C48" i="38"/>
  <c r="C77" i="23"/>
  <c r="C33" i="23"/>
  <c r="C107" i="38"/>
  <c r="R231" i="36"/>
  <c r="B231" i="36"/>
  <c r="C181" i="23"/>
  <c r="C115" i="23"/>
  <c r="R165" i="36"/>
  <c r="B165" i="36"/>
  <c r="C51" i="23"/>
  <c r="C101" i="23"/>
  <c r="C128" i="23"/>
  <c r="C96" i="23"/>
  <c r="C120" i="23"/>
  <c r="C114" i="38"/>
  <c r="C27" i="38"/>
  <c r="C92" i="38"/>
  <c r="C134" i="23"/>
  <c r="C130" i="23"/>
  <c r="R180" i="36"/>
  <c r="B180" i="36"/>
  <c r="C87" i="23"/>
  <c r="C46" i="38"/>
  <c r="R33" i="36"/>
  <c r="B33" i="36"/>
  <c r="C21" i="23"/>
  <c r="C89" i="23"/>
  <c r="C9" i="38"/>
  <c r="C123" i="23"/>
  <c r="R173" i="36"/>
  <c r="B173" i="36"/>
  <c r="C32" i="23"/>
  <c r="S2" i="36"/>
  <c r="C98" i="38"/>
  <c r="C31" i="38"/>
  <c r="C142" i="23"/>
  <c r="C33" i="38"/>
  <c r="R230" i="36"/>
  <c r="B230" i="36"/>
  <c r="C180" i="23"/>
  <c r="C95" i="38"/>
  <c r="C70" i="23"/>
  <c r="C172" i="23"/>
  <c r="C97" i="38"/>
  <c r="C30" i="23"/>
  <c r="C44" i="23"/>
  <c r="C114" i="23"/>
  <c r="C50" i="23"/>
  <c r="C67" i="38"/>
  <c r="C100" i="23"/>
  <c r="C113" i="23"/>
  <c r="C17" i="23"/>
  <c r="C39" i="23"/>
  <c r="C103" i="23"/>
  <c r="C73" i="23"/>
  <c r="C119" i="23"/>
  <c r="C69" i="23"/>
  <c r="C185" i="23"/>
  <c r="C85" i="38"/>
  <c r="C40" i="38"/>
  <c r="C8" i="23"/>
  <c r="C99" i="38"/>
  <c r="C125" i="23"/>
  <c r="C127" i="23"/>
  <c r="C107" i="23"/>
  <c r="R157" i="36"/>
  <c r="B157" i="36"/>
  <c r="C43" i="23"/>
  <c r="C62" i="38"/>
  <c r="R66" i="36"/>
  <c r="B66" i="36"/>
  <c r="C176" i="23"/>
  <c r="R18" i="36"/>
  <c r="B18" i="36"/>
  <c r="R240" i="36"/>
  <c r="B240" i="36"/>
  <c r="R86" i="36"/>
  <c r="B86" i="36"/>
  <c r="R53" i="36"/>
  <c r="B53" i="36"/>
  <c r="R249" i="36"/>
  <c r="B249" i="36"/>
  <c r="R235" i="36"/>
  <c r="B235" i="36"/>
  <c r="R85" i="36"/>
  <c r="B85" i="36"/>
  <c r="R239" i="36"/>
  <c r="B239" i="36"/>
  <c r="R233" i="36"/>
  <c r="B233" i="36"/>
  <c r="R23" i="36"/>
  <c r="B23" i="36"/>
  <c r="R232" i="36"/>
  <c r="B232" i="36"/>
  <c r="R126" i="36"/>
  <c r="B126" i="36"/>
  <c r="R14" i="36"/>
  <c r="B14" i="36"/>
  <c r="R20" i="36"/>
  <c r="B20" i="36"/>
  <c r="S579" i="36"/>
  <c r="R89" i="36"/>
  <c r="B89" i="36"/>
  <c r="R187" i="36"/>
  <c r="B187" i="36"/>
  <c r="R216" i="36"/>
  <c r="B216" i="36"/>
  <c r="R237" i="36"/>
  <c r="B237" i="36"/>
  <c r="R127" i="36"/>
  <c r="B127" i="36"/>
  <c r="B234" i="37"/>
  <c r="B215" i="37"/>
  <c r="R109" i="36"/>
  <c r="B109" i="36"/>
  <c r="R139" i="36"/>
  <c r="B139" i="36"/>
  <c r="R68" i="36"/>
  <c r="B68" i="36"/>
  <c r="B78" i="37"/>
  <c r="S333" i="36"/>
  <c r="R138" i="36"/>
  <c r="B138" i="36"/>
  <c r="R61" i="36"/>
  <c r="B61" i="36"/>
  <c r="R5" i="36"/>
  <c r="B5" i="36"/>
  <c r="S5" i="36"/>
  <c r="R9" i="36"/>
  <c r="B9" i="36"/>
  <c r="R42" i="36"/>
  <c r="B42" i="36"/>
  <c r="R229" i="36"/>
  <c r="B229" i="36"/>
  <c r="R111" i="36"/>
  <c r="B111" i="36"/>
  <c r="R15" i="36"/>
  <c r="B15" i="36"/>
  <c r="R95" i="36"/>
  <c r="B95" i="36"/>
  <c r="R251" i="36"/>
  <c r="B251" i="36"/>
  <c r="R77" i="36"/>
  <c r="B77" i="36"/>
  <c r="R153" i="36"/>
  <c r="B153" i="36"/>
  <c r="R218" i="36"/>
  <c r="B218" i="36"/>
  <c r="S218" i="36"/>
  <c r="R131" i="36"/>
  <c r="B131" i="36"/>
  <c r="R60" i="36"/>
  <c r="B60" i="36"/>
  <c r="R246" i="36"/>
  <c r="B246" i="36"/>
  <c r="S380" i="36"/>
  <c r="R262" i="36"/>
  <c r="B262" i="36"/>
  <c r="R217" i="36"/>
  <c r="B217" i="36"/>
  <c r="S217" i="36"/>
  <c r="R63" i="36"/>
  <c r="B63" i="36"/>
  <c r="R108" i="36"/>
  <c r="B108" i="36"/>
  <c r="R100" i="36"/>
  <c r="B100" i="36"/>
  <c r="R205" i="36"/>
  <c r="B205" i="36"/>
  <c r="R234" i="36"/>
  <c r="B234" i="36"/>
  <c r="R193" i="36"/>
  <c r="B193" i="36"/>
  <c r="R130" i="36"/>
  <c r="B130" i="36"/>
  <c r="R4" i="36"/>
  <c r="B4" i="36"/>
  <c r="S4" i="36"/>
  <c r="R29" i="36"/>
  <c r="B29" i="36"/>
  <c r="R46" i="36"/>
  <c r="B46" i="36"/>
  <c r="R179" i="36"/>
  <c r="B179" i="36"/>
  <c r="S179" i="36"/>
  <c r="S133" i="36"/>
  <c r="R58" i="36"/>
  <c r="B58" i="36"/>
  <c r="R19" i="36"/>
  <c r="B19" i="36"/>
  <c r="R214" i="36"/>
  <c r="B214" i="36"/>
  <c r="R79" i="36"/>
  <c r="B79" i="36"/>
  <c r="R220" i="36"/>
  <c r="B220" i="36"/>
  <c r="R38" i="36"/>
  <c r="B38" i="36"/>
  <c r="R113" i="36"/>
  <c r="B113" i="36"/>
  <c r="R202" i="36"/>
  <c r="B202" i="36"/>
  <c r="R123" i="36"/>
  <c r="B123" i="36"/>
  <c r="R52" i="36"/>
  <c r="B52" i="36"/>
  <c r="R72" i="36"/>
  <c r="B72" i="36"/>
  <c r="S72" i="36"/>
  <c r="S349" i="36"/>
  <c r="R196" i="36"/>
  <c r="B196" i="36"/>
  <c r="R184" i="36"/>
  <c r="B184" i="36"/>
  <c r="S230" i="36"/>
  <c r="S335" i="36"/>
  <c r="R209" i="36"/>
  <c r="B209" i="36"/>
  <c r="R31" i="36"/>
  <c r="B31" i="36"/>
  <c r="S321" i="36"/>
  <c r="R76" i="36"/>
  <c r="B76" i="36"/>
  <c r="R228" i="36"/>
  <c r="R69" i="36"/>
  <c r="B69" i="36"/>
  <c r="R174" i="36"/>
  <c r="B174" i="36"/>
  <c r="R195" i="36"/>
  <c r="B195" i="36"/>
  <c r="R186" i="36"/>
  <c r="B186" i="36"/>
  <c r="R122" i="36"/>
  <c r="B122" i="36"/>
  <c r="R242" i="36"/>
  <c r="B242" i="36"/>
  <c r="R128" i="36"/>
  <c r="B128" i="36"/>
  <c r="S128" i="36"/>
  <c r="R75" i="36"/>
  <c r="B75" i="36"/>
  <c r="R224" i="36"/>
  <c r="B224" i="36"/>
  <c r="R101" i="36"/>
  <c r="B101" i="36"/>
  <c r="R34" i="36"/>
  <c r="B34" i="36"/>
  <c r="R177" i="36"/>
  <c r="B177" i="36"/>
  <c r="R206" i="36"/>
  <c r="B206" i="36"/>
  <c r="S206" i="36"/>
  <c r="R243" i="36"/>
  <c r="B243" i="36"/>
  <c r="S243" i="36"/>
  <c r="B182" i="37"/>
  <c r="S437" i="36"/>
  <c r="R188" i="36"/>
  <c r="R7" i="36"/>
  <c r="B7" i="36"/>
  <c r="R11" i="36"/>
  <c r="B11" i="36"/>
  <c r="R115" i="36"/>
  <c r="B115" i="36"/>
  <c r="R44" i="36"/>
  <c r="B44" i="36"/>
  <c r="R88" i="36"/>
  <c r="B88" i="36"/>
  <c r="R160" i="36"/>
  <c r="B160" i="36"/>
  <c r="R136" i="36"/>
  <c r="B136" i="36"/>
  <c r="R16" i="36"/>
  <c r="B16" i="36"/>
  <c r="R105" i="36"/>
  <c r="B105" i="36"/>
  <c r="R255" i="36"/>
  <c r="B255" i="36"/>
  <c r="R97" i="36"/>
  <c r="B97" i="36"/>
  <c r="R261" i="36"/>
  <c r="B261" i="36"/>
  <c r="R222" i="36"/>
  <c r="B222" i="36"/>
  <c r="R30" i="36"/>
  <c r="B30" i="36"/>
  <c r="R141" i="36"/>
  <c r="B141" i="36"/>
  <c r="R147" i="36"/>
  <c r="B147" i="36"/>
  <c r="R10" i="36"/>
  <c r="B10" i="36"/>
  <c r="R96" i="36"/>
  <c r="B96" i="36"/>
  <c r="S359" i="36"/>
  <c r="R164" i="36"/>
  <c r="B164" i="36"/>
  <c r="R8" i="36"/>
  <c r="B8" i="36"/>
  <c r="R146" i="36"/>
  <c r="B146" i="36"/>
  <c r="R84" i="36"/>
  <c r="B84" i="36"/>
  <c r="B160" i="37"/>
  <c r="R54" i="36"/>
  <c r="B54" i="36"/>
  <c r="R24" i="36"/>
  <c r="B24" i="36"/>
  <c r="S274" i="36"/>
  <c r="R74" i="36"/>
  <c r="B74" i="36"/>
  <c r="R197" i="36"/>
  <c r="B197" i="36"/>
  <c r="S510" i="36"/>
  <c r="R185" i="36"/>
  <c r="B185" i="36"/>
  <c r="B72" i="37"/>
  <c r="S142" i="36"/>
  <c r="R156" i="36"/>
  <c r="B156" i="36"/>
  <c r="R114" i="36"/>
  <c r="B114" i="36"/>
  <c r="R102" i="36"/>
  <c r="B102" i="36"/>
  <c r="R211" i="36"/>
  <c r="B211" i="36"/>
  <c r="S358" i="36"/>
  <c r="B93" i="37"/>
  <c r="S348" i="36"/>
  <c r="R13" i="36"/>
  <c r="B13" i="36"/>
  <c r="R135" i="36"/>
  <c r="B135" i="36"/>
  <c r="S397" i="36"/>
  <c r="R169" i="36"/>
  <c r="B169" i="36"/>
  <c r="R190" i="36"/>
  <c r="B190" i="36"/>
  <c r="R32" i="36"/>
  <c r="B32" i="36"/>
  <c r="R212" i="36"/>
  <c r="B212" i="36"/>
  <c r="R137" i="36"/>
  <c r="B137" i="36"/>
  <c r="R259" i="36"/>
  <c r="B259" i="36"/>
  <c r="S474" i="36"/>
  <c r="R107" i="36"/>
  <c r="B107" i="36"/>
  <c r="R36" i="36"/>
  <c r="B36" i="36"/>
  <c r="R112" i="36"/>
  <c r="B112" i="36"/>
  <c r="R80" i="36"/>
  <c r="B80" i="36"/>
  <c r="R104" i="36"/>
  <c r="B104" i="36"/>
  <c r="S446" i="36"/>
  <c r="R256" i="36"/>
  <c r="B256" i="36"/>
  <c r="R213" i="36"/>
  <c r="B213" i="36"/>
  <c r="R258" i="36"/>
  <c r="B258" i="36"/>
  <c r="R22" i="36"/>
  <c r="B22" i="36"/>
  <c r="S418" i="36"/>
  <c r="R150" i="36"/>
  <c r="B150" i="36"/>
  <c r="R250" i="36"/>
  <c r="B250" i="36"/>
  <c r="R6" i="36"/>
  <c r="B6" i="36"/>
  <c r="S6" i="36"/>
  <c r="R110" i="36"/>
  <c r="B110" i="36"/>
  <c r="R170" i="36"/>
  <c r="B170" i="36"/>
  <c r="R106" i="36"/>
  <c r="B106" i="36"/>
  <c r="S106" i="36"/>
  <c r="R43" i="36"/>
  <c r="B43" i="36"/>
  <c r="R70" i="36"/>
  <c r="R71" i="36"/>
  <c r="B71" i="36"/>
  <c r="S71" i="36"/>
  <c r="R103" i="36"/>
  <c r="B103" i="36"/>
  <c r="R245" i="36"/>
  <c r="B245" i="36"/>
  <c r="R145" i="36"/>
  <c r="B145" i="36"/>
  <c r="R183" i="36"/>
  <c r="B183" i="36"/>
  <c r="R17" i="36"/>
  <c r="B17" i="36"/>
  <c r="S301" i="36"/>
  <c r="B111" i="37"/>
  <c r="R257" i="36"/>
  <c r="B257" i="36"/>
  <c r="R163" i="36"/>
  <c r="B163" i="36"/>
  <c r="R99" i="36"/>
  <c r="B99" i="36"/>
  <c r="R21" i="36"/>
  <c r="B21" i="36"/>
  <c r="R176" i="36"/>
  <c r="B176" i="36"/>
  <c r="R144" i="36"/>
  <c r="B144" i="36"/>
  <c r="R168" i="36"/>
  <c r="B168" i="36"/>
  <c r="R57" i="36"/>
  <c r="B57" i="36"/>
  <c r="R203" i="36"/>
  <c r="B203" i="36"/>
  <c r="S550" i="36"/>
  <c r="R47" i="36"/>
  <c r="B47" i="36"/>
  <c r="R27" i="36"/>
  <c r="R252" i="36"/>
  <c r="B252" i="36"/>
  <c r="R116" i="36"/>
  <c r="B116" i="36"/>
  <c r="S306" i="36"/>
  <c r="S198" i="36"/>
  <c r="R56" i="36"/>
  <c r="B56" i="36"/>
  <c r="R25" i="36"/>
  <c r="B25" i="36"/>
  <c r="R159" i="36"/>
  <c r="B159" i="36"/>
  <c r="R192" i="36"/>
  <c r="B192" i="36"/>
  <c r="R48" i="36"/>
  <c r="B48" i="36"/>
  <c r="R83" i="36"/>
  <c r="B83" i="36"/>
  <c r="R238" i="36"/>
  <c r="B238" i="36"/>
  <c r="R172" i="36"/>
  <c r="B172" i="36"/>
  <c r="R55" i="36"/>
  <c r="B55" i="36"/>
  <c r="B50" i="37"/>
  <c r="R82" i="36"/>
  <c r="B82" i="36"/>
  <c r="S82" i="36"/>
  <c r="R221" i="36"/>
  <c r="B221" i="36"/>
  <c r="R119" i="36"/>
  <c r="B119" i="36"/>
  <c r="S119" i="36"/>
  <c r="R40" i="36"/>
  <c r="B40" i="36"/>
  <c r="R143" i="36"/>
  <c r="B143" i="36"/>
  <c r="R129" i="36"/>
  <c r="B129" i="36"/>
  <c r="R208" i="36"/>
  <c r="B208" i="36"/>
  <c r="R226" i="36"/>
  <c r="B226" i="36"/>
  <c r="R120" i="36"/>
  <c r="B120" i="36"/>
  <c r="R225" i="36"/>
  <c r="B225" i="36"/>
  <c r="R94" i="36"/>
  <c r="B94" i="36"/>
  <c r="S292" i="36"/>
  <c r="R236" i="36"/>
  <c r="B236" i="36"/>
  <c r="R201" i="36"/>
  <c r="B201" i="36"/>
  <c r="R12" i="36"/>
  <c r="B12" i="36"/>
  <c r="R93" i="36"/>
  <c r="B93" i="36"/>
  <c r="R247" i="36"/>
  <c r="B247" i="36"/>
  <c r="S576" i="36"/>
  <c r="R45" i="36"/>
  <c r="B45" i="36"/>
  <c r="R37" i="36"/>
  <c r="B37" i="36"/>
  <c r="B216" i="37"/>
  <c r="R178" i="36"/>
  <c r="B178" i="36"/>
  <c r="R51" i="36"/>
  <c r="B51" i="36"/>
  <c r="R50" i="36"/>
  <c r="B50" i="36"/>
  <c r="S50" i="36"/>
  <c r="S374" i="36"/>
  <c r="R248" i="36"/>
  <c r="B248" i="36"/>
  <c r="R189" i="36"/>
  <c r="B189" i="36"/>
  <c r="R227" i="36"/>
  <c r="B227" i="36"/>
  <c r="S386" i="36"/>
  <c r="R118" i="36"/>
  <c r="B118" i="36"/>
  <c r="R219" i="36"/>
  <c r="B219" i="36"/>
  <c r="R92" i="36"/>
  <c r="B92" i="36"/>
  <c r="R162" i="36"/>
  <c r="B162" i="36"/>
  <c r="S162" i="36"/>
  <c r="R98" i="36"/>
  <c r="B98" i="36"/>
  <c r="R39" i="36"/>
  <c r="B39" i="36"/>
  <c r="R148" i="36"/>
  <c r="B148" i="36"/>
  <c r="R161" i="36"/>
  <c r="B161" i="36"/>
  <c r="R28" i="36"/>
  <c r="B28" i="36"/>
  <c r="S330" i="36"/>
  <c r="R523" i="36"/>
  <c r="B523" i="36"/>
  <c r="R87" i="36"/>
  <c r="B87" i="36"/>
  <c r="S287" i="36"/>
  <c r="R151" i="36"/>
  <c r="B151" i="36"/>
  <c r="S465" i="36"/>
  <c r="R253" i="36"/>
  <c r="B253" i="36"/>
  <c r="R62" i="36"/>
  <c r="B62" i="36"/>
  <c r="R3" i="36"/>
  <c r="B3" i="36"/>
  <c r="S3" i="36"/>
  <c r="R175" i="36"/>
  <c r="B175" i="36"/>
  <c r="R241" i="36"/>
  <c r="B241" i="36"/>
  <c r="R91" i="36"/>
  <c r="B91" i="36"/>
  <c r="R26" i="36"/>
  <c r="B26" i="36"/>
  <c r="R65" i="36"/>
  <c r="B65" i="36"/>
  <c r="R254" i="36"/>
  <c r="B254" i="36"/>
  <c r="B117" i="37"/>
  <c r="R41" i="36"/>
  <c r="B41" i="36"/>
  <c r="S41" i="36"/>
  <c r="S455" i="36"/>
  <c r="B82" i="37"/>
  <c r="B169" i="37"/>
  <c r="B142" i="37"/>
  <c r="B237" i="37"/>
  <c r="B70" i="37"/>
  <c r="B205" i="23"/>
  <c r="B174" i="37"/>
  <c r="B171" i="37"/>
  <c r="B66" i="37"/>
  <c r="B26" i="37"/>
  <c r="B236" i="37"/>
  <c r="T574" i="36"/>
  <c r="B244" i="37"/>
  <c r="B193" i="37"/>
  <c r="B81" i="37"/>
  <c r="B29" i="37"/>
  <c r="B92" i="37"/>
  <c r="B197" i="23"/>
  <c r="B128" i="37"/>
  <c r="B51" i="37"/>
  <c r="B152" i="37"/>
  <c r="B132" i="37"/>
  <c r="B24" i="37"/>
  <c r="B200" i="23"/>
  <c r="B249" i="37"/>
  <c r="B230" i="37"/>
  <c r="B219" i="37"/>
  <c r="B192" i="37"/>
  <c r="B256" i="37"/>
  <c r="B103" i="37"/>
  <c r="B27" i="37"/>
  <c r="B16" i="37"/>
  <c r="B178" i="37"/>
  <c r="B112" i="37"/>
  <c r="B254" i="37"/>
  <c r="B156" i="37"/>
  <c r="B146" i="37"/>
  <c r="B224" i="37"/>
  <c r="B17" i="37"/>
  <c r="B99" i="37"/>
  <c r="B31" i="37"/>
  <c r="B203" i="37"/>
  <c r="B221" i="37"/>
  <c r="B102" i="37"/>
  <c r="T304" i="36"/>
  <c r="B199" i="23"/>
  <c r="B73" i="37"/>
  <c r="B210" i="37"/>
  <c r="B75" i="37"/>
  <c r="B76" i="37"/>
  <c r="B119" i="37"/>
  <c r="B37" i="37"/>
  <c r="B205" i="37"/>
  <c r="B100" i="37"/>
  <c r="B15" i="37"/>
  <c r="B22" i="37"/>
  <c r="B232" i="37"/>
  <c r="B266" i="37"/>
  <c r="B235" i="37"/>
  <c r="B211" i="37"/>
  <c r="B150" i="37"/>
  <c r="B116" i="37"/>
  <c r="T371" i="36"/>
  <c r="B255" i="37"/>
  <c r="B252" i="37"/>
  <c r="B68" i="37"/>
  <c r="B211" i="23"/>
  <c r="B245" i="37"/>
  <c r="B44" i="37"/>
  <c r="B201" i="37"/>
  <c r="B251" i="37"/>
  <c r="B247" i="37"/>
  <c r="B52" i="37"/>
  <c r="B54" i="37"/>
  <c r="B187" i="37"/>
  <c r="B220" i="37"/>
  <c r="B208" i="37"/>
  <c r="B13" i="37"/>
  <c r="B200" i="37"/>
  <c r="B14" i="37"/>
  <c r="B241" i="37"/>
  <c r="B259" i="37"/>
  <c r="B57" i="37"/>
  <c r="B147" i="37"/>
  <c r="B95" i="37"/>
  <c r="B70" i="36"/>
  <c r="T70" i="36"/>
  <c r="B264" i="37"/>
  <c r="B45" i="37"/>
  <c r="B188" i="36"/>
  <c r="T188" i="36"/>
  <c r="B67" i="37"/>
  <c r="B242" i="37"/>
  <c r="B194" i="37"/>
  <c r="B204" i="23"/>
  <c r="B144" i="37"/>
  <c r="B122" i="37"/>
  <c r="B32" i="37"/>
  <c r="B110" i="37"/>
  <c r="B243" i="37"/>
  <c r="B172" i="37"/>
  <c r="B162" i="37"/>
  <c r="B204" i="37"/>
  <c r="B46" i="37"/>
  <c r="B238" i="37"/>
  <c r="B153" i="37"/>
  <c r="B209" i="23"/>
  <c r="B134" i="37"/>
  <c r="B35" i="37"/>
  <c r="B43" i="37"/>
  <c r="B129" i="37"/>
  <c r="B161" i="37"/>
  <c r="B240" i="37"/>
  <c r="B55" i="37"/>
  <c r="B80" i="37"/>
  <c r="B189" i="37"/>
  <c r="B61" i="37"/>
  <c r="B202" i="37"/>
  <c r="B20" i="38"/>
  <c r="B90" i="37"/>
  <c r="B23" i="37"/>
  <c r="B130" i="37"/>
  <c r="B145" i="37"/>
  <c r="B69" i="37"/>
  <c r="B210" i="23"/>
  <c r="B213" i="37"/>
  <c r="B12" i="37"/>
  <c r="B59" i="37"/>
  <c r="B202" i="23"/>
  <c r="B87" i="37"/>
  <c r="B83" i="37"/>
  <c r="B79" i="37"/>
  <c r="B109" i="37"/>
  <c r="B233" i="37"/>
  <c r="B195" i="23"/>
  <c r="B60" i="37"/>
  <c r="B163" i="37"/>
  <c r="B196" i="37"/>
  <c r="B33" i="37"/>
  <c r="B260" i="37"/>
  <c r="B177" i="37"/>
  <c r="B18" i="37"/>
  <c r="B262" i="37"/>
  <c r="B94" i="37"/>
  <c r="B127" i="37"/>
  <c r="B47" i="37"/>
  <c r="B97" i="37"/>
  <c r="B206" i="37"/>
  <c r="B141" i="37"/>
  <c r="B199" i="37"/>
  <c r="B222" i="37"/>
  <c r="B218" i="37"/>
  <c r="B104" i="37"/>
  <c r="B248" i="37"/>
  <c r="B105" i="37"/>
  <c r="B58" i="37"/>
  <c r="B21" i="37"/>
  <c r="B265" i="37"/>
  <c r="B184" i="37"/>
  <c r="B227" i="37"/>
  <c r="B253" i="37"/>
  <c r="B25" i="37"/>
  <c r="B34" i="37"/>
  <c r="B201" i="23"/>
  <c r="B77" i="37"/>
  <c r="B173" i="37"/>
  <c r="B101" i="37"/>
  <c r="B175" i="37"/>
  <c r="B20" i="37"/>
  <c r="B121" i="37"/>
  <c r="B198" i="23"/>
  <c r="B267" i="37"/>
  <c r="B225" i="37"/>
  <c r="B91" i="37"/>
  <c r="B207" i="23"/>
  <c r="B154" i="37"/>
  <c r="B107" i="37"/>
  <c r="B133" i="37"/>
  <c r="B208" i="23"/>
  <c r="B168" i="37"/>
  <c r="B186" i="37"/>
  <c r="B38" i="37"/>
  <c r="B138" i="37"/>
  <c r="B42" i="37"/>
  <c r="B19" i="37"/>
  <c r="B158" i="37"/>
  <c r="B39" i="37"/>
  <c r="B176" i="37"/>
  <c r="B223" i="37"/>
  <c r="B170" i="37"/>
  <c r="B181" i="37"/>
  <c r="B261" i="37"/>
  <c r="B198" i="37"/>
  <c r="B88" i="37"/>
  <c r="B125" i="37"/>
  <c r="B120" i="37"/>
  <c r="B226" i="37"/>
  <c r="B180" i="37"/>
  <c r="B166" i="37"/>
  <c r="B96" i="37"/>
  <c r="B115" i="37"/>
  <c r="T579" i="36"/>
  <c r="B167" i="37"/>
  <c r="B40" i="37"/>
  <c r="B250" i="37"/>
  <c r="B206" i="23"/>
  <c r="B123" i="37"/>
  <c r="B143" i="37"/>
  <c r="B164" i="37"/>
  <c r="B86" i="37"/>
  <c r="B209" i="37"/>
  <c r="B179" i="37"/>
  <c r="B139" i="37"/>
  <c r="B135" i="37"/>
  <c r="B159" i="37"/>
  <c r="B263" i="37"/>
  <c r="B27" i="36"/>
  <c r="T27" i="36"/>
  <c r="B64" i="37"/>
  <c r="B136" i="37"/>
  <c r="B217" i="37"/>
  <c r="B207" i="37"/>
  <c r="B113" i="37"/>
  <c r="B231" i="37"/>
  <c r="B118" i="37"/>
  <c r="B126" i="37"/>
  <c r="B149" i="37"/>
  <c r="B36" i="37"/>
  <c r="B84" i="37"/>
  <c r="B203" i="23"/>
  <c r="B212" i="37"/>
  <c r="B246" i="37"/>
  <c r="B257" i="37"/>
  <c r="B74" i="37"/>
  <c r="B41" i="37"/>
  <c r="T552" i="36"/>
  <c r="B63" i="37"/>
  <c r="B108" i="37"/>
  <c r="B85" i="37"/>
  <c r="B124" i="37"/>
  <c r="B71" i="37"/>
  <c r="B48" i="37"/>
  <c r="B137" i="37"/>
  <c r="B131" i="37"/>
  <c r="B56" i="37"/>
  <c r="B185" i="37"/>
  <c r="B195" i="37"/>
  <c r="B114" i="37"/>
  <c r="B188" i="37"/>
  <c r="B165" i="37"/>
  <c r="B89" i="37"/>
  <c r="B258" i="37"/>
  <c r="B30" i="37"/>
  <c r="B191" i="37"/>
  <c r="B197" i="37"/>
  <c r="B140" i="37"/>
  <c r="B65" i="37"/>
  <c r="B229" i="37"/>
  <c r="B157" i="37"/>
  <c r="B98" i="37"/>
  <c r="B148" i="37"/>
  <c r="B53" i="37"/>
  <c r="B228" i="37"/>
  <c r="B190" i="37"/>
  <c r="B228" i="36"/>
  <c r="T228" i="36"/>
  <c r="B28" i="37"/>
  <c r="B155" i="37"/>
  <c r="B106" i="37"/>
  <c r="B151" i="37"/>
  <c r="B196" i="23"/>
  <c r="B239" i="37"/>
  <c r="B62" i="37"/>
  <c r="T2" i="36"/>
  <c r="T470" i="36"/>
  <c r="B183" i="37"/>
  <c r="T536" i="36"/>
  <c r="S411" i="36"/>
  <c r="S93" i="36"/>
  <c r="S170" i="36"/>
  <c r="S194" i="36"/>
  <c r="S124" i="36"/>
  <c r="S102" i="36"/>
  <c r="S141" i="36"/>
  <c r="S303" i="36"/>
  <c r="S570" i="36"/>
  <c r="S449" i="36"/>
  <c r="S526" i="36"/>
  <c r="S443" i="36"/>
  <c r="S503" i="36"/>
  <c r="S193" i="36"/>
  <c r="S23" i="36"/>
  <c r="S410" i="36"/>
  <c r="S210" i="36"/>
  <c r="S557" i="36"/>
  <c r="S389" i="36"/>
  <c r="S444" i="36"/>
  <c r="S241" i="36"/>
  <c r="S68" i="36"/>
  <c r="S291" i="36"/>
  <c r="S567" i="36"/>
  <c r="S129" i="36"/>
  <c r="S57" i="36"/>
  <c r="S436" i="36"/>
  <c r="S337" i="36"/>
  <c r="S94" i="36"/>
  <c r="S83" i="36"/>
  <c r="S192" i="36"/>
  <c r="S402" i="36"/>
  <c r="S407" i="36"/>
  <c r="S279" i="36"/>
  <c r="S256" i="36"/>
  <c r="S36" i="36"/>
  <c r="S393" i="36"/>
  <c r="S396" i="36"/>
  <c r="S535" i="36"/>
  <c r="S401" i="36"/>
  <c r="S309" i="36"/>
  <c r="S494" i="36"/>
  <c r="S421" i="36"/>
  <c r="T342" i="36"/>
  <c r="S573" i="36"/>
  <c r="S419" i="36"/>
  <c r="S409" i="36"/>
  <c r="S302" i="36"/>
  <c r="S519" i="36"/>
  <c r="S456" i="36"/>
  <c r="S139" i="36"/>
  <c r="S208" i="36"/>
  <c r="S296" i="36"/>
  <c r="S280" i="36"/>
  <c r="S11" i="36"/>
  <c r="S19" i="36"/>
  <c r="S63" i="36"/>
  <c r="S89" i="36"/>
  <c r="S125" i="36"/>
  <c r="S511" i="36"/>
  <c r="S534" i="36"/>
  <c r="S209" i="36"/>
  <c r="S549" i="36"/>
  <c r="S267" i="36"/>
  <c r="S365" i="36"/>
  <c r="S346" i="36"/>
  <c r="S103" i="36"/>
  <c r="S315" i="36"/>
  <c r="S484" i="36"/>
  <c r="S115" i="36"/>
  <c r="S289" i="36"/>
  <c r="B114" i="23"/>
  <c r="B46" i="23"/>
  <c r="B35" i="23"/>
  <c r="B28" i="38"/>
  <c r="B62" i="23"/>
  <c r="B32" i="23"/>
  <c r="B27" i="38"/>
  <c r="B150" i="23"/>
  <c r="B42" i="38"/>
  <c r="B48" i="23"/>
  <c r="B175" i="23"/>
  <c r="B110" i="23"/>
  <c r="B78" i="38"/>
  <c r="B74" i="23"/>
  <c r="B81" i="38"/>
  <c r="B51" i="38"/>
  <c r="B55" i="38"/>
  <c r="B87" i="38"/>
  <c r="B188" i="23"/>
  <c r="B43" i="38"/>
  <c r="B170" i="23"/>
  <c r="B105" i="23"/>
  <c r="B29" i="38"/>
  <c r="B139" i="23"/>
  <c r="B187" i="23"/>
  <c r="B44" i="23"/>
  <c r="B57" i="38"/>
  <c r="B47" i="38"/>
  <c r="B161" i="23"/>
  <c r="B174" i="23"/>
  <c r="B111" i="23"/>
  <c r="B101" i="23"/>
  <c r="B77" i="23"/>
  <c r="B133" i="23"/>
  <c r="B11" i="37"/>
  <c r="B132" i="23"/>
  <c r="B64" i="23"/>
  <c r="B59" i="23"/>
  <c r="B46" i="38"/>
  <c r="B87" i="23"/>
  <c r="B66" i="23"/>
  <c r="B26" i="23"/>
  <c r="B113" i="38"/>
  <c r="B40" i="23"/>
  <c r="B141" i="23"/>
  <c r="B9" i="37"/>
  <c r="B129" i="23"/>
  <c r="B177" i="23"/>
  <c r="B8" i="37"/>
  <c r="B138" i="23"/>
  <c r="B182" i="23"/>
  <c r="B21" i="38"/>
  <c r="B85" i="23"/>
  <c r="B37" i="38"/>
  <c r="B73" i="38"/>
  <c r="B127" i="23"/>
  <c r="B40" i="38"/>
  <c r="B119" i="23"/>
  <c r="B154" i="23"/>
  <c r="B101" i="38"/>
  <c r="B69" i="38"/>
  <c r="B86" i="38"/>
  <c r="B23" i="38"/>
  <c r="B23" i="23"/>
  <c r="B58" i="23"/>
  <c r="B123" i="23"/>
  <c r="B115" i="38"/>
  <c r="B121" i="23"/>
  <c r="B82" i="38"/>
  <c r="B108" i="23"/>
  <c r="B110" i="38"/>
  <c r="B30" i="38"/>
  <c r="B35" i="38"/>
  <c r="B44" i="38"/>
  <c r="B27" i="23"/>
  <c r="B148" i="23"/>
  <c r="B14" i="38"/>
  <c r="B162" i="23"/>
  <c r="B184" i="23"/>
  <c r="B24" i="23"/>
  <c r="B65" i="23"/>
  <c r="B93" i="38"/>
  <c r="B158" i="23"/>
  <c r="B117" i="23"/>
  <c r="B79" i="23"/>
  <c r="B102" i="38"/>
  <c r="B38" i="23"/>
  <c r="B100" i="23"/>
  <c r="B70" i="38"/>
  <c r="B30" i="23"/>
  <c r="B190" i="23"/>
  <c r="B89" i="38"/>
  <c r="B51" i="23"/>
  <c r="B11" i="23"/>
  <c r="B165" i="23"/>
  <c r="B54" i="38"/>
  <c r="B42" i="23"/>
  <c r="B80" i="38"/>
  <c r="B103" i="38"/>
  <c r="B9" i="23"/>
  <c r="B171" i="23"/>
  <c r="B10" i="38"/>
  <c r="B32" i="38"/>
  <c r="B103" i="23"/>
  <c r="B70" i="23"/>
  <c r="B49" i="38"/>
  <c r="B145" i="23"/>
  <c r="B95" i="38"/>
  <c r="B71" i="38"/>
  <c r="B34" i="23"/>
  <c r="B22" i="23"/>
  <c r="B65" i="38"/>
  <c r="B99" i="23"/>
  <c r="B90" i="38"/>
  <c r="B28" i="23"/>
  <c r="B60" i="38"/>
  <c r="B26" i="38"/>
  <c r="B14" i="23"/>
  <c r="B78" i="23"/>
  <c r="B114" i="38"/>
  <c r="B15" i="38"/>
  <c r="B68" i="23"/>
  <c r="B135" i="23"/>
  <c r="B66" i="38"/>
  <c r="B89" i="23"/>
  <c r="B137" i="23"/>
  <c r="B36" i="23"/>
  <c r="B49" i="23"/>
  <c r="B41" i="38"/>
  <c r="B136" i="23"/>
  <c r="B72" i="38"/>
  <c r="B112" i="38"/>
  <c r="B91" i="23"/>
  <c r="B185" i="23"/>
  <c r="B73" i="23"/>
  <c r="B17" i="23"/>
  <c r="B50" i="23"/>
  <c r="B172" i="23"/>
  <c r="B142" i="23"/>
  <c r="B31" i="38"/>
  <c r="B111" i="38"/>
  <c r="B45" i="23"/>
  <c r="B179" i="23"/>
  <c r="B81" i="23"/>
  <c r="B77" i="38"/>
  <c r="B151" i="23"/>
  <c r="B16" i="23"/>
  <c r="B156" i="23"/>
  <c r="B96" i="23"/>
  <c r="B107" i="38"/>
  <c r="B22" i="38"/>
  <c r="B74" i="38"/>
  <c r="B163" i="23"/>
  <c r="B76" i="23"/>
  <c r="B102" i="23"/>
  <c r="B84" i="38"/>
  <c r="B106" i="38"/>
  <c r="B64" i="38"/>
  <c r="B109" i="38"/>
  <c r="B54" i="23"/>
  <c r="B134" i="23"/>
  <c r="B45" i="38"/>
  <c r="B13" i="23"/>
  <c r="B8" i="23"/>
  <c r="B10" i="23"/>
  <c r="B12" i="23"/>
  <c r="H8" i="23"/>
  <c r="B15" i="23"/>
  <c r="H15" i="23"/>
  <c r="B18" i="23"/>
  <c r="B19" i="23"/>
  <c r="B20" i="23"/>
  <c r="B21" i="23"/>
  <c r="H23" i="23"/>
  <c r="H24" i="23"/>
  <c r="B25" i="23"/>
  <c r="H25" i="23"/>
  <c r="H26" i="23"/>
  <c r="H27" i="23"/>
  <c r="H28" i="23"/>
  <c r="B29" i="23"/>
  <c r="H29" i="23"/>
  <c r="H30" i="23"/>
  <c r="B31" i="23"/>
  <c r="H31" i="23"/>
  <c r="H32" i="23"/>
  <c r="B33" i="23"/>
  <c r="H33" i="23"/>
  <c r="H34" i="23"/>
  <c r="H35" i="23"/>
  <c r="H36" i="23"/>
  <c r="B37" i="23"/>
  <c r="H37" i="23"/>
  <c r="H38" i="23"/>
  <c r="B39" i="23"/>
  <c r="H39" i="23"/>
  <c r="H40" i="23"/>
  <c r="B41" i="23"/>
  <c r="H41" i="23"/>
  <c r="H42" i="23"/>
  <c r="B43" i="23"/>
  <c r="H43" i="23"/>
  <c r="H44" i="23"/>
  <c r="H45" i="23"/>
  <c r="H46" i="23"/>
  <c r="B47" i="23"/>
  <c r="H47" i="23"/>
  <c r="H48" i="23"/>
  <c r="H49" i="23"/>
  <c r="H50" i="23"/>
  <c r="H51" i="23"/>
  <c r="B52" i="23"/>
  <c r="H52" i="23"/>
  <c r="B53" i="23"/>
  <c r="H53" i="23"/>
  <c r="H54" i="23"/>
  <c r="B55" i="23"/>
  <c r="H55" i="23"/>
  <c r="B56" i="23"/>
  <c r="H56" i="23"/>
  <c r="B57" i="23"/>
  <c r="H57" i="23"/>
  <c r="H58" i="23"/>
  <c r="H59" i="23"/>
  <c r="B60" i="23"/>
  <c r="H60" i="23"/>
  <c r="B61" i="23"/>
  <c r="H61" i="23"/>
  <c r="H62" i="23"/>
  <c r="B63" i="23"/>
  <c r="H63" i="23"/>
  <c r="H64" i="23"/>
  <c r="H65" i="23"/>
  <c r="H66" i="23"/>
  <c r="B67" i="23"/>
  <c r="H67" i="23"/>
  <c r="H68" i="23"/>
  <c r="B69" i="23"/>
  <c r="H69" i="23"/>
  <c r="H70" i="23"/>
  <c r="B71" i="23"/>
  <c r="H71" i="23"/>
  <c r="B72" i="23"/>
  <c r="H72" i="23"/>
  <c r="H73" i="23"/>
  <c r="H74" i="23"/>
  <c r="B75" i="23"/>
  <c r="H75" i="23"/>
  <c r="H76" i="23"/>
  <c r="H77" i="23"/>
  <c r="H78" i="23"/>
  <c r="H79" i="23"/>
  <c r="B80" i="23"/>
  <c r="H80" i="23"/>
  <c r="H81" i="23"/>
  <c r="B82" i="23"/>
  <c r="H82" i="23"/>
  <c r="B83" i="23"/>
  <c r="H83" i="23"/>
  <c r="B84" i="23"/>
  <c r="H84" i="23"/>
  <c r="H85" i="23"/>
  <c r="B86" i="23"/>
  <c r="H86" i="23"/>
  <c r="H87" i="23"/>
  <c r="B88" i="23"/>
  <c r="H88" i="23"/>
  <c r="H89" i="23"/>
  <c r="B90" i="23"/>
  <c r="H90" i="23"/>
  <c r="H91" i="23"/>
  <c r="B92" i="23"/>
  <c r="H92" i="23"/>
  <c r="B93" i="23"/>
  <c r="H93" i="23"/>
  <c r="B94" i="23"/>
  <c r="H94" i="23"/>
  <c r="B95" i="23"/>
  <c r="H95" i="23"/>
  <c r="H96" i="23"/>
  <c r="B97" i="23"/>
  <c r="H97" i="23"/>
  <c r="B98" i="23"/>
  <c r="H98" i="23"/>
  <c r="H99" i="23"/>
  <c r="H100" i="23"/>
  <c r="H101" i="23"/>
  <c r="H102" i="23"/>
  <c r="H103" i="23"/>
  <c r="B104" i="23"/>
  <c r="H104" i="23"/>
  <c r="H105" i="23"/>
  <c r="B106" i="23"/>
  <c r="H106" i="23"/>
  <c r="B107" i="23"/>
  <c r="H107" i="23"/>
  <c r="H108" i="23"/>
  <c r="B109" i="23"/>
  <c r="H109" i="23"/>
  <c r="H110" i="23"/>
  <c r="H111" i="23"/>
  <c r="B112" i="23"/>
  <c r="H112" i="23"/>
  <c r="B113" i="23"/>
  <c r="H113" i="23"/>
  <c r="H114" i="23"/>
  <c r="B115" i="23"/>
  <c r="H115" i="23"/>
  <c r="B116" i="23"/>
  <c r="H116" i="23"/>
  <c r="H117" i="23"/>
  <c r="B118" i="23"/>
  <c r="H118" i="23"/>
  <c r="H119" i="23"/>
  <c r="B120" i="23"/>
  <c r="H120" i="23"/>
  <c r="H121" i="23"/>
  <c r="B122" i="23"/>
  <c r="H122" i="23"/>
  <c r="H123" i="23"/>
  <c r="B124" i="23"/>
  <c r="H124" i="23"/>
  <c r="B125" i="23"/>
  <c r="H125" i="23"/>
  <c r="B126" i="23"/>
  <c r="H126" i="23"/>
  <c r="H127" i="23"/>
  <c r="B128" i="23"/>
  <c r="H128" i="23"/>
  <c r="H129" i="23"/>
  <c r="B130" i="23"/>
  <c r="H130" i="23"/>
  <c r="B131" i="23"/>
  <c r="H131" i="23"/>
  <c r="H132" i="23"/>
  <c r="H133" i="23"/>
  <c r="H134" i="23"/>
  <c r="H135" i="23"/>
  <c r="H136" i="23"/>
  <c r="H137" i="23"/>
  <c r="H138" i="23"/>
  <c r="H139" i="23"/>
  <c r="B140" i="23"/>
  <c r="H140" i="23"/>
  <c r="H141" i="23"/>
  <c r="H142" i="23"/>
  <c r="B143" i="23"/>
  <c r="H143" i="23"/>
  <c r="B144" i="23"/>
  <c r="H144" i="23"/>
  <c r="H145" i="23"/>
  <c r="B146" i="23"/>
  <c r="H146" i="23"/>
  <c r="B147" i="23"/>
  <c r="H147" i="23"/>
  <c r="H148" i="23"/>
  <c r="B149" i="23"/>
  <c r="H149" i="23"/>
  <c r="H150" i="23"/>
  <c r="H151" i="23"/>
  <c r="B152" i="23"/>
  <c r="H152" i="23"/>
  <c r="B153" i="23"/>
  <c r="H153" i="23"/>
  <c r="H154" i="23"/>
  <c r="B155" i="23"/>
  <c r="H155" i="23"/>
  <c r="H156" i="23"/>
  <c r="B157" i="23"/>
  <c r="H157" i="23"/>
  <c r="H158" i="23"/>
  <c r="B159" i="23"/>
  <c r="H159" i="23"/>
  <c r="B160" i="23"/>
  <c r="H160" i="23"/>
  <c r="H161" i="23"/>
  <c r="H162" i="23"/>
  <c r="H163" i="23"/>
  <c r="B164" i="23"/>
  <c r="H164" i="23"/>
  <c r="H165" i="23"/>
  <c r="B166" i="23"/>
  <c r="H166" i="23"/>
  <c r="B167" i="23"/>
  <c r="H167" i="23"/>
  <c r="B168" i="23"/>
  <c r="H168" i="23"/>
  <c r="B169" i="23"/>
  <c r="H169" i="23"/>
  <c r="H170" i="23"/>
  <c r="H171" i="23"/>
  <c r="H172" i="23"/>
  <c r="B173" i="23"/>
  <c r="H173" i="23"/>
  <c r="H174" i="23"/>
  <c r="H175" i="23"/>
  <c r="B176" i="23"/>
  <c r="H176" i="23"/>
  <c r="H177" i="23"/>
  <c r="B178" i="23"/>
  <c r="H178" i="23"/>
  <c r="H179" i="23"/>
  <c r="B180" i="23"/>
  <c r="H180" i="23"/>
  <c r="B181" i="23"/>
  <c r="H181" i="23"/>
  <c r="H182" i="23"/>
  <c r="B183" i="23"/>
  <c r="H183" i="23"/>
  <c r="H184" i="23"/>
  <c r="H185" i="23"/>
  <c r="B186" i="23"/>
  <c r="H186" i="23"/>
  <c r="H187" i="23"/>
  <c r="H188" i="23"/>
  <c r="B189" i="23"/>
  <c r="H189" i="23"/>
  <c r="H190" i="23"/>
  <c r="B191" i="23"/>
  <c r="H191" i="23"/>
  <c r="B192" i="23"/>
  <c r="H192" i="23"/>
  <c r="B193" i="23"/>
  <c r="H193" i="23"/>
  <c r="B194" i="23"/>
  <c r="H194" i="23"/>
  <c r="H195" i="23"/>
  <c r="H196" i="23"/>
  <c r="H197" i="23"/>
  <c r="H198" i="23"/>
  <c r="H199" i="23"/>
  <c r="H200" i="23"/>
  <c r="H201" i="23"/>
  <c r="H202" i="23"/>
  <c r="H203" i="23"/>
  <c r="H204" i="23"/>
  <c r="H205" i="23"/>
  <c r="H206" i="23"/>
  <c r="H207" i="23"/>
  <c r="H208" i="23"/>
  <c r="H209" i="23"/>
  <c r="H210" i="23"/>
  <c r="H211" i="23"/>
  <c r="B79" i="38"/>
  <c r="B91" i="38"/>
  <c r="B18" i="38"/>
  <c r="B52" i="38"/>
  <c r="B104" i="38"/>
  <c r="B17" i="38"/>
  <c r="B108" i="38"/>
  <c r="B63" i="38"/>
  <c r="B16" i="38"/>
  <c r="B85" i="38"/>
  <c r="B67" i="38"/>
  <c r="B92" i="38"/>
  <c r="B53" i="38"/>
  <c r="B48" i="38"/>
  <c r="B12" i="38"/>
  <c r="B8" i="38"/>
  <c r="B9" i="38"/>
  <c r="B11" i="38"/>
  <c r="B13" i="38"/>
  <c r="B19" i="38"/>
  <c r="H8" i="38"/>
  <c r="I8" i="38"/>
  <c r="I9" i="38"/>
  <c r="I10" i="38"/>
  <c r="I11" i="38"/>
  <c r="I12" i="38"/>
  <c r="I13" i="38"/>
  <c r="I14" i="38"/>
  <c r="I15" i="38"/>
  <c r="I16" i="38"/>
  <c r="I17" i="38"/>
  <c r="I18" i="38"/>
  <c r="I19" i="38"/>
  <c r="I20" i="38"/>
  <c r="I21" i="38"/>
  <c r="I22" i="38"/>
  <c r="I23" i="38"/>
  <c r="B24" i="38"/>
  <c r="I24" i="38"/>
  <c r="B25" i="38"/>
  <c r="I25" i="38"/>
  <c r="I26" i="38"/>
  <c r="I27" i="38"/>
  <c r="I28" i="38"/>
  <c r="I29" i="38"/>
  <c r="I30" i="38"/>
  <c r="I31" i="38"/>
  <c r="I32" i="38"/>
  <c r="B33" i="38"/>
  <c r="I33" i="38"/>
  <c r="B34" i="38"/>
  <c r="I34" i="38"/>
  <c r="I35" i="38"/>
  <c r="B36" i="38"/>
  <c r="I36" i="38"/>
  <c r="I37" i="38"/>
  <c r="B38" i="38"/>
  <c r="I38" i="38"/>
  <c r="B39" i="38"/>
  <c r="I39" i="38"/>
  <c r="I40" i="38"/>
  <c r="I41" i="38"/>
  <c r="I42" i="38"/>
  <c r="I43" i="38"/>
  <c r="I44" i="38"/>
  <c r="I45" i="38"/>
  <c r="I46" i="38"/>
  <c r="I47" i="38"/>
  <c r="I48" i="38"/>
  <c r="I49" i="38"/>
  <c r="B50" i="38"/>
  <c r="I50" i="38"/>
  <c r="B56" i="38"/>
  <c r="B58" i="38"/>
  <c r="B59" i="38"/>
  <c r="B61" i="38"/>
  <c r="B62" i="38"/>
  <c r="B68" i="38"/>
  <c r="B75" i="38"/>
  <c r="B76" i="38"/>
  <c r="B88" i="38"/>
  <c r="B94" i="38"/>
  <c r="B96" i="38"/>
  <c r="B97" i="38"/>
  <c r="B98" i="38"/>
  <c r="B99" i="38"/>
  <c r="B100" i="38"/>
  <c r="B116" i="38"/>
  <c r="B10" i="37"/>
  <c r="S215" i="36"/>
  <c r="S417" i="36"/>
  <c r="S181" i="36"/>
  <c r="S405" i="36"/>
  <c r="T4" i="36"/>
  <c r="T338" i="36"/>
  <c r="T377" i="36"/>
  <c r="T303" i="36"/>
  <c r="T162" i="36"/>
  <c r="S501" i="36"/>
  <c r="T37" i="36"/>
  <c r="T172" i="36"/>
  <c r="T191" i="36"/>
  <c r="T484" i="36"/>
  <c r="T413" i="36"/>
  <c r="T136" i="36"/>
  <c r="T11" i="36"/>
  <c r="T478" i="36"/>
  <c r="T101" i="36"/>
  <c r="T354" i="36"/>
  <c r="T19" i="36"/>
  <c r="T373" i="36"/>
  <c r="T29" i="36"/>
  <c r="T505" i="36"/>
  <c r="T167" i="36"/>
  <c r="T287" i="36"/>
  <c r="S39" i="36"/>
  <c r="S513" i="36"/>
  <c r="T329" i="36"/>
  <c r="T47" i="36"/>
  <c r="T402" i="36"/>
  <c r="T521" i="36"/>
  <c r="T529" i="36"/>
  <c r="T293" i="36"/>
  <c r="T461" i="36"/>
  <c r="T102" i="36"/>
  <c r="T182" i="36"/>
  <c r="T328" i="36"/>
  <c r="T434" i="36"/>
  <c r="T264" i="36"/>
  <c r="T570" i="36"/>
  <c r="T566" i="36"/>
  <c r="T525" i="36"/>
  <c r="T139" i="36"/>
  <c r="T465" i="36"/>
  <c r="T282" i="36"/>
  <c r="T341" i="36"/>
  <c r="T334" i="36"/>
  <c r="T311" i="36"/>
  <c r="S440" i="36"/>
  <c r="T159" i="36"/>
  <c r="T80" i="36"/>
  <c r="T447" i="36"/>
  <c r="T290" i="36"/>
  <c r="T298" i="36"/>
  <c r="T539" i="36"/>
  <c r="T271" i="36"/>
  <c r="T412" i="36"/>
  <c r="T549" i="36"/>
  <c r="T267" i="36"/>
  <c r="T284" i="36"/>
  <c r="T417" i="36"/>
  <c r="T296" i="36"/>
  <c r="S460" i="36"/>
  <c r="T488" i="36"/>
  <c r="T181" i="36"/>
  <c r="T405" i="36"/>
  <c r="T223" i="36"/>
  <c r="T437" i="36"/>
  <c r="T59" i="36"/>
  <c r="T215" i="36"/>
  <c r="T71" i="36"/>
  <c r="T408" i="36"/>
  <c r="T106" i="36"/>
  <c r="T258" i="36"/>
  <c r="T297" i="36"/>
  <c r="T427" i="36"/>
  <c r="T129" i="36"/>
  <c r="T34" i="36"/>
  <c r="S492" i="36"/>
  <c r="T41" i="36"/>
  <c r="T468" i="36"/>
  <c r="T247" i="36"/>
  <c r="T369" i="36"/>
  <c r="T314" i="36"/>
  <c r="T121" i="36"/>
  <c r="T438" i="36"/>
  <c r="T568" i="36"/>
  <c r="T305" i="36"/>
  <c r="T6" i="36"/>
  <c r="T261" i="36"/>
  <c r="T3" i="36"/>
  <c r="T326" i="36"/>
  <c r="T98" i="36"/>
  <c r="T226" i="36"/>
  <c r="T388" i="36"/>
  <c r="T170" i="36"/>
  <c r="T213" i="36"/>
  <c r="T446" i="36"/>
  <c r="T361" i="36"/>
  <c r="T280" i="36"/>
  <c r="T322" i="36"/>
  <c r="T66" i="36"/>
  <c r="T324" i="36"/>
  <c r="T86" i="36"/>
  <c r="T558" i="36"/>
  <c r="S414" i="36"/>
  <c r="T346" i="36"/>
  <c r="T135" i="36"/>
  <c r="T197" i="36"/>
  <c r="T555" i="36"/>
  <c r="T355" i="36"/>
  <c r="T257" i="36"/>
  <c r="T513" i="36"/>
  <c r="T302" i="36"/>
  <c r="T265" i="36"/>
  <c r="T10" i="36"/>
  <c r="T393" i="36"/>
  <c r="T160" i="36"/>
  <c r="T254" i="36"/>
  <c r="T117" i="36"/>
  <c r="T203" i="36"/>
  <c r="T533" i="36"/>
  <c r="T285" i="36"/>
  <c r="T454" i="36"/>
  <c r="T16" i="36"/>
  <c r="T575" i="36"/>
  <c r="T508" i="36"/>
  <c r="T435" i="36"/>
  <c r="T140" i="36"/>
  <c r="T428" i="36"/>
  <c r="T204" i="36"/>
  <c r="T23" i="36"/>
  <c r="T146" i="36"/>
  <c r="T535" i="36"/>
  <c r="S30" i="36"/>
  <c r="T382" i="36"/>
  <c r="T449" i="36"/>
  <c r="T523" i="36"/>
  <c r="T219" i="36"/>
  <c r="T564" i="36"/>
  <c r="T83" i="36"/>
  <c r="T315" i="36"/>
  <c r="T504" i="36"/>
  <c r="T452" i="36"/>
  <c r="T32" i="36"/>
  <c r="T500" i="36"/>
  <c r="T177" i="36"/>
  <c r="T242" i="36"/>
  <c r="T133" i="36"/>
  <c r="T502" i="36"/>
  <c r="T309" i="36"/>
  <c r="T494" i="36"/>
  <c r="T351" i="36"/>
  <c r="T268" i="36"/>
  <c r="T249" i="36"/>
  <c r="T38" i="36"/>
  <c r="T515" i="36"/>
  <c r="T526" i="36"/>
  <c r="T118" i="36"/>
  <c r="T561" i="36"/>
  <c r="T120" i="36"/>
  <c r="T312" i="36"/>
  <c r="S159" i="36"/>
  <c r="T306" i="36"/>
  <c r="T124" i="36"/>
  <c r="T150" i="36"/>
  <c r="T391" i="36"/>
  <c r="T97" i="36"/>
  <c r="T90" i="36"/>
  <c r="T431" i="36"/>
  <c r="T472" i="36"/>
  <c r="T195" i="36"/>
  <c r="T479" i="36"/>
  <c r="T230" i="36"/>
  <c r="T113" i="36"/>
  <c r="T419" i="36"/>
  <c r="T457" i="36"/>
  <c r="S361" i="36"/>
  <c r="T278" i="36"/>
  <c r="T131" i="36"/>
  <c r="T95" i="36"/>
  <c r="T476" i="36"/>
  <c r="T317" i="36"/>
  <c r="T33" i="36"/>
  <c r="T68" i="36"/>
  <c r="T239" i="36"/>
  <c r="T26" i="36"/>
  <c r="S152" i="36"/>
  <c r="T151" i="36"/>
  <c r="S190" i="36"/>
  <c r="T189" i="36"/>
  <c r="S201" i="36"/>
  <c r="T201" i="36"/>
  <c r="S56" i="36"/>
  <c r="T56" i="36"/>
  <c r="S483" i="36"/>
  <c r="T473" i="36"/>
  <c r="S229" i="36"/>
  <c r="T224" i="36"/>
  <c r="T439" i="36"/>
  <c r="S415" i="36"/>
  <c r="T410" i="36"/>
  <c r="S399" i="36"/>
  <c r="T399" i="36"/>
  <c r="S253" i="36"/>
  <c r="T252" i="36"/>
  <c r="S88" i="36"/>
  <c r="T57" i="36"/>
  <c r="S318" i="36"/>
  <c r="T318" i="36"/>
  <c r="S509" i="36"/>
  <c r="T509" i="36"/>
  <c r="S248" i="36"/>
  <c r="T243" i="36"/>
  <c r="S186" i="36"/>
  <c r="T186" i="36"/>
  <c r="S537" i="36"/>
  <c r="T537" i="36"/>
  <c r="S464" i="36"/>
  <c r="T464" i="36"/>
  <c r="T244" i="36"/>
  <c r="T541" i="36"/>
  <c r="S54" i="36"/>
  <c r="T54" i="36"/>
  <c r="T300" i="36"/>
  <c r="S429" i="36"/>
  <c r="T429" i="36"/>
  <c r="S216" i="36"/>
  <c r="T209" i="36"/>
  <c r="T108" i="36"/>
  <c r="S153" i="36"/>
  <c r="T153" i="36"/>
  <c r="S527" i="36"/>
  <c r="T527" i="36"/>
  <c r="S463" i="36"/>
  <c r="T443" i="36"/>
  <c r="S44" i="36"/>
  <c r="S259" i="36"/>
  <c r="T259" i="36"/>
  <c r="T76" i="36"/>
  <c r="S491" i="36"/>
  <c r="T491" i="36"/>
  <c r="S53" i="36"/>
  <c r="T53" i="36"/>
  <c r="T173" i="36"/>
  <c r="T92" i="36"/>
  <c r="T176" i="36"/>
  <c r="T103" i="36"/>
  <c r="S490" i="36"/>
  <c r="T490" i="36"/>
  <c r="T577" i="36"/>
  <c r="S164" i="36"/>
  <c r="T164" i="36"/>
  <c r="T61" i="36"/>
  <c r="S127" i="36"/>
  <c r="T127" i="36"/>
  <c r="T155" i="36"/>
  <c r="T253" i="36"/>
  <c r="S467" i="36"/>
  <c r="T467" i="36"/>
  <c r="S392" i="36"/>
  <c r="T392" i="36"/>
  <c r="S275" i="36"/>
  <c r="T248" i="36"/>
  <c r="T93" i="36"/>
  <c r="S46" i="36"/>
  <c r="T40" i="36"/>
  <c r="T82" i="36"/>
  <c r="T270" i="36"/>
  <c r="S408" i="36"/>
  <c r="T407" i="36"/>
  <c r="T301" i="36"/>
  <c r="S488" i="36"/>
  <c r="T487" i="36"/>
  <c r="S539" i="36"/>
  <c r="T538" i="36"/>
  <c r="T210" i="36"/>
  <c r="S548" i="36"/>
  <c r="T548" i="36"/>
  <c r="T569" i="36"/>
  <c r="S493" i="36"/>
  <c r="T485" i="36"/>
  <c r="S353" i="36"/>
  <c r="T352" i="36"/>
  <c r="S137" i="36"/>
  <c r="T389" i="36"/>
  <c r="S173" i="36"/>
  <c r="T169" i="36"/>
  <c r="S546" i="36"/>
  <c r="T546" i="36"/>
  <c r="T156" i="36"/>
  <c r="T327" i="36"/>
  <c r="S74" i="36"/>
  <c r="T74" i="36"/>
  <c r="T415" i="36"/>
  <c r="S323" i="36"/>
  <c r="T323" i="36"/>
  <c r="S97" i="36"/>
  <c r="T96" i="36"/>
  <c r="T30" i="36"/>
  <c r="T105" i="36"/>
  <c r="T503" i="36"/>
  <c r="S207" i="36"/>
  <c r="T207" i="36"/>
  <c r="T299" i="36"/>
  <c r="T403" i="36"/>
  <c r="S308" i="36"/>
  <c r="T308" i="36"/>
  <c r="S425" i="36"/>
  <c r="T425" i="36"/>
  <c r="S132" i="36"/>
  <c r="T128" i="36"/>
  <c r="T378" i="36"/>
  <c r="T426" i="36"/>
  <c r="T321" i="36"/>
  <c r="T335" i="36"/>
  <c r="T123" i="36"/>
  <c r="T283" i="36"/>
  <c r="T200" i="36"/>
  <c r="S266" i="36"/>
  <c r="T266" i="36"/>
  <c r="T130" i="36"/>
  <c r="T100" i="36"/>
  <c r="S343" i="36"/>
  <c r="T343" i="36"/>
  <c r="T262" i="36"/>
  <c r="T218" i="36"/>
  <c r="T15" i="36"/>
  <c r="S10" i="36"/>
  <c r="T9" i="36"/>
  <c r="T442" i="36"/>
  <c r="S475" i="36"/>
  <c r="T475" i="36"/>
  <c r="T370" i="36"/>
  <c r="T126" i="36"/>
  <c r="T497" i="36"/>
  <c r="T448" i="36"/>
  <c r="T152" i="36"/>
  <c r="S148" i="36"/>
  <c r="T148" i="36"/>
  <c r="S146" i="36"/>
  <c r="T143" i="36"/>
  <c r="T107" i="36"/>
  <c r="S572" i="36"/>
  <c r="T572" i="36"/>
  <c r="S555" i="36"/>
  <c r="T553" i="36"/>
  <c r="S540" i="36"/>
  <c r="T540" i="36"/>
  <c r="S14" i="36"/>
  <c r="T14" i="36"/>
  <c r="T339" i="36"/>
  <c r="S175" i="36"/>
  <c r="T175" i="36"/>
  <c r="S376" i="36"/>
  <c r="T376" i="36"/>
  <c r="S496" i="36"/>
  <c r="T496" i="36"/>
  <c r="S236" i="36"/>
  <c r="T236" i="36"/>
  <c r="S461" i="36"/>
  <c r="T460" i="36"/>
  <c r="T168" i="36"/>
  <c r="S362" i="36"/>
  <c r="T362" i="36"/>
  <c r="T530" i="36"/>
  <c r="S185" i="36"/>
  <c r="T171" i="36"/>
  <c r="S75" i="36"/>
  <c r="T75" i="36"/>
  <c r="S42" i="36"/>
  <c r="T42" i="36"/>
  <c r="S342" i="36"/>
  <c r="T340" i="36"/>
  <c r="S471" i="36"/>
  <c r="T471" i="36"/>
  <c r="S205" i="36"/>
  <c r="T198" i="36"/>
  <c r="S344" i="36"/>
  <c r="T344" i="36"/>
  <c r="T396" i="36"/>
  <c r="S13" i="36"/>
  <c r="T8" i="36"/>
  <c r="T272" i="36"/>
  <c r="S29" i="36"/>
  <c r="S489" i="36"/>
  <c r="T489" i="36"/>
  <c r="S366" i="36"/>
  <c r="T364" i="36"/>
  <c r="S516" i="36"/>
  <c r="T501" i="36"/>
  <c r="S197" i="36"/>
  <c r="T192" i="36"/>
  <c r="S387" i="36"/>
  <c r="T387" i="36"/>
  <c r="T114" i="36"/>
  <c r="S507" i="36"/>
  <c r="T507" i="36"/>
  <c r="T554" i="36"/>
  <c r="T196" i="36"/>
  <c r="T458" i="36"/>
  <c r="T385" i="36"/>
  <c r="S167" i="36"/>
  <c r="T165" i="36"/>
  <c r="S357" i="36"/>
  <c r="T357" i="36"/>
  <c r="T565" i="36"/>
  <c r="T562" i="36"/>
  <c r="T386" i="36"/>
  <c r="S59" i="36"/>
  <c r="T50" i="36"/>
  <c r="S293" i="36"/>
  <c r="T292" i="36"/>
  <c r="T372" i="36"/>
  <c r="T231" i="36"/>
  <c r="S121" i="36"/>
  <c r="S87" i="36"/>
  <c r="T87" i="36"/>
  <c r="S373" i="36"/>
  <c r="T365" i="36"/>
  <c r="S532" i="36"/>
  <c r="T532" i="36"/>
  <c r="T78" i="36"/>
  <c r="S522" i="36"/>
  <c r="T522" i="36"/>
  <c r="S391" i="36"/>
  <c r="T390" i="36"/>
  <c r="S518" i="36"/>
  <c r="T518" i="36"/>
  <c r="S480" i="36"/>
  <c r="T480" i="36"/>
  <c r="T48" i="36"/>
  <c r="T149" i="36"/>
  <c r="S277" i="36"/>
  <c r="T277" i="36"/>
  <c r="T125" i="36"/>
  <c r="S264" i="36"/>
  <c r="T263" i="36"/>
  <c r="T145" i="36"/>
  <c r="T557" i="36"/>
  <c r="S424" i="36"/>
  <c r="T424" i="36"/>
  <c r="S104" i="36"/>
  <c r="T104" i="36"/>
  <c r="S428" i="36"/>
  <c r="T423" i="36"/>
  <c r="T137" i="36"/>
  <c r="T212" i="36"/>
  <c r="T13" i="36"/>
  <c r="T358" i="36"/>
  <c r="T573" i="36"/>
  <c r="T325" i="36"/>
  <c r="T416" i="36"/>
  <c r="T222" i="36"/>
  <c r="T353" i="36"/>
  <c r="T158" i="36"/>
  <c r="T49" i="36"/>
  <c r="S195" i="36"/>
  <c r="T194" i="36"/>
  <c r="S499" i="36"/>
  <c r="T483" i="36"/>
  <c r="T517" i="36"/>
  <c r="T69" i="36"/>
  <c r="T31" i="36"/>
  <c r="T398" i="36"/>
  <c r="T444" i="36"/>
  <c r="T202" i="36"/>
  <c r="S568" i="36"/>
  <c r="T567" i="36"/>
  <c r="T79" i="36"/>
  <c r="S454" i="36"/>
  <c r="T453" i="36"/>
  <c r="S187" i="36"/>
  <c r="T179" i="36"/>
  <c r="T482" i="36"/>
  <c r="T345" i="36"/>
  <c r="T63" i="36"/>
  <c r="S406" i="36"/>
  <c r="T406" i="36"/>
  <c r="T381" i="36"/>
  <c r="T111" i="36"/>
  <c r="T499" i="36"/>
  <c r="T138" i="36"/>
  <c r="T237" i="36"/>
  <c r="T89" i="36"/>
  <c r="T232" i="36"/>
  <c r="T85" i="36"/>
  <c r="S240" i="36"/>
  <c r="T240" i="36"/>
  <c r="T178" i="36"/>
  <c r="S416" i="36"/>
  <c r="T414" i="36"/>
  <c r="T183" i="36"/>
  <c r="S531" i="36"/>
  <c r="T531" i="36"/>
  <c r="S521" i="36"/>
  <c r="T510" i="36"/>
  <c r="S360" i="36"/>
  <c r="T359" i="36"/>
  <c r="S45" i="36"/>
  <c r="T44" i="36"/>
  <c r="T205" i="36"/>
  <c r="S60" i="36"/>
  <c r="T60" i="36"/>
  <c r="T187" i="36"/>
  <c r="T269" i="36"/>
  <c r="S222" i="36"/>
  <c r="T221" i="36"/>
  <c r="S543" i="36"/>
  <c r="T543" i="36"/>
  <c r="S154" i="36"/>
  <c r="T141" i="36"/>
  <c r="S457" i="36"/>
  <c r="T456" i="36"/>
  <c r="S458" i="36"/>
  <c r="S400" i="36"/>
  <c r="T400" i="36"/>
  <c r="S91" i="36"/>
  <c r="T91" i="36"/>
  <c r="T39" i="36"/>
  <c r="T154" i="36"/>
  <c r="S468" i="36"/>
  <c r="T466" i="36"/>
  <c r="T511" i="36"/>
  <c r="S497" i="36"/>
  <c r="T492" i="36"/>
  <c r="T115" i="36"/>
  <c r="T134" i="36"/>
  <c r="T52" i="36"/>
  <c r="S297" i="36"/>
  <c r="T291" i="36"/>
  <c r="S28" i="36"/>
  <c r="T28" i="36"/>
  <c r="T35" i="36"/>
  <c r="S332" i="36"/>
  <c r="T331" i="36"/>
  <c r="S227" i="36"/>
  <c r="T227" i="36"/>
  <c r="S441" i="36"/>
  <c r="T440" i="36"/>
  <c r="S451" i="36"/>
  <c r="T450" i="36"/>
  <c r="S512" i="36"/>
  <c r="T514" i="36"/>
  <c r="T94" i="36"/>
  <c r="T119" i="36"/>
  <c r="T524" i="36"/>
  <c r="S422" i="36"/>
  <c r="T420" i="36"/>
  <c r="T459" i="36"/>
  <c r="T534" i="36"/>
  <c r="S554" i="36"/>
  <c r="T550" i="36"/>
  <c r="S22" i="36"/>
  <c r="T21" i="36"/>
  <c r="T366" i="36"/>
  <c r="S351" i="36"/>
  <c r="T350" i="36"/>
  <c r="S502" i="36"/>
  <c r="T493" i="36"/>
  <c r="T279" i="36"/>
  <c r="S43" i="36"/>
  <c r="T43" i="36"/>
  <c r="S114" i="36"/>
  <c r="T110" i="36"/>
  <c r="T418" i="36"/>
  <c r="T256" i="36"/>
  <c r="T36" i="36"/>
  <c r="S158" i="36"/>
  <c r="T157" i="36"/>
  <c r="S398" i="36"/>
  <c r="T397" i="36"/>
  <c r="T211" i="36"/>
  <c r="T142" i="36"/>
  <c r="T185" i="36"/>
  <c r="S295" i="36"/>
  <c r="T274" i="36"/>
  <c r="S288" i="36"/>
  <c r="T288" i="36"/>
  <c r="S84" i="36"/>
  <c r="S495" i="36"/>
  <c r="T495" i="36"/>
  <c r="T433" i="36"/>
  <c r="S298" i="36"/>
  <c r="T294" i="36"/>
  <c r="S273" i="36"/>
  <c r="T273" i="36"/>
  <c r="T411" i="36"/>
  <c r="T436" i="36"/>
  <c r="S314" i="36"/>
  <c r="T313" i="36"/>
  <c r="S276" i="36"/>
  <c r="T276" i="36"/>
  <c r="T462" i="36"/>
  <c r="S281" i="36"/>
  <c r="T281" i="36"/>
  <c r="T220" i="36"/>
  <c r="T214" i="36"/>
  <c r="T58" i="36"/>
  <c r="T46" i="36"/>
  <c r="T166" i="36"/>
  <c r="T193" i="36"/>
  <c r="T571" i="36"/>
  <c r="S307" i="36"/>
  <c r="T307" i="36"/>
  <c r="T380" i="36"/>
  <c r="T289" i="36"/>
  <c r="T251" i="36"/>
  <c r="T229" i="36"/>
  <c r="T563" i="36"/>
  <c r="T333" i="36"/>
  <c r="T463" i="36"/>
  <c r="S73" i="36"/>
  <c r="T73" i="36"/>
  <c r="T578" i="36"/>
  <c r="T422" i="36"/>
  <c r="S356" i="36"/>
  <c r="T356" i="36"/>
  <c r="T430" i="36"/>
  <c r="T455" i="36"/>
  <c r="S51" i="36"/>
  <c r="T51" i="36"/>
  <c r="S163" i="36"/>
  <c r="T163" i="36"/>
  <c r="S17" i="36"/>
  <c r="T17" i="36"/>
  <c r="S486" i="36"/>
  <c r="T486" i="36"/>
  <c r="S559" i="36"/>
  <c r="T559" i="36"/>
  <c r="S235" i="36"/>
  <c r="T235" i="36"/>
  <c r="S577" i="36"/>
  <c r="T576" i="36"/>
  <c r="S242" i="36"/>
  <c r="T208" i="36"/>
  <c r="S395" i="36"/>
  <c r="T395" i="36"/>
  <c r="T24" i="36"/>
  <c r="S257" i="36"/>
  <c r="T255" i="36"/>
  <c r="S64" i="36"/>
  <c r="T64" i="36"/>
  <c r="T72" i="36"/>
  <c r="T556" i="36"/>
  <c r="S224" i="36"/>
  <c r="T217" i="36"/>
  <c r="S427" i="36"/>
  <c r="T421" i="36"/>
  <c r="S233" i="36"/>
  <c r="T233" i="36"/>
  <c r="S341" i="36"/>
  <c r="T336" i="36"/>
  <c r="T144" i="36"/>
  <c r="S250" i="36"/>
  <c r="T250" i="36"/>
  <c r="S200" i="36"/>
  <c r="T199" i="36"/>
  <c r="S433" i="36"/>
  <c r="T432" i="36"/>
  <c r="S544" i="36"/>
  <c r="T544" i="36"/>
  <c r="T506" i="36"/>
  <c r="S184" i="36"/>
  <c r="T184" i="36"/>
  <c r="T77" i="36"/>
  <c r="S336" i="36"/>
  <c r="T330" i="36"/>
  <c r="S394" i="36"/>
  <c r="T394" i="36"/>
  <c r="S81" i="36"/>
  <c r="T81" i="36"/>
  <c r="S352" i="36"/>
  <c r="S385" i="36"/>
  <c r="T384" i="36"/>
  <c r="T7" i="36"/>
  <c r="T206" i="36"/>
  <c r="T174" i="36"/>
  <c r="S469" i="36"/>
  <c r="T469" i="36"/>
  <c r="S67" i="36"/>
  <c r="T67" i="36"/>
  <c r="S472" i="36"/>
  <c r="T241" i="36"/>
  <c r="T337" i="36"/>
  <c r="S66" i="36"/>
  <c r="T65" i="36"/>
  <c r="T62" i="36"/>
  <c r="S388" i="36"/>
  <c r="T379" i="36"/>
  <c r="T161" i="36"/>
  <c r="S98" i="36"/>
  <c r="S560" i="36"/>
  <c r="T560" i="36"/>
  <c r="S498" i="36"/>
  <c r="T498" i="36"/>
  <c r="S375" i="36"/>
  <c r="T374" i="36"/>
  <c r="S347" i="36"/>
  <c r="T347" i="36"/>
  <c r="T45" i="36"/>
  <c r="T512" i="36"/>
  <c r="S24" i="36"/>
  <c r="T12" i="36"/>
  <c r="S226" i="36"/>
  <c r="T225" i="36"/>
  <c r="T383" i="36"/>
  <c r="T55" i="36"/>
  <c r="S245" i="36"/>
  <c r="T238" i="36"/>
  <c r="T25" i="36"/>
  <c r="S116" i="36"/>
  <c r="T116" i="36"/>
  <c r="T99" i="36"/>
  <c r="S426" i="36"/>
  <c r="T409" i="36"/>
  <c r="T245" i="36"/>
  <c r="S180" i="36"/>
  <c r="T180" i="36"/>
  <c r="S363" i="36"/>
  <c r="T363" i="36"/>
  <c r="T22" i="36"/>
  <c r="T319" i="36"/>
  <c r="S112" i="36"/>
  <c r="T112" i="36"/>
  <c r="S107" i="36"/>
  <c r="T474" i="36"/>
  <c r="T441" i="36"/>
  <c r="S191" i="36"/>
  <c r="T190" i="36"/>
  <c r="T451" i="36"/>
  <c r="T348" i="36"/>
  <c r="S320" i="36"/>
  <c r="T320" i="36"/>
  <c r="T477" i="36"/>
  <c r="S85" i="36"/>
  <c r="T84" i="36"/>
  <c r="T519" i="36"/>
  <c r="T147" i="36"/>
  <c r="T367" i="36"/>
  <c r="T88" i="36"/>
  <c r="T360" i="36"/>
  <c r="T310" i="36"/>
  <c r="T542" i="36"/>
  <c r="T401" i="36"/>
  <c r="S445" i="36"/>
  <c r="T445" i="36"/>
  <c r="T122" i="36"/>
  <c r="S545" i="36"/>
  <c r="T545" i="36"/>
  <c r="T516" i="36"/>
  <c r="S520" i="36"/>
  <c r="T520" i="36"/>
  <c r="T349" i="36"/>
  <c r="T368" i="36"/>
  <c r="T551" i="36"/>
  <c r="T316" i="36"/>
  <c r="S286" i="36"/>
  <c r="T286" i="36"/>
  <c r="S234" i="36"/>
  <c r="T234" i="36"/>
  <c r="S260" i="36"/>
  <c r="T260" i="36"/>
  <c r="T547" i="36"/>
  <c r="S529" i="36"/>
  <c r="T528" i="36"/>
  <c r="S246" i="36"/>
  <c r="T246" i="36"/>
  <c r="T375" i="36"/>
  <c r="T481" i="36"/>
  <c r="T332" i="36"/>
  <c r="S8" i="36"/>
  <c r="T5" i="36"/>
  <c r="T132" i="36"/>
  <c r="T404" i="36"/>
  <c r="T109" i="36"/>
  <c r="S223" i="36"/>
  <c r="T216" i="36"/>
  <c r="T20" i="36"/>
  <c r="T295" i="36"/>
  <c r="S18" i="36"/>
  <c r="T18" i="36"/>
  <c r="T275" i="36"/>
  <c r="S182" i="36"/>
  <c r="S413" i="36"/>
  <c r="S350" i="36"/>
  <c r="S290" i="36"/>
  <c r="S99" i="36"/>
  <c r="S265" i="36"/>
  <c r="S203" i="36"/>
  <c r="S80" i="36"/>
  <c r="S479" i="36"/>
  <c r="S505" i="36"/>
  <c r="S434" i="36"/>
  <c r="S176" i="36"/>
  <c r="S571" i="36"/>
  <c r="S533" i="36"/>
  <c r="S183" i="36"/>
  <c r="S299" i="36"/>
  <c r="S272" i="36"/>
  <c r="S113" i="36"/>
  <c r="S108" i="36"/>
  <c r="S423" i="36"/>
  <c r="S117" i="36"/>
  <c r="S12" i="36"/>
  <c r="S149" i="36"/>
  <c r="S438" i="36"/>
  <c r="S517" i="36"/>
  <c r="S20" i="36"/>
  <c r="S322" i="36"/>
  <c r="S476" i="36"/>
  <c r="S305" i="36"/>
  <c r="S270" i="36"/>
  <c r="S271" i="36"/>
  <c r="S285" i="36"/>
  <c r="S126" i="36"/>
  <c r="S263" i="36"/>
  <c r="S447" i="36"/>
  <c r="S530" i="36"/>
  <c r="S553" i="36"/>
  <c r="S412" i="36"/>
  <c r="S283" i="36"/>
  <c r="S130" i="36"/>
  <c r="S100" i="36"/>
  <c r="S312" i="36"/>
  <c r="S313" i="36"/>
  <c r="S155" i="36"/>
  <c r="S171" i="36"/>
  <c r="S237" i="36"/>
  <c r="S238" i="36"/>
  <c r="S105" i="36"/>
  <c r="S110" i="36"/>
  <c r="S109" i="36"/>
  <c r="S111" i="36"/>
  <c r="S384" i="36"/>
  <c r="S383" i="36"/>
  <c r="S55" i="36"/>
  <c r="S58" i="36"/>
  <c r="S212" i="36"/>
  <c r="S211" i="36"/>
  <c r="S76" i="36"/>
  <c r="S77" i="36"/>
  <c r="S556" i="36"/>
  <c r="S562" i="36"/>
  <c r="S448" i="36"/>
  <c r="S450" i="36"/>
  <c r="S26" i="36"/>
  <c r="S79" i="36"/>
  <c r="S78" i="36"/>
  <c r="S311" i="36"/>
  <c r="S317" i="36"/>
  <c r="S244" i="36"/>
  <c r="S249" i="36"/>
  <c r="S214" i="36"/>
  <c r="S213" i="36"/>
  <c r="S575" i="36"/>
  <c r="S251" i="36"/>
  <c r="S252" i="36"/>
  <c r="S35" i="36"/>
  <c r="S40" i="36"/>
  <c r="S329" i="36"/>
  <c r="S331" i="36"/>
  <c r="S262" i="36"/>
  <c r="S261" i="36"/>
  <c r="S500" i="36"/>
  <c r="S33" i="36"/>
  <c r="S34" i="36"/>
  <c r="S334" i="36"/>
  <c r="S138" i="36"/>
  <c r="S144" i="36"/>
  <c r="S118" i="36"/>
  <c r="S120" i="36"/>
  <c r="S47" i="36"/>
  <c r="S48" i="36"/>
  <c r="S62" i="36"/>
  <c r="S65" i="36"/>
  <c r="S541" i="36"/>
  <c r="S558" i="36"/>
  <c r="S150" i="36"/>
  <c r="S325" i="36"/>
  <c r="S310" i="36"/>
  <c r="S316" i="36"/>
  <c r="S166" i="36"/>
  <c r="S172" i="36"/>
  <c r="S515" i="36"/>
  <c r="S514" i="36"/>
  <c r="S319" i="36"/>
  <c r="S156" i="36"/>
  <c r="S161" i="36"/>
  <c r="S324" i="36"/>
  <c r="S326" i="36"/>
  <c r="S561" i="36"/>
  <c r="S566" i="36"/>
  <c r="S377" i="36"/>
  <c r="S564" i="36"/>
  <c r="S565" i="36"/>
  <c r="S485" i="36"/>
  <c r="S135" i="36"/>
  <c r="S143" i="36"/>
  <c r="S431" i="36"/>
  <c r="S432" i="36"/>
  <c r="S542" i="36"/>
  <c r="S122" i="36"/>
  <c r="S123" i="36"/>
  <c r="S15" i="36"/>
  <c r="S16" i="36"/>
  <c r="S49" i="36"/>
  <c r="S372" i="36"/>
  <c r="S7" i="36"/>
  <c r="S378" i="36"/>
  <c r="S551" i="36"/>
  <c r="S9" i="36"/>
  <c r="S430" i="36"/>
  <c r="S563" i="36"/>
  <c r="S327" i="36"/>
  <c r="S379" i="36"/>
  <c r="S219" i="36"/>
  <c r="S439" i="36"/>
  <c r="S225" i="36"/>
  <c r="S538" i="36"/>
  <c r="S199" i="36"/>
  <c r="S157" i="36"/>
  <c r="S473" i="36"/>
  <c r="S504" i="36"/>
  <c r="S525" i="36"/>
  <c r="S278" i="36"/>
  <c r="S95" i="36"/>
  <c r="S140" i="36"/>
  <c r="S578" i="36"/>
  <c r="S69" i="36"/>
  <c r="S268" i="36"/>
  <c r="S134" i="36"/>
  <c r="S523" i="36"/>
  <c r="S145" i="36"/>
  <c r="S282" i="36"/>
  <c r="S528" i="36"/>
  <c r="S269" i="36"/>
  <c r="S92" i="36"/>
  <c r="S459" i="36"/>
  <c r="S258" i="36"/>
  <c r="S147" i="36"/>
  <c r="S136" i="36"/>
  <c r="S300" i="36"/>
  <c r="S174" i="36"/>
  <c r="S196" i="36"/>
  <c r="S52" i="36"/>
  <c r="S453" i="36"/>
  <c r="S61" i="36"/>
  <c r="S204" i="36"/>
  <c r="S466" i="36"/>
  <c r="S368" i="36"/>
  <c r="S328" i="36"/>
  <c r="S569" i="36"/>
  <c r="S294" i="36"/>
  <c r="S31" i="36"/>
  <c r="S339" i="36"/>
  <c r="S37" i="36"/>
  <c r="S369" i="36"/>
  <c r="S524" i="36"/>
  <c r="S452" i="36"/>
  <c r="S25" i="36"/>
  <c r="S90" i="36"/>
  <c r="S478" i="36"/>
  <c r="S177" i="36"/>
  <c r="S462" i="36"/>
  <c r="S38" i="36"/>
  <c r="S487" i="36"/>
  <c r="S482" i="36"/>
  <c r="S381" i="36"/>
  <c r="S442" i="36"/>
  <c r="S370" i="36"/>
  <c r="S21" i="36"/>
  <c r="S239" i="36"/>
  <c r="S86" i="36"/>
  <c r="S169" i="36"/>
  <c r="S420" i="36"/>
  <c r="S165" i="36"/>
  <c r="S101" i="36"/>
  <c r="S345" i="36"/>
  <c r="S255" i="36"/>
  <c r="S364" i="36"/>
  <c r="S231" i="36"/>
  <c r="S367" i="36"/>
  <c r="S160" i="36"/>
  <c r="S403" i="36"/>
  <c r="S354" i="36"/>
  <c r="S508" i="36"/>
  <c r="S547" i="36"/>
  <c r="S131" i="36"/>
  <c r="S232" i="36"/>
  <c r="S382" i="36"/>
  <c r="S506" i="36"/>
  <c r="S202" i="36"/>
  <c r="S220" i="36"/>
  <c r="S481" i="36"/>
  <c r="S435" i="36"/>
  <c r="S404" i="36"/>
  <c r="S338" i="36"/>
  <c r="S254" i="36"/>
  <c r="S189" i="36"/>
  <c r="S390" i="36"/>
  <c r="S221" i="36"/>
  <c r="S168" i="36"/>
  <c r="S32" i="36"/>
  <c r="S284" i="36"/>
  <c r="S477" i="36"/>
  <c r="S151" i="36"/>
  <c r="S178" i="36"/>
  <c r="S355" i="36"/>
  <c r="S96" i="36"/>
  <c r="S247" i="36"/>
  <c r="S340" i="36"/>
  <c r="U3" i="20"/>
  <c r="U2" i="20"/>
  <c r="U1" i="20"/>
  <c r="N18" i="20"/>
  <c r="Z9" i="23"/>
  <c r="AB103" i="38"/>
  <c r="AB93" i="38"/>
  <c r="AB80" i="38"/>
  <c r="AB67" i="38"/>
  <c r="AB52" i="38"/>
  <c r="AB43" i="38"/>
  <c r="AB26" i="38"/>
  <c r="AB91" i="38"/>
  <c r="AB37" i="38"/>
  <c r="AB17" i="38"/>
  <c r="AB77" i="38"/>
  <c r="AB128" i="38"/>
  <c r="AB124" i="38"/>
  <c r="AB120" i="38"/>
  <c r="AB116" i="38"/>
  <c r="AB102" i="38"/>
  <c r="AB90" i="38"/>
  <c r="AB79" i="38"/>
  <c r="AB66" i="38"/>
  <c r="AB51" i="38"/>
  <c r="AB42" i="38"/>
  <c r="AB25" i="38"/>
  <c r="AB84" i="38"/>
  <c r="AB35" i="38"/>
  <c r="AB16" i="38"/>
  <c r="AB264" i="37"/>
  <c r="AB257" i="37"/>
  <c r="AB252" i="37"/>
  <c r="AB248" i="37"/>
  <c r="AB243" i="37"/>
  <c r="AB238" i="37"/>
  <c r="AB231" i="37"/>
  <c r="AB226" i="37"/>
  <c r="AB222" i="37"/>
  <c r="AB214" i="37"/>
  <c r="AB208" i="37"/>
  <c r="AB203" i="37"/>
  <c r="AB197" i="37"/>
  <c r="AB192" i="37"/>
  <c r="AB187" i="37"/>
  <c r="AB179" i="37"/>
  <c r="AB172" i="37"/>
  <c r="AB167" i="37"/>
  <c r="AB163" i="37"/>
  <c r="AB155" i="37"/>
  <c r="AB151" i="37"/>
  <c r="AB146" i="37"/>
  <c r="AB140" i="37"/>
  <c r="AB135" i="37"/>
  <c r="AB128" i="37"/>
  <c r="AB123" i="37"/>
  <c r="AB115" i="37"/>
  <c r="AB107" i="37"/>
  <c r="AB102" i="37"/>
  <c r="AB97" i="37"/>
  <c r="AB90" i="37"/>
  <c r="AB82" i="37"/>
  <c r="AB75" i="37"/>
  <c r="AB65" i="37"/>
  <c r="AB60" i="37"/>
  <c r="AB55" i="37"/>
  <c r="AB47" i="37"/>
  <c r="AB41" i="37"/>
  <c r="AB36" i="37"/>
  <c r="AB32" i="37"/>
  <c r="AB27" i="37"/>
  <c r="AB22" i="37"/>
  <c r="AB17" i="37"/>
  <c r="AB235" i="37"/>
  <c r="AB183" i="37"/>
  <c r="AB142" i="37"/>
  <c r="AB112" i="37"/>
  <c r="AB79" i="37"/>
  <c r="AB51" i="37"/>
  <c r="AB115" i="38"/>
  <c r="AB64" i="38"/>
  <c r="AB15" i="38"/>
  <c r="AB127" i="38"/>
  <c r="AB123" i="38"/>
  <c r="AB119" i="38"/>
  <c r="AB113" i="38"/>
  <c r="AB99" i="38"/>
  <c r="AB88" i="38"/>
  <c r="AB76" i="38"/>
  <c r="AB63" i="38"/>
  <c r="AB48" i="38"/>
  <c r="AB40" i="38"/>
  <c r="AB23" i="38"/>
  <c r="AB59" i="38"/>
  <c r="AB29" i="38"/>
  <c r="AB14" i="38"/>
  <c r="AB263" i="37"/>
  <c r="AB256" i="37"/>
  <c r="AB251" i="37"/>
  <c r="AB247" i="37"/>
  <c r="AB242" i="37"/>
  <c r="AB237" i="37"/>
  <c r="AB230" i="37"/>
  <c r="AB225" i="37"/>
  <c r="AB221" i="37"/>
  <c r="AB213" i="37"/>
  <c r="AB207" i="37"/>
  <c r="AB202" i="37"/>
  <c r="AB196" i="37"/>
  <c r="AB191" i="37"/>
  <c r="AB186" i="37"/>
  <c r="AB178" i="37"/>
  <c r="AB171" i="37"/>
  <c r="AB166" i="37"/>
  <c r="AB159" i="37"/>
  <c r="AB154" i="37"/>
  <c r="AB149" i="37"/>
  <c r="AB145" i="37"/>
  <c r="AB138" i="37"/>
  <c r="AB134" i="37"/>
  <c r="AB127" i="37"/>
  <c r="AB122" i="37"/>
  <c r="AB114" i="37"/>
  <c r="AB106" i="37"/>
  <c r="AB101" i="37"/>
  <c r="AB96" i="37"/>
  <c r="AB86" i="37"/>
  <c r="AB81" i="37"/>
  <c r="AB71" i="37"/>
  <c r="AB64" i="37"/>
  <c r="AB59" i="37"/>
  <c r="AB54" i="37"/>
  <c r="AB46" i="37"/>
  <c r="AB40" i="37"/>
  <c r="AB35" i="37"/>
  <c r="AB30" i="37"/>
  <c r="AB25" i="37"/>
  <c r="AB21" i="37"/>
  <c r="AB16" i="37"/>
  <c r="AB217" i="37"/>
  <c r="AB176" i="37"/>
  <c r="AB130" i="37"/>
  <c r="AB94" i="37"/>
  <c r="AB73" i="37"/>
  <c r="AB44" i="37"/>
  <c r="AB112" i="38"/>
  <c r="AB98" i="38"/>
  <c r="AB87" i="38"/>
  <c r="AB74" i="38"/>
  <c r="AB62" i="38"/>
  <c r="AB47" i="38"/>
  <c r="AB33" i="38"/>
  <c r="AB107" i="38"/>
  <c r="AB57" i="38"/>
  <c r="AB28" i="38"/>
  <c r="AB13" i="38"/>
  <c r="AB130" i="38"/>
  <c r="AB126" i="38"/>
  <c r="AB122" i="38"/>
  <c r="AB118" i="38"/>
  <c r="AB111" i="38"/>
  <c r="AB97" i="38"/>
  <c r="AB86" i="38"/>
  <c r="AB73" i="38"/>
  <c r="AB61" i="38"/>
  <c r="AB46" i="38"/>
  <c r="AB32" i="38"/>
  <c r="AB106" i="38"/>
  <c r="AB56" i="38"/>
  <c r="AB21" i="38"/>
  <c r="AB12" i="38"/>
  <c r="AB267" i="37"/>
  <c r="AB261" i="37"/>
  <c r="AB255" i="37"/>
  <c r="AB250" i="37"/>
  <c r="AB245" i="37"/>
  <c r="AB241" i="37"/>
  <c r="AB233" i="37"/>
  <c r="AB229" i="37"/>
  <c r="AB224" i="37"/>
  <c r="AB220" i="37"/>
  <c r="AB211" i="37"/>
  <c r="AB205" i="37"/>
  <c r="AB201" i="37"/>
  <c r="AB194" i="37"/>
  <c r="AB189" i="37"/>
  <c r="AB181" i="37"/>
  <c r="AB174" i="37"/>
  <c r="AB170" i="37"/>
  <c r="AB165" i="37"/>
  <c r="AB158" i="37"/>
  <c r="AB153" i="37"/>
  <c r="AB148" i="37"/>
  <c r="AB144" i="37"/>
  <c r="AB137" i="37"/>
  <c r="AB133" i="37"/>
  <c r="AB126" i="37"/>
  <c r="AB121" i="37"/>
  <c r="AB110" i="37"/>
  <c r="AB105" i="37"/>
  <c r="AB100" i="37"/>
  <c r="AB92" i="37"/>
  <c r="AB85" i="37"/>
  <c r="AB77" i="37"/>
  <c r="AB70" i="37"/>
  <c r="AB62" i="37"/>
  <c r="AB58" i="37"/>
  <c r="AB53" i="37"/>
  <c r="AB43" i="37"/>
  <c r="AB39" i="37"/>
  <c r="AB34" i="37"/>
  <c r="AB29" i="37"/>
  <c r="AB24" i="37"/>
  <c r="AB20" i="37"/>
  <c r="AB13" i="37"/>
  <c r="AB198" i="37"/>
  <c r="AB175" i="37"/>
  <c r="AB129" i="37"/>
  <c r="AB88" i="37"/>
  <c r="AB67" i="37"/>
  <c r="AB14" i="37"/>
  <c r="AB24" i="38"/>
  <c r="AB110" i="38"/>
  <c r="AB96" i="38"/>
  <c r="AB82" i="38"/>
  <c r="AB70" i="38"/>
  <c r="AB54" i="38"/>
  <c r="AB45" i="38"/>
  <c r="AB31" i="38"/>
  <c r="AB104" i="38"/>
  <c r="AB55" i="38"/>
  <c r="AB19" i="38"/>
  <c r="AB11" i="38"/>
  <c r="AB89" i="38"/>
  <c r="AB41" i="38"/>
  <c r="AB34" i="38"/>
  <c r="AB129" i="38"/>
  <c r="AB125" i="38"/>
  <c r="AB121" i="38"/>
  <c r="AB117" i="38"/>
  <c r="AB109" i="38"/>
  <c r="AB94" i="38"/>
  <c r="AB81" i="38"/>
  <c r="AB69" i="38"/>
  <c r="AB53" i="38"/>
  <c r="AB44" i="38"/>
  <c r="AB27" i="38"/>
  <c r="AB92" i="38"/>
  <c r="AB38" i="38"/>
  <c r="AB18" i="38"/>
  <c r="AB10" i="38"/>
  <c r="AB266" i="37"/>
  <c r="AB260" i="37"/>
  <c r="AB253" i="37"/>
  <c r="AB249" i="37"/>
  <c r="AB244" i="37"/>
  <c r="AB239" i="37"/>
  <c r="AB232" i="37"/>
  <c r="AB228" i="37"/>
  <c r="AB223" i="37"/>
  <c r="AB219" i="37"/>
  <c r="AB210" i="37"/>
  <c r="AB204" i="37"/>
  <c r="AB200" i="37"/>
  <c r="AB193" i="37"/>
  <c r="AB188" i="37"/>
  <c r="AB180" i="37"/>
  <c r="AB173" i="37"/>
  <c r="AB169" i="37"/>
  <c r="AB164" i="37"/>
  <c r="AB156" i="37"/>
  <c r="AB152" i="37"/>
  <c r="AB147" i="37"/>
  <c r="AB141" i="37"/>
  <c r="AB136" i="37"/>
  <c r="AB132" i="37"/>
  <c r="AB125" i="37"/>
  <c r="AB120" i="37"/>
  <c r="AB109" i="37"/>
  <c r="AB104" i="37"/>
  <c r="AB99" i="37"/>
  <c r="AB91" i="37"/>
  <c r="AB83" i="37"/>
  <c r="AB76" i="37"/>
  <c r="AB69" i="37"/>
  <c r="AB61" i="37"/>
  <c r="AB57" i="37"/>
  <c r="AB48" i="37"/>
  <c r="AB42" i="37"/>
  <c r="AB38" i="37"/>
  <c r="AB33" i="37"/>
  <c r="AB28" i="37"/>
  <c r="AB23" i="37"/>
  <c r="AB19" i="37"/>
  <c r="AB12" i="37"/>
  <c r="AB184" i="37"/>
  <c r="AB161" i="37"/>
  <c r="AB118" i="37"/>
  <c r="AB87" i="37"/>
  <c r="AB66" i="37"/>
  <c r="AB100" i="38"/>
  <c r="AB50" i="38"/>
  <c r="AB71" i="38"/>
  <c r="Z209" i="23"/>
  <c r="Z197" i="23"/>
  <c r="Z185" i="23"/>
  <c r="Z173" i="23"/>
  <c r="Z161" i="23"/>
  <c r="Z150" i="23"/>
  <c r="Z141" i="23"/>
  <c r="Z128" i="23"/>
  <c r="Z116" i="23"/>
  <c r="Z101" i="23"/>
  <c r="Z90" i="23"/>
  <c r="Z79" i="23"/>
  <c r="Z69" i="23"/>
  <c r="Z60" i="23"/>
  <c r="Z49" i="23"/>
  <c r="Z38" i="23"/>
  <c r="Z26" i="23"/>
  <c r="Z193" i="23"/>
  <c r="Z123" i="23"/>
  <c r="Z22" i="23"/>
  <c r="Z16" i="23"/>
  <c r="Z208" i="23"/>
  <c r="Z196" i="23"/>
  <c r="Z184" i="23"/>
  <c r="Z172" i="23"/>
  <c r="Z160" i="23"/>
  <c r="Z149" i="23"/>
  <c r="Z137" i="23"/>
  <c r="Z127" i="23"/>
  <c r="Z115" i="23"/>
  <c r="Z99" i="23"/>
  <c r="Z89" i="23"/>
  <c r="Z78" i="23"/>
  <c r="Z67" i="23"/>
  <c r="Z58" i="23"/>
  <c r="Z46" i="23"/>
  <c r="Z37" i="23"/>
  <c r="Z25" i="23"/>
  <c r="Z13" i="23"/>
  <c r="Z186" i="23"/>
  <c r="Z121" i="23"/>
  <c r="Z206" i="23"/>
  <c r="Z195" i="23"/>
  <c r="Z183" i="23"/>
  <c r="Z171" i="23"/>
  <c r="Z159" i="23"/>
  <c r="Z147" i="23"/>
  <c r="Z136" i="23"/>
  <c r="Z126" i="23"/>
  <c r="Z113" i="23"/>
  <c r="Z98" i="23"/>
  <c r="Z88" i="23"/>
  <c r="Z76" i="23"/>
  <c r="Z66" i="23"/>
  <c r="Z57" i="23"/>
  <c r="Z45" i="23"/>
  <c r="Z35" i="23"/>
  <c r="Z24" i="23"/>
  <c r="Z20" i="23"/>
  <c r="Z12" i="23"/>
  <c r="Z179" i="23"/>
  <c r="Z110" i="23"/>
  <c r="Z205" i="23"/>
  <c r="Z192" i="23"/>
  <c r="Z182" i="23"/>
  <c r="Z170" i="23"/>
  <c r="Z158" i="23"/>
  <c r="Z146" i="23"/>
  <c r="Z135" i="23"/>
  <c r="Z125" i="23"/>
  <c r="Z112" i="23"/>
  <c r="Z97" i="23"/>
  <c r="Z86" i="23"/>
  <c r="Z75" i="23"/>
  <c r="Z65" i="23"/>
  <c r="Z56" i="23"/>
  <c r="Z44" i="23"/>
  <c r="Z34" i="23"/>
  <c r="Z19" i="23"/>
  <c r="Z11" i="23"/>
  <c r="Z167" i="23"/>
  <c r="Z108" i="23"/>
  <c r="Z204" i="23"/>
  <c r="Z191" i="23"/>
  <c r="Z181" i="23"/>
  <c r="Z169" i="23"/>
  <c r="Z157" i="23"/>
  <c r="Z145" i="23"/>
  <c r="Z133" i="23"/>
  <c r="Z120" i="23"/>
  <c r="Z106" i="23"/>
  <c r="Z95" i="23"/>
  <c r="Z85" i="23"/>
  <c r="Z74" i="23"/>
  <c r="Z64" i="23"/>
  <c r="Z53" i="23"/>
  <c r="Z43" i="23"/>
  <c r="Z33" i="23"/>
  <c r="Z18" i="23"/>
  <c r="Z211" i="23"/>
  <c r="Z162" i="23"/>
  <c r="Z107" i="23"/>
  <c r="Z203" i="23"/>
  <c r="Z190" i="23"/>
  <c r="Z177" i="23"/>
  <c r="Z166" i="23"/>
  <c r="Z153" i="23"/>
  <c r="Z144" i="23"/>
  <c r="Z132" i="23"/>
  <c r="Z119" i="23"/>
  <c r="Z105" i="23"/>
  <c r="Z94" i="23"/>
  <c r="Z84" i="23"/>
  <c r="Z73" i="23"/>
  <c r="Z63" i="23"/>
  <c r="Z52" i="23"/>
  <c r="Z42" i="23"/>
  <c r="Z32" i="23"/>
  <c r="Z210" i="23"/>
  <c r="Z155" i="23"/>
  <c r="Z81" i="23"/>
  <c r="Z202" i="23"/>
  <c r="Z189" i="23"/>
  <c r="Z176" i="23"/>
  <c r="Z165" i="23"/>
  <c r="Z152" i="23"/>
  <c r="Z143" i="23"/>
  <c r="Z131" i="23"/>
  <c r="Z118" i="23"/>
  <c r="Z104" i="23"/>
  <c r="Z93" i="23"/>
  <c r="Z83" i="23"/>
  <c r="Z71" i="23"/>
  <c r="Z62" i="23"/>
  <c r="Z51" i="23"/>
  <c r="Z41" i="23"/>
  <c r="Z30" i="23"/>
  <c r="Z199" i="23"/>
  <c r="Z154" i="23"/>
  <c r="Z47" i="23"/>
  <c r="Z201" i="23"/>
  <c r="Z188" i="23"/>
  <c r="Z174" i="23"/>
  <c r="Z164" i="23"/>
  <c r="Z151" i="23"/>
  <c r="Z142" i="23"/>
  <c r="Z130" i="23"/>
  <c r="Z117" i="23"/>
  <c r="Z102" i="23"/>
  <c r="Z91" i="23"/>
  <c r="Z80" i="23"/>
  <c r="Z70" i="23"/>
  <c r="Z61" i="23"/>
  <c r="Z50" i="23"/>
  <c r="Z39" i="23"/>
  <c r="Z29" i="23"/>
  <c r="Z198" i="23"/>
  <c r="Z139" i="23"/>
  <c r="Z27" i="23"/>
  <c r="Z21" i="23"/>
  <c r="AB9" i="38"/>
  <c r="AB11" i="37"/>
  <c r="AB9" i="37"/>
  <c r="B49" i="37"/>
  <c r="B214" i="37"/>
  <c r="H132" i="37"/>
  <c r="I132" i="37"/>
  <c r="H244" i="37"/>
  <c r="I244" i="37"/>
  <c r="H183" i="37"/>
  <c r="I183" i="37"/>
  <c r="H63" i="37"/>
  <c r="I63" i="37"/>
  <c r="H62" i="37"/>
  <c r="I62" i="37"/>
  <c r="H200" i="37"/>
  <c r="I200" i="37"/>
  <c r="I20" i="37"/>
  <c r="H232" i="37"/>
  <c r="I232" i="37"/>
  <c r="H85" i="37"/>
  <c r="I85" i="37"/>
  <c r="H72" i="37"/>
  <c r="I72" i="37"/>
  <c r="H101" i="37"/>
  <c r="I101" i="37"/>
  <c r="H42" i="37"/>
  <c r="I42" i="37"/>
  <c r="H170" i="37"/>
  <c r="I170" i="37"/>
  <c r="H120" i="37"/>
  <c r="I120" i="37"/>
  <c r="I39" i="37"/>
  <c r="H167" i="37"/>
  <c r="I167" i="37"/>
  <c r="H119" i="37"/>
  <c r="I119" i="37"/>
  <c r="H118" i="37"/>
  <c r="I118" i="37"/>
  <c r="I26" i="37"/>
  <c r="H71" i="37"/>
  <c r="I71" i="37"/>
  <c r="H45" i="37"/>
  <c r="I45" i="37"/>
  <c r="H192" i="37"/>
  <c r="I192" i="37"/>
  <c r="H191" i="37"/>
  <c r="I191" i="37"/>
  <c r="H160" i="37"/>
  <c r="I160" i="37"/>
  <c r="H159" i="37"/>
  <c r="I159" i="37"/>
  <c r="I10" i="37"/>
  <c r="H140" i="37"/>
  <c r="I140" i="37"/>
  <c r="H139" i="37"/>
  <c r="I139" i="37"/>
  <c r="H125" i="37"/>
  <c r="I125" i="37"/>
  <c r="H190" i="37"/>
  <c r="I190" i="37"/>
  <c r="H92" i="37"/>
  <c r="I92" i="37"/>
  <c r="H265" i="37"/>
  <c r="I265" i="37"/>
  <c r="H247" i="37"/>
  <c r="I247" i="37"/>
  <c r="H75" i="37"/>
  <c r="I75" i="37"/>
  <c r="H74" i="37"/>
  <c r="I74" i="37"/>
  <c r="H197" i="37"/>
  <c r="I197" i="37"/>
  <c r="I19" i="37"/>
  <c r="I18" i="37"/>
  <c r="H208" i="37"/>
  <c r="I208" i="37"/>
  <c r="H258" i="37"/>
  <c r="I258" i="37"/>
  <c r="H195" i="37"/>
  <c r="I195" i="37"/>
  <c r="H142" i="37"/>
  <c r="I142" i="37"/>
  <c r="H150" i="37"/>
  <c r="I150" i="37"/>
  <c r="I32" i="37"/>
  <c r="I31" i="37"/>
  <c r="H218" i="37"/>
  <c r="I218" i="37"/>
  <c r="H175" i="37"/>
  <c r="I175" i="37"/>
  <c r="H73" i="37"/>
  <c r="I73" i="37"/>
  <c r="H55" i="37"/>
  <c r="I55" i="37"/>
  <c r="I24" i="37"/>
  <c r="H193" i="37"/>
  <c r="I193" i="37"/>
  <c r="H250" i="37"/>
  <c r="I250" i="37"/>
  <c r="H237" i="37"/>
  <c r="I237" i="37"/>
  <c r="H95" i="37"/>
  <c r="I95" i="37"/>
  <c r="H94" i="37"/>
  <c r="I94" i="37"/>
  <c r="H65" i="37"/>
  <c r="I65" i="37"/>
  <c r="H64" i="37"/>
  <c r="I64" i="37"/>
  <c r="H184" i="37"/>
  <c r="I184" i="37"/>
  <c r="H188" i="37"/>
  <c r="I188" i="37"/>
  <c r="H165" i="37"/>
  <c r="I165" i="37"/>
  <c r="H164" i="37"/>
  <c r="I164" i="37"/>
  <c r="H230" i="37"/>
  <c r="I230" i="37"/>
  <c r="H114" i="37"/>
  <c r="I114" i="37"/>
  <c r="H266" i="37"/>
  <c r="I266" i="37"/>
  <c r="H76" i="37"/>
  <c r="I76" i="37"/>
  <c r="H67" i="37"/>
  <c r="I67" i="37"/>
  <c r="H44" i="37"/>
  <c r="I44" i="37"/>
  <c r="H156" i="37"/>
  <c r="I156" i="37"/>
  <c r="H262" i="37"/>
  <c r="I262" i="37"/>
  <c r="H163" i="37"/>
  <c r="I163" i="37"/>
  <c r="H238" i="37"/>
  <c r="I238" i="37"/>
  <c r="H50" i="37"/>
  <c r="I50" i="37"/>
  <c r="H49" i="37"/>
  <c r="I49" i="37"/>
  <c r="H97" i="37"/>
  <c r="I97" i="37"/>
  <c r="H211" i="37"/>
  <c r="I211" i="37"/>
  <c r="I22" i="37"/>
  <c r="I21" i="37"/>
  <c r="H111" i="37"/>
  <c r="I111" i="37"/>
  <c r="H58" i="37"/>
  <c r="I58" i="37"/>
  <c r="H57" i="37"/>
  <c r="I57" i="37"/>
  <c r="H245" i="37"/>
  <c r="I245" i="37"/>
  <c r="H176" i="37"/>
  <c r="I176" i="37"/>
  <c r="H122" i="37"/>
  <c r="I122" i="37"/>
  <c r="H217" i="37"/>
  <c r="I217" i="37"/>
  <c r="I12" i="37"/>
  <c r="H77" i="37"/>
  <c r="I77" i="37"/>
  <c r="H216" i="37"/>
  <c r="I216" i="37"/>
  <c r="H162" i="37"/>
  <c r="I162" i="37"/>
  <c r="H161" i="37"/>
  <c r="I161" i="37"/>
  <c r="I28" i="37"/>
  <c r="H113" i="37"/>
  <c r="I113" i="37"/>
  <c r="H112" i="37"/>
  <c r="I112" i="37"/>
  <c r="H263" i="37"/>
  <c r="I263" i="37"/>
  <c r="H48" i="37"/>
  <c r="I48" i="37"/>
  <c r="H105" i="37"/>
  <c r="I105" i="37"/>
  <c r="H249" i="37"/>
  <c r="I249" i="37"/>
  <c r="H256" i="37"/>
  <c r="I256" i="37"/>
  <c r="H47" i="37"/>
  <c r="I47" i="37"/>
  <c r="H194" i="37"/>
  <c r="I194" i="37"/>
  <c r="H242" i="37"/>
  <c r="I242" i="37"/>
  <c r="H69" i="37"/>
  <c r="I69" i="37"/>
  <c r="H264" i="37"/>
  <c r="I264" i="37"/>
  <c r="H243" i="37"/>
  <c r="I243" i="37"/>
  <c r="H251" i="37"/>
  <c r="I251" i="37"/>
  <c r="H233" i="37"/>
  <c r="I233" i="37"/>
  <c r="I36" i="37"/>
  <c r="I35" i="37"/>
  <c r="H127" i="37"/>
  <c r="I127" i="37"/>
  <c r="H239" i="37"/>
  <c r="I239" i="37"/>
  <c r="H227" i="37"/>
  <c r="I227" i="37"/>
  <c r="I25" i="37"/>
  <c r="H84" i="37"/>
  <c r="I84" i="37"/>
  <c r="H83" i="37"/>
  <c r="I83" i="37"/>
  <c r="H152" i="37"/>
  <c r="I152" i="37"/>
  <c r="H151" i="37"/>
  <c r="I151" i="37"/>
  <c r="H235" i="37"/>
  <c r="I235" i="37"/>
  <c r="H43" i="37"/>
  <c r="I43" i="37"/>
  <c r="H234" i="37"/>
  <c r="I234" i="37"/>
  <c r="H201" i="37"/>
  <c r="I201" i="37"/>
  <c r="H224" i="37"/>
  <c r="I224" i="37"/>
  <c r="H185" i="37"/>
  <c r="I185" i="37"/>
  <c r="H149" i="37"/>
  <c r="I149" i="37"/>
  <c r="H205" i="37"/>
  <c r="I205" i="37"/>
  <c r="H212" i="37"/>
  <c r="I212" i="37"/>
  <c r="H141" i="37"/>
  <c r="I141" i="37"/>
  <c r="H103" i="37"/>
  <c r="I103" i="37"/>
  <c r="H102" i="37"/>
  <c r="I102" i="37"/>
  <c r="H196" i="37"/>
  <c r="I196" i="37"/>
  <c r="H56" i="37"/>
  <c r="I56" i="37"/>
  <c r="H260" i="37"/>
  <c r="I260" i="37"/>
  <c r="H215" i="37"/>
  <c r="I215" i="37"/>
  <c r="H96" i="37"/>
  <c r="I96" i="37"/>
  <c r="H246" i="37"/>
  <c r="I246" i="37"/>
  <c r="H169" i="37"/>
  <c r="I169" i="37"/>
  <c r="H207" i="37"/>
  <c r="I207" i="37"/>
  <c r="H206" i="37"/>
  <c r="I206" i="37"/>
  <c r="H241" i="37"/>
  <c r="I241" i="37"/>
  <c r="H99" i="37"/>
  <c r="I99" i="37"/>
  <c r="H98" i="37"/>
  <c r="I98" i="37"/>
  <c r="H223" i="37"/>
  <c r="I223" i="37"/>
  <c r="H106" i="37"/>
  <c r="I106" i="37"/>
  <c r="H80" i="37"/>
  <c r="I80" i="37"/>
  <c r="H79" i="37"/>
  <c r="I79" i="37"/>
  <c r="H179" i="37"/>
  <c r="I179" i="37"/>
  <c r="H171" i="37"/>
  <c r="I171" i="37"/>
  <c r="H166" i="37"/>
  <c r="I166" i="37"/>
  <c r="H68" i="37"/>
  <c r="I68" i="37"/>
  <c r="H148" i="37"/>
  <c r="I148" i="37"/>
  <c r="H228" i="37"/>
  <c r="I228" i="37"/>
  <c r="H90" i="37"/>
  <c r="I90" i="37"/>
  <c r="H257" i="37"/>
  <c r="I257" i="37"/>
  <c r="H61" i="37"/>
  <c r="I61" i="37"/>
  <c r="H60" i="37"/>
  <c r="I60" i="37"/>
  <c r="H135" i="37"/>
  <c r="I135" i="37"/>
  <c r="H222" i="37"/>
  <c r="I222" i="37"/>
  <c r="I37" i="37"/>
  <c r="H240" i="37"/>
  <c r="I240" i="37"/>
  <c r="H173" i="37"/>
  <c r="I173" i="37"/>
  <c r="H229" i="37"/>
  <c r="I229" i="37"/>
  <c r="H88" i="37"/>
  <c r="I88" i="37"/>
  <c r="H174" i="37"/>
  <c r="I174" i="37"/>
  <c r="H209" i="37"/>
  <c r="I209" i="37"/>
  <c r="H248" i="37"/>
  <c r="I248" i="37"/>
  <c r="H225" i="37"/>
  <c r="I225" i="37"/>
  <c r="H203" i="37"/>
  <c r="I203" i="37"/>
  <c r="H158" i="37"/>
  <c r="I158" i="37"/>
  <c r="H121" i="37"/>
  <c r="I121" i="37"/>
  <c r="H199" i="37"/>
  <c r="I199" i="37"/>
  <c r="H198" i="37"/>
  <c r="I198" i="37"/>
  <c r="H143" i="37"/>
  <c r="I143" i="37"/>
  <c r="H153" i="37"/>
  <c r="I153" i="37"/>
  <c r="H129" i="37"/>
  <c r="I129" i="37"/>
  <c r="H128" i="37"/>
  <c r="I128" i="37"/>
  <c r="H100" i="37"/>
  <c r="I100" i="37"/>
  <c r="H226" i="37"/>
  <c r="I226" i="37"/>
  <c r="H81" i="37"/>
  <c r="I81" i="37"/>
  <c r="H255" i="37"/>
  <c r="I255" i="37"/>
  <c r="H70" i="37"/>
  <c r="I70" i="37"/>
  <c r="I11" i="37"/>
  <c r="H254" i="37"/>
  <c r="I254" i="37"/>
  <c r="H134" i="37"/>
  <c r="I134" i="37"/>
  <c r="H133" i="37"/>
  <c r="I133" i="37"/>
  <c r="H136" i="37"/>
  <c r="I136" i="37"/>
  <c r="H138" i="37"/>
  <c r="I138" i="37"/>
  <c r="H172" i="37"/>
  <c r="I172" i="37"/>
  <c r="H59" i="37"/>
  <c r="I59" i="37"/>
  <c r="H204" i="37"/>
  <c r="I204" i="37"/>
  <c r="I38" i="37"/>
  <c r="H82" i="37"/>
  <c r="I82" i="37"/>
  <c r="H87" i="37"/>
  <c r="I87" i="37"/>
  <c r="H86" i="37"/>
  <c r="I86" i="37"/>
  <c r="H91" i="37"/>
  <c r="I91" i="37"/>
  <c r="H210" i="37"/>
  <c r="I210" i="37"/>
  <c r="H124" i="37"/>
  <c r="I124" i="37"/>
  <c r="I14" i="37"/>
  <c r="H202" i="37"/>
  <c r="I202" i="37"/>
  <c r="H108" i="37"/>
  <c r="I108" i="37"/>
  <c r="H107" i="37"/>
  <c r="I107" i="37"/>
  <c r="H259" i="37"/>
  <c r="I259" i="37"/>
  <c r="I17" i="37"/>
  <c r="I16" i="37"/>
  <c r="H115" i="37"/>
  <c r="I115" i="37"/>
  <c r="H220" i="37"/>
  <c r="I220" i="37"/>
  <c r="H52" i="37"/>
  <c r="I52" i="37"/>
  <c r="H51" i="37"/>
  <c r="I51" i="37"/>
  <c r="H261" i="37"/>
  <c r="I261" i="37"/>
  <c r="I30" i="37"/>
  <c r="I29" i="37"/>
  <c r="H117" i="37"/>
  <c r="I117" i="37"/>
  <c r="H116" i="37"/>
  <c r="I116" i="37"/>
  <c r="H221" i="37"/>
  <c r="I221" i="37"/>
  <c r="H78" i="37"/>
  <c r="I78" i="37"/>
  <c r="I23" i="37"/>
  <c r="H253" i="37"/>
  <c r="I253" i="37"/>
  <c r="H180" i="37"/>
  <c r="I180" i="37"/>
  <c r="H104" i="37"/>
  <c r="I104" i="37"/>
  <c r="H89" i="37"/>
  <c r="I89" i="37"/>
  <c r="H214" i="37"/>
  <c r="I214" i="37"/>
  <c r="H46" i="37"/>
  <c r="I46" i="37"/>
  <c r="I33" i="37"/>
  <c r="H147" i="37"/>
  <c r="I147" i="37"/>
  <c r="H146" i="37"/>
  <c r="I146" i="37"/>
  <c r="H66" i="37"/>
  <c r="I66" i="37"/>
  <c r="H168" i="37"/>
  <c r="I168" i="37"/>
  <c r="H93" i="37"/>
  <c r="I93" i="37"/>
  <c r="H231" i="37"/>
  <c r="I231" i="37"/>
  <c r="H154" i="37"/>
  <c r="I154" i="37"/>
  <c r="H219" i="37"/>
  <c r="I219" i="37"/>
  <c r="H177" i="37"/>
  <c r="I177" i="37"/>
  <c r="H187" i="37"/>
  <c r="I187" i="37"/>
  <c r="H186" i="37"/>
  <c r="I186" i="37"/>
  <c r="H131" i="37"/>
  <c r="I131" i="37"/>
  <c r="H145" i="37"/>
  <c r="I145" i="37"/>
  <c r="H182" i="37"/>
  <c r="I182" i="37"/>
  <c r="H181" i="37"/>
  <c r="I181" i="37"/>
  <c r="H178" i="37"/>
  <c r="I178" i="37"/>
  <c r="H130" i="37"/>
  <c r="I130" i="37"/>
  <c r="I15" i="37"/>
  <c r="H123" i="37"/>
  <c r="I123" i="37"/>
  <c r="H53" i="37"/>
  <c r="I53" i="37"/>
  <c r="H236" i="37"/>
  <c r="I236" i="37"/>
  <c r="H126" i="37"/>
  <c r="I126" i="37"/>
  <c r="H189" i="37"/>
  <c r="I189" i="37"/>
  <c r="H109" i="37"/>
  <c r="I109" i="37"/>
  <c r="H252" i="37"/>
  <c r="I252" i="37"/>
  <c r="I27" i="37"/>
  <c r="H144" i="37"/>
  <c r="I144" i="37"/>
  <c r="H110" i="37"/>
  <c r="I110" i="37"/>
  <c r="H157" i="37"/>
  <c r="I157" i="37"/>
  <c r="H54" i="37"/>
  <c r="I54" i="37"/>
  <c r="H137" i="37"/>
  <c r="I137" i="37"/>
  <c r="I34" i="37"/>
  <c r="H155" i="37"/>
  <c r="I155" i="37"/>
  <c r="H8" i="37"/>
  <c r="I8" i="37"/>
  <c r="H213" i="37"/>
  <c r="I213" i="37"/>
  <c r="AE16" i="21"/>
  <c r="AE15" i="21"/>
  <c r="AE13" i="21"/>
  <c r="AE1" i="21"/>
  <c r="AE2" i="21"/>
  <c r="AE4" i="21"/>
  <c r="AE5" i="21"/>
  <c r="Q15" i="21"/>
  <c r="Q14" i="21"/>
  <c r="Q13" i="21"/>
  <c r="Q12" i="21"/>
  <c r="Q11" i="21"/>
  <c r="Q10" i="21"/>
  <c r="Q9" i="21"/>
  <c r="Q8" i="21"/>
  <c r="Q7" i="21"/>
  <c r="Q6" i="21"/>
  <c r="Q5" i="21"/>
  <c r="Q4" i="21"/>
  <c r="Q3" i="21"/>
  <c r="Q2" i="21"/>
  <c r="Q1" i="21"/>
  <c r="L2" i="21"/>
  <c r="M2" i="21"/>
  <c r="L1" i="21"/>
  <c r="M1" i="21"/>
  <c r="L3" i="21"/>
  <c r="M3" i="21"/>
  <c r="I40" i="37"/>
  <c r="X233" i="45"/>
  <c r="X229" i="45"/>
  <c r="X215" i="45"/>
  <c r="X176" i="45"/>
  <c r="X184" i="45"/>
  <c r="X179" i="45"/>
  <c r="X174" i="45"/>
  <c r="X170" i="45"/>
  <c r="R3" i="21"/>
  <c r="R4" i="21"/>
  <c r="R5" i="21"/>
  <c r="R2" i="21"/>
  <c r="R11" i="21"/>
  <c r="R15" i="21"/>
  <c r="R10" i="21"/>
  <c r="R6" i="21"/>
  <c r="R8" i="21"/>
  <c r="R9" i="21"/>
  <c r="R14" i="21"/>
  <c r="R7" i="21"/>
  <c r="R13" i="21"/>
  <c r="R12" i="21"/>
  <c r="R1" i="21"/>
  <c r="X80" i="45" l="1"/>
  <c r="X63" i="45"/>
  <c r="V17" i="45"/>
  <c r="X17" i="45" s="1"/>
  <c r="X11" i="45"/>
  <c r="U19" i="45"/>
  <c r="U58" i="45"/>
  <c r="W73" i="45"/>
  <c r="V73" i="45"/>
  <c r="U87" i="45"/>
  <c r="U89" i="45"/>
  <c r="X94" i="45"/>
  <c r="V121" i="45"/>
  <c r="W121" i="45"/>
  <c r="X121" i="45" s="1"/>
  <c r="V123" i="45"/>
  <c r="X123" i="45" s="1"/>
  <c r="U123" i="45"/>
  <c r="U125" i="45"/>
  <c r="W125" i="45"/>
  <c r="X125" i="45" s="1"/>
  <c r="AF17" i="21"/>
  <c r="X172" i="45"/>
  <c r="W97" i="45"/>
  <c r="W56" i="45"/>
  <c r="X56" i="45" s="1"/>
  <c r="V10" i="45"/>
  <c r="W10" i="45"/>
  <c r="X10" i="45" s="1"/>
  <c r="U30" i="45"/>
  <c r="W35" i="45"/>
  <c r="X35" i="45" s="1"/>
  <c r="X47" i="45"/>
  <c r="X52" i="45"/>
  <c r="V62" i="45"/>
  <c r="U76" i="45"/>
  <c r="W86" i="45"/>
  <c r="X86" i="45" s="1"/>
  <c r="U86" i="45"/>
  <c r="W95" i="45"/>
  <c r="X95" i="45" s="1"/>
  <c r="U106" i="45"/>
  <c r="U111" i="45"/>
  <c r="W112" i="45"/>
  <c r="X112" i="45" s="1"/>
  <c r="W167" i="45"/>
  <c r="X167" i="45" s="1"/>
  <c r="V167" i="45"/>
  <c r="X33" i="45"/>
  <c r="W45" i="45"/>
  <c r="X45" i="45" s="1"/>
  <c r="V9" i="45"/>
  <c r="X9" i="45" s="1"/>
  <c r="W39" i="45"/>
  <c r="X39" i="45" s="1"/>
  <c r="V39" i="45"/>
  <c r="X46" i="45"/>
  <c r="V55" i="45"/>
  <c r="X55" i="45" s="1"/>
  <c r="W59" i="45"/>
  <c r="X59" i="45" s="1"/>
  <c r="W62" i="45"/>
  <c r="X62" i="45" s="1"/>
  <c r="W89" i="45"/>
  <c r="X89" i="45" s="1"/>
  <c r="W92" i="45"/>
  <c r="X92" i="45" s="1"/>
  <c r="V92" i="45"/>
  <c r="V111" i="45"/>
  <c r="W111" i="45"/>
  <c r="X111" i="45" s="1"/>
  <c r="V114" i="45"/>
  <c r="X114" i="45" s="1"/>
  <c r="W118" i="45"/>
  <c r="V118" i="45"/>
  <c r="W137" i="45"/>
  <c r="X137" i="45" s="1"/>
  <c r="V137" i="45"/>
  <c r="X145" i="45"/>
  <c r="V165" i="45"/>
  <c r="W165" i="45"/>
  <c r="X165" i="45" s="1"/>
  <c r="W186" i="45"/>
  <c r="X186" i="45" s="1"/>
  <c r="V186" i="45"/>
  <c r="U32" i="45"/>
  <c r="V33" i="45"/>
  <c r="X37" i="45"/>
  <c r="U55" i="45"/>
  <c r="V80" i="45"/>
  <c r="U80" i="45"/>
  <c r="V90" i="45"/>
  <c r="X90" i="45" s="1"/>
  <c r="U90" i="45"/>
  <c r="W135" i="45"/>
  <c r="X135" i="45" s="1"/>
  <c r="V135" i="45"/>
  <c r="V162" i="45"/>
  <c r="W162" i="45"/>
  <c r="X162" i="45" s="1"/>
  <c r="W185" i="45"/>
  <c r="V185" i="45"/>
  <c r="U185" i="45"/>
  <c r="U220" i="45"/>
  <c r="V220" i="45"/>
  <c r="W220" i="45"/>
  <c r="X26" i="45"/>
  <c r="U63" i="45"/>
  <c r="V16" i="45"/>
  <c r="X16" i="45" s="1"/>
  <c r="V30" i="45"/>
  <c r="X30" i="45" s="1"/>
  <c r="U33" i="45"/>
  <c r="W71" i="45"/>
  <c r="X71" i="45" s="1"/>
  <c r="W78" i="45"/>
  <c r="X78" i="45" s="1"/>
  <c r="V84" i="45"/>
  <c r="W84" i="45"/>
  <c r="V103" i="45"/>
  <c r="W103" i="45"/>
  <c r="U103" i="45"/>
  <c r="V140" i="45"/>
  <c r="W140" i="45"/>
  <c r="U140" i="45"/>
  <c r="U144" i="45"/>
  <c r="W147" i="45"/>
  <c r="X147" i="45" s="1"/>
  <c r="U147" i="45"/>
  <c r="W156" i="45"/>
  <c r="X156" i="45" s="1"/>
  <c r="V163" i="45"/>
  <c r="X163" i="45" s="1"/>
  <c r="U163" i="45"/>
  <c r="V41" i="45"/>
  <c r="X41" i="45" s="1"/>
  <c r="V24" i="45"/>
  <c r="X24" i="45" s="1"/>
  <c r="U16" i="45"/>
  <c r="M215" i="45" s="1"/>
  <c r="V28" i="45"/>
  <c r="X28" i="45" s="1"/>
  <c r="W36" i="45"/>
  <c r="X36" i="45" s="1"/>
  <c r="U41" i="45"/>
  <c r="X42" i="45"/>
  <c r="X53" i="45"/>
  <c r="U69" i="45"/>
  <c r="W69" i="45"/>
  <c r="X69" i="45" s="1"/>
  <c r="U71" i="45"/>
  <c r="U78" i="45"/>
  <c r="W87" i="45"/>
  <c r="X87" i="45" s="1"/>
  <c r="W104" i="45"/>
  <c r="X104" i="45" s="1"/>
  <c r="U139" i="45"/>
  <c r="W139" i="45"/>
  <c r="V139" i="45"/>
  <c r="W58" i="45"/>
  <c r="X58" i="45" s="1"/>
  <c r="V97" i="45"/>
  <c r="U165" i="45"/>
  <c r="X200" i="45"/>
  <c r="X20" i="45"/>
  <c r="U104" i="45"/>
  <c r="V130" i="45"/>
  <c r="X130" i="45" s="1"/>
  <c r="U130" i="45"/>
  <c r="U132" i="45"/>
  <c r="W132" i="45"/>
  <c r="X132" i="45" s="1"/>
  <c r="W182" i="45"/>
  <c r="V182" i="45"/>
  <c r="U182" i="45"/>
  <c r="W193" i="45"/>
  <c r="V193" i="45"/>
  <c r="U211" i="45"/>
  <c r="U248" i="45"/>
  <c r="V248" i="45"/>
  <c r="W248" i="45"/>
  <c r="U257" i="45"/>
  <c r="V257" i="45"/>
  <c r="W257" i="45"/>
  <c r="X257" i="45" s="1"/>
  <c r="X206" i="45"/>
  <c r="W209" i="45"/>
  <c r="V209" i="45"/>
  <c r="U128" i="45"/>
  <c r="X161" i="45"/>
  <c r="V211" i="45"/>
  <c r="W211" i="45"/>
  <c r="W148" i="45"/>
  <c r="X148" i="45" s="1"/>
  <c r="U65" i="45"/>
  <c r="X83" i="45"/>
  <c r="X115" i="45"/>
  <c r="U118" i="45"/>
  <c r="V155" i="45"/>
  <c r="X155" i="45" s="1"/>
  <c r="X158" i="45"/>
  <c r="W160" i="45"/>
  <c r="V160" i="45"/>
  <c r="U186" i="45"/>
  <c r="U201" i="45"/>
  <c r="W203" i="45"/>
  <c r="V203" i="45"/>
  <c r="X213" i="45"/>
  <c r="V216" i="45"/>
  <c r="X216" i="45" s="1"/>
  <c r="V241" i="45"/>
  <c r="W241" i="45"/>
  <c r="X241" i="45" s="1"/>
  <c r="X117" i="45"/>
  <c r="U137" i="45"/>
  <c r="U167" i="45"/>
  <c r="V171" i="45"/>
  <c r="W171" i="45"/>
  <c r="W195" i="45"/>
  <c r="X195" i="45" s="1"/>
  <c r="V195" i="45"/>
  <c r="V205" i="45"/>
  <c r="W205" i="45"/>
  <c r="X205" i="45" s="1"/>
  <c r="W133" i="45"/>
  <c r="X133" i="45" s="1"/>
  <c r="U155" i="45"/>
  <c r="X207" i="45"/>
  <c r="U252" i="45"/>
  <c r="W267" i="45"/>
  <c r="X267" i="45" s="1"/>
  <c r="W222" i="45"/>
  <c r="X222" i="45" s="1"/>
  <c r="W250" i="45"/>
  <c r="X250" i="45" s="1"/>
  <c r="W264" i="45"/>
  <c r="X264" i="45" s="1"/>
  <c r="P215" i="45" l="1"/>
  <c r="Q215" i="45" s="1"/>
  <c r="N215" i="45"/>
  <c r="O215" i="45" s="1"/>
  <c r="G215" i="45" s="1"/>
  <c r="X203" i="45"/>
  <c r="M8" i="45"/>
  <c r="X171" i="45"/>
  <c r="X248" i="45"/>
  <c r="X182" i="45"/>
  <c r="X84" i="45"/>
  <c r="M49" i="45"/>
  <c r="X220" i="45"/>
  <c r="M116" i="45"/>
  <c r="X140" i="45"/>
  <c r="X118" i="45"/>
  <c r="X73" i="45"/>
  <c r="X193" i="45"/>
  <c r="X97" i="45"/>
  <c r="X209" i="45"/>
  <c r="X139" i="45"/>
  <c r="X160" i="45"/>
  <c r="X211" i="45"/>
  <c r="X103" i="45"/>
  <c r="X185" i="45"/>
  <c r="P8" i="45" l="1"/>
  <c r="Q8" i="45" s="1"/>
  <c r="N8" i="45"/>
  <c r="O8" i="45" s="1"/>
  <c r="G8" i="45" s="1"/>
  <c r="N116" i="45"/>
  <c r="O116" i="45" s="1"/>
  <c r="G116" i="45" s="1"/>
  <c r="P116" i="45"/>
  <c r="Q116" i="45" s="1"/>
  <c r="N49" i="45"/>
  <c r="O49" i="45" s="1"/>
  <c r="G49" i="45" s="1"/>
  <c r="P49" i="45"/>
  <c r="Q49" i="45" s="1"/>
</calcChain>
</file>

<file path=xl/sharedStrings.xml><?xml version="1.0" encoding="utf-8"?>
<sst xmlns="http://schemas.openxmlformats.org/spreadsheetml/2006/main" count="1998" uniqueCount="928">
  <si>
    <t>Not yet answered</t>
  </si>
  <si>
    <t>x 1</t>
  </si>
  <si>
    <t>Level</t>
  </si>
  <si>
    <t>Weighting</t>
  </si>
  <si>
    <t>Level 1 - Initial</t>
  </si>
  <si>
    <t>Not Yet answered</t>
  </si>
  <si>
    <t>Level 2 - Established</t>
  </si>
  <si>
    <t>Level 3 - Business Enabling</t>
  </si>
  <si>
    <t>Level 4 - Quantitatively Managed</t>
  </si>
  <si>
    <t>Level 5 - Optimised</t>
  </si>
  <si>
    <t>Don't know</t>
  </si>
  <si>
    <t>Not applicable</t>
  </si>
  <si>
    <t>Question not selected</t>
  </si>
  <si>
    <t>x 2</t>
  </si>
  <si>
    <t>Level 1</t>
  </si>
  <si>
    <t>Null</t>
  </si>
  <si>
    <t>x 3</t>
  </si>
  <si>
    <t>Level 2</t>
  </si>
  <si>
    <t>x 4</t>
  </si>
  <si>
    <t>Level 3</t>
  </si>
  <si>
    <t>x 5</t>
  </si>
  <si>
    <t>Level 4</t>
  </si>
  <si>
    <t>Level 5</t>
  </si>
  <si>
    <t>No</t>
  </si>
  <si>
    <t>Yes</t>
  </si>
  <si>
    <t>Level 1 -
Initial</t>
  </si>
  <si>
    <t>Level 2 -
Established</t>
  </si>
  <si>
    <t>Level 3 -
Business Enabling</t>
  </si>
  <si>
    <t>Level 4 -
Quantitatively Managed</t>
  </si>
  <si>
    <t>Partly</t>
  </si>
  <si>
    <t>Level 5 -
Optimised</t>
  </si>
  <si>
    <t>Mostly</t>
  </si>
  <si>
    <t>Fully</t>
  </si>
  <si>
    <t>Not selected</t>
  </si>
  <si>
    <t>Systems</t>
  </si>
  <si>
    <t>Web presence</t>
  </si>
  <si>
    <t>Merchant banking</t>
  </si>
  <si>
    <t>Whole organisation</t>
  </si>
  <si>
    <t>Mobile devices</t>
  </si>
  <si>
    <t>Retail banking</t>
  </si>
  <si>
    <t>Region</t>
  </si>
  <si>
    <t>Third-party applications</t>
  </si>
  <si>
    <t>Investment banking</t>
  </si>
  <si>
    <t>Business unit</t>
  </si>
  <si>
    <t>Outsourced systems</t>
  </si>
  <si>
    <t>Card services</t>
  </si>
  <si>
    <t>Web application</t>
  </si>
  <si>
    <t>Other</t>
  </si>
  <si>
    <t>Other banking services</t>
  </si>
  <si>
    <t>Infrastructure</t>
  </si>
  <si>
    <t>Other financial services</t>
  </si>
  <si>
    <t>Agriculture, Forestry, Fishing and Hunting</t>
  </si>
  <si>
    <t>Mining, Quarrying, and Oil and Gas Extraction</t>
  </si>
  <si>
    <t>Utilities</t>
  </si>
  <si>
    <t>Construction</t>
  </si>
  <si>
    <t>Manufacturing</t>
  </si>
  <si>
    <t>Wholesale Trade</t>
  </si>
  <si>
    <t>Retail Trade</t>
  </si>
  <si>
    <t>Transportation and Warehousing</t>
  </si>
  <si>
    <t>Information</t>
  </si>
  <si>
    <t>Insurance</t>
  </si>
  <si>
    <t>Real Estate and Rental and Leasing</t>
  </si>
  <si>
    <t>Professional, Scientific, and Technical Services</t>
  </si>
  <si>
    <t>Management of Companies and Enterprises</t>
  </si>
  <si>
    <t>Administrative and Support and Waste Management and Remediation Services</t>
  </si>
  <si>
    <t>Educational Services</t>
  </si>
  <si>
    <t>Health Care and Social Assistance</t>
  </si>
  <si>
    <t>Arts, Entertainment, and Recreation</t>
  </si>
  <si>
    <t>Accommodation and Food Services</t>
  </si>
  <si>
    <t>Other Services (except Public Administration)</t>
  </si>
  <si>
    <t>Public Administration</t>
  </si>
  <si>
    <t>Order</t>
  </si>
  <si>
    <t>FullQ</t>
  </si>
  <si>
    <t>Phase/Step</t>
  </si>
  <si>
    <t>Step</t>
  </si>
  <si>
    <t>Q</t>
  </si>
  <si>
    <t>subQ</t>
  </si>
  <si>
    <t>Text</t>
  </si>
  <si>
    <t>Phase</t>
  </si>
  <si>
    <t>Sub-heading</t>
  </si>
  <si>
    <t>Stub</t>
  </si>
  <si>
    <t>Type</t>
  </si>
  <si>
    <t>Check order</t>
  </si>
  <si>
    <t>Check weighting</t>
  </si>
  <si>
    <t/>
  </si>
  <si>
    <t>Prepare</t>
  </si>
  <si>
    <t>Criticality assessment</t>
  </si>
  <si>
    <t>Have you defined your critical information assets?</t>
  </si>
  <si>
    <t>Does your defined set of critical information assets include:</t>
  </si>
  <si>
    <t>N/A</t>
  </si>
  <si>
    <t>a</t>
  </si>
  <si>
    <t>Important business applications?</t>
  </si>
  <si>
    <t>b</t>
  </si>
  <si>
    <t>Key systems and networks (infrastructure)?</t>
  </si>
  <si>
    <t>c</t>
  </si>
  <si>
    <t>Confidential data?</t>
  </si>
  <si>
    <t>Is the criticality of these assets:</t>
  </si>
  <si>
    <t>Defined in a structured, systematic manner?</t>
  </si>
  <si>
    <t>Based on an analysis of their strategic or monetary value?</t>
  </si>
  <si>
    <t>Have you identified:</t>
  </si>
  <si>
    <t>Where your critical systems are physically located in your organisation and in third party organisations?</t>
  </si>
  <si>
    <t>On which systems your confidential information is stored or processed (eg on servers, devices and in the cloud)?</t>
  </si>
  <si>
    <t>Have you assigned responsibility for protecting your critical assets to capable, named individuals?</t>
  </si>
  <si>
    <t>Do you conduct business impact assessments of your critical assets (either individually or in aggregate) to determine the likely (or actual) level of business impact caused if your organisation was hit by a cyber security incident?</t>
  </si>
  <si>
    <t>Do your business impact assessments determine the level of business impact if:</t>
  </si>
  <si>
    <t>Sensitive or other confidential information was disclosed to unauthorised parties?</t>
  </si>
  <si>
    <t>Important information was compromised (eg key data is inaccurate or wrongly processed)?</t>
  </si>
  <si>
    <t>Critical systems or infrastructure were no longer available?</t>
  </si>
  <si>
    <t>Do your business impact assessments cover all relevant types of business consequences that could affect your organisation, including:</t>
  </si>
  <si>
    <t>Potential or actual financial loss?</t>
  </si>
  <si>
    <t>Compliance implications (eg fines, business restrictions or other penalties)?</t>
  </si>
  <si>
    <t>Damage to reputation?</t>
  </si>
  <si>
    <t>d</t>
  </si>
  <si>
    <t>Loss of management control?</t>
  </si>
  <si>
    <t>e</t>
  </si>
  <si>
    <t>Impaired growth?</t>
  </si>
  <si>
    <t>Threat analysis</t>
  </si>
  <si>
    <t>Do you analyse cyber security threats and associated vulnerabilities?</t>
  </si>
  <si>
    <t>Is your cyber security threat analysis:</t>
  </si>
  <si>
    <t>Carried out in a structured, systematic manner?</t>
  </si>
  <si>
    <t>Conducted on a regular basis?</t>
  </si>
  <si>
    <t>Linked to a knowledge base of known attack types and attack agents?</t>
  </si>
  <si>
    <t>Does your cyber security threat analysis give you a good understanding of the level of threat to your organisation from different types of cyber security incidents?</t>
  </si>
  <si>
    <t>Does your threat analysis focus on:</t>
  </si>
  <si>
    <t>The cyber security landscape relevant to your organisation?</t>
  </si>
  <si>
    <t>Relevant sources of threats (eg organised crime syndicates, state-sponsored organisations, extremist groups, hacktivists, insiders – or a combination of these)?</t>
  </si>
  <si>
    <t>Which cyber security threats are most likely to affect your critical information assets?</t>
  </si>
  <si>
    <t>Vulnerabilities to each particular cyber security threat (eg control weaknesses or special circumstances)?</t>
  </si>
  <si>
    <t>Possible threat vectors for attacks to exploit (eg Internet downloads, unauthorised USB sticks, misconfigured systems, inappropriate access, or collusion)?</t>
  </si>
  <si>
    <t>f</t>
  </si>
  <si>
    <t>The technical infrastructure that supports your critical assets?</t>
  </si>
  <si>
    <t>Does your cyber security threat analysis address all stages of a cyber security attack, including:</t>
  </si>
  <si>
    <t>Reconnaissance (gaining information about a target individual or organisation for use in a future cyber-attack)?</t>
  </si>
  <si>
    <t>Disruption (eg to a business, system or service)?</t>
  </si>
  <si>
    <t>Extraction (eg obtaining money, sensitive information or user credentials from the target)?</t>
  </si>
  <si>
    <t>Manipulation (eg adding, changing or deleting key information)?</t>
  </si>
  <si>
    <t>Does your cyber security threat analysis cover:</t>
  </si>
  <si>
    <t>The ‘attacker kill chain’ (ie reconnaissance, weaponize, deliver, exploit, install, command &amp; control and act on objectives)?</t>
  </si>
  <si>
    <t>Both the attacker and defender aspects of an attack?</t>
  </si>
  <si>
    <t>Do you put your cyber security threat analysis into context, based on a solid understanding of:</t>
  </si>
  <si>
    <t>The nature of your business, business strategy, business processes and risk appetite?</t>
  </si>
  <si>
    <t>Key dependencies your organisation has; for example on people, technology, suppliers, partners and the environment in which you operate?</t>
  </si>
  <si>
    <t>The assets which are most likely to be targeted, such as infrastructure, money, intellectual property or people – and the computer systems that support them?</t>
  </si>
  <si>
    <t>Does your threat analysis include information from cyber security threat intelligence sources?</t>
  </si>
  <si>
    <t>Do your cyber security threat intelligence sources include information:</t>
  </si>
  <si>
    <t>You have specially compiled in your own organisation?</t>
  </si>
  <si>
    <t>Obtained from the government, collaborative groups, competitors or CERTs and vendors)?</t>
  </si>
  <si>
    <t>Purchased from reputable vendors?</t>
  </si>
  <si>
    <t>Does your threat analysis include actionable cyber security threat intelligence, enabling positive changes to be made immediately?</t>
  </si>
  <si>
    <t>Do you perform realistic simulations of possible cyber security incidents (eg by carrying out scenario testing)?</t>
  </si>
  <si>
    <t>Do you make scenario testing more effective by ensuring it includes:</t>
  </si>
  <si>
    <t>Simulating a real attack as closely as possible?</t>
  </si>
  <si>
    <t>Evaluating situational awareness and applicability to your organisation?</t>
  </si>
  <si>
    <t>Initiating a fictional (but realistic) attack internally and assessing how well you can respond to it?</t>
  </si>
  <si>
    <t>Do you carry out cyber security scenarios:</t>
  </si>
  <si>
    <t>That result in different outcomes such as unavailability, data theft and data/systems corruption?</t>
  </si>
  <si>
    <t>Where your systems and/or data have suffered integrity loss?</t>
  </si>
  <si>
    <t>Do you carry out periodic scenario-based training, helping to ensure that relevant individuals understand their role and prepare them to handle cyber security incidents?</t>
  </si>
  <si>
    <t>Does this scenario-based training work through a series of attack scenarios fine-tuned to the threats and vulnerabilities your organisation face?</t>
  </si>
  <si>
    <t>Do you evaluate newly emerging methods of conducting more advanced cyber security threat analysis to help improve the effectiveness of your cyber security threat analysis?</t>
  </si>
  <si>
    <t>People, Process, Technology and Information</t>
  </si>
  <si>
    <t>People</t>
  </si>
  <si>
    <t>Do you have a point of contact for handling cyber security incidents?</t>
  </si>
  <si>
    <t>Have all employees been:</t>
  </si>
  <si>
    <t>Made aware of the risk from cyber security attacks</t>
  </si>
  <si>
    <t>Briefed on how to report actual and suspected cyber security incidents?</t>
  </si>
  <si>
    <t>Shown how to help reduce the likelihood and frequency of these attacks?</t>
  </si>
  <si>
    <t>Do you have a cyber security incident response team?</t>
  </si>
  <si>
    <t>Does your cyber security incident response team understand the:</t>
  </si>
  <si>
    <t>Key concepts of cyber security incident response (eg drivers, definitions, approaches)?</t>
  </si>
  <si>
    <t>Requirements for reporting certain types of cyber security incident?</t>
  </si>
  <si>
    <t>Is your cyber security incident response team:</t>
  </si>
  <si>
    <t>Supported by key stakeholders, such as senior management, the PR department, HR, Legal, IT and business unit management</t>
  </si>
  <si>
    <t>Given the authority to confiscate or disconnect equipment and monitor suspicious activity</t>
  </si>
  <si>
    <t>Able to undertake external communications and information sharing (eg what can be shared with whom, when, and over what channels)</t>
  </si>
  <si>
    <t>Clear about escalation points in the cyber security incident management process</t>
  </si>
  <si>
    <t>Is your cyber security incident response team empowered – without fear of blame or recrimination - to:</t>
  </si>
  <si>
    <t>Escalate the problem to management in a timely manner?</t>
  </si>
  <si>
    <t>Explain the possible consequences of the cyber security incident – and its potential impact on the business?</t>
  </si>
  <si>
    <t>Get relevant outsiders involved?</t>
  </si>
  <si>
    <t>Does your cyber security incident response team have access to individuals (internal and external) who have a deep understanding about:</t>
  </si>
  <si>
    <t>How to carry out sophisticated cyber security incident investigations quickly and effectively</t>
  </si>
  <si>
    <t>The different types of cyber security attacker (and how they operate)?</t>
  </si>
  <si>
    <t>Advanced persistent threats?</t>
  </si>
  <si>
    <t>Methods of compromising systems?</t>
  </si>
  <si>
    <t>Sophisticated analysis of malware?</t>
  </si>
  <si>
    <t>Forensics?</t>
  </si>
  <si>
    <t>Does your cyber security incident team have a cyber security incident response toolkit to help investigations?</t>
  </si>
  <si>
    <t>Does your cyber security incident response toolkit include:</t>
  </si>
  <si>
    <t>A suitable method for recording all aspects of the incident, ideally using a template to ensure a consistent, comprehensive approach?</t>
  </si>
  <si>
    <t>Contact details of all key stakeholders, such as internal and external investigators, technical specialist, suppliers, legal resources, human resources, public relations and business management?</t>
  </si>
  <si>
    <t>Incident analysis resources: such as port lists; packet sniffers and protocol analysers; documentation for security systems (eg IDS, SIEM, malware protection); network diagrams; and a list of critical assets.</t>
  </si>
  <si>
    <t>Forensic imaging tools (eg an imaging laptop; encrypted disks for image storage; mobile phone; digital camera / recorder; portable printer; removable media with trusted versions of programs; and evidence gathering accessories)?</t>
  </si>
  <si>
    <t>Physical tools (eg screwdrivers, Allen keys, wire cutters, evidence bags, gloves and torch)?</t>
  </si>
  <si>
    <t>Process</t>
  </si>
  <si>
    <t>Do you have:</t>
  </si>
  <si>
    <t>Policies, processes, plans or methodologies to help you respond to cyber security incidents effectively?</t>
  </si>
  <si>
    <t>A formal cyber security incident response process?</t>
  </si>
  <si>
    <t>A strategic approach for handling cyber security incidents?</t>
  </si>
  <si>
    <t>Does your cyber security incident response strategy include:</t>
  </si>
  <si>
    <t>Identifying the key components of an effective cyber security incident response process?</t>
  </si>
  <si>
    <t>Aligning cyber security incident response with business continuity plans and arrangements?</t>
  </si>
  <si>
    <t>Addressing arrangements corporate-wide (including third parties, where needed)?</t>
  </si>
  <si>
    <t>Providing sufficient funding and resources to deal with cyber security incidents effectively?</t>
  </si>
  <si>
    <t>Appointing individuals in advance who have sufficient decision-making authority to take action fast in an emergency situation?</t>
  </si>
  <si>
    <t>Determining what activities should be outsourced to an external cyber security incident response specialist</t>
  </si>
  <si>
    <t>g</t>
  </si>
  <si>
    <t>Developing criteria upon which to base selection of the right cyber security incident response providers, ensuring value for money?</t>
  </si>
  <si>
    <t>h</t>
  </si>
  <si>
    <t>Evaluating the benefits offered by appropriately certified cyber security incident response providers?</t>
  </si>
  <si>
    <t>Does your cyber security incident response process take account of:</t>
  </si>
  <si>
    <t>Definitions required to support the Triage element of the cyber security incident process (eg to define what criteria re required to classify and prioritise incidents)?</t>
  </si>
  <si>
    <t>Advice and guidance provided on government websites, such as the CESG Top ten steps to cyber security and GovCertUK incident response guidelines?</t>
  </si>
  <si>
    <t>Publicly available traditional or cyber security specific incident response guides, such as the NIST Computer Security Handling Guide (Special Publication 800-61), the Responding to targeted cyber attacks report from ISACA (collaborating with E&amp;Y) and the CREST Cyber Security Incident Response Guide?</t>
  </si>
  <si>
    <t>Does your cyber security incident response process cover all stage of an investigation, which includes:</t>
  </si>
  <si>
    <t>Identifying cyber security incidents?</t>
  </si>
  <si>
    <t>Investigating the situation (including triage)?</t>
  </si>
  <si>
    <t>Taking appropriate action (eg contain incident and eradicate cause)?</t>
  </si>
  <si>
    <t>Recovering systems, data and connectivity?</t>
  </si>
  <si>
    <t>Does your cyber security incident response process state:</t>
  </si>
  <si>
    <t>Who should be responsible for each step?</t>
  </si>
  <si>
    <t>How it should be carried out?</t>
  </si>
  <si>
    <t>Who to contact for support?</t>
  </si>
  <si>
    <t>Does your cyber security incident response process include pre-agreed response actions (eg using attack play-books) for particular situations</t>
  </si>
  <si>
    <t>Is your cyber security incident response process integrated with:</t>
  </si>
  <si>
    <t>Relevant day-to-day third parties (eg suppliers, partners and customers)?</t>
  </si>
  <si>
    <t>Specialist third party security experts, such as outsourced security services (eg security device management) to Managed Security Services Providers (MSSP) or a Security Operations Centre (SOC)?</t>
  </si>
  <si>
    <t>Human Resources (HR), if prosecution is likely or the culprit is suspected to be internal?</t>
  </si>
  <si>
    <t>Legal counsel and Public Relations (PR)?</t>
  </si>
  <si>
    <t>Does your cyber security incident response process address important security requirements during the investigation, which includes:</t>
  </si>
  <si>
    <t>Maintaining the integrity of your most important data in a compromised environment)?</t>
  </si>
  <si>
    <t>Preventing (or reducing) unauthorised disclosure of confidential information?</t>
  </si>
  <si>
    <t>Complying with data privacy or data protection requirements (eg reporting the loss of personal data)?</t>
  </si>
  <si>
    <t>Monitoring new (and existing) vulnerabilities during the cyber security attack?</t>
  </si>
  <si>
    <t>Has your cyber security incident response process been:</t>
  </si>
  <si>
    <t>Signed off by appropriate management?</t>
  </si>
  <si>
    <t>Kept up to date?</t>
  </si>
  <si>
    <t>Reviewed on a regular basis?</t>
  </si>
  <si>
    <t>Does your cyber security incident response process enable you to respond to a cyber security incident:</t>
  </si>
  <si>
    <t>Quickly (ie within critical timescales)?</t>
  </si>
  <si>
    <t>Effectively (ensuring that all services have been restored to working order)?</t>
  </si>
  <si>
    <t>In a consistent manner?</t>
  </si>
  <si>
    <t>Does your cyber security incident response process enable you to:</t>
  </si>
  <si>
    <t>Cope with many different scenarios?</t>
  </si>
  <si>
    <t>Proactively implement and adapt approaches as needed?</t>
  </si>
  <si>
    <t>Is your cyber security incident response process tested:</t>
  </si>
  <si>
    <t>Thoroughly using a range of different scenarios?</t>
  </si>
  <si>
    <t>On a regular basis?</t>
  </si>
  <si>
    <t>In conjunction with relevant third parties?</t>
  </si>
  <si>
    <t>Do you analyse the results of these tests?</t>
  </si>
  <si>
    <t>Do you address weaknesses identified during these tests?</t>
  </si>
  <si>
    <t>Technology</t>
  </si>
  <si>
    <t>Do you have technical arrangements to support cyber security incident response?</t>
  </si>
  <si>
    <t>Do your technical arrangements for supporting cyber security incident response provide you (and any relevant third parties) with sufficient understanding of:</t>
  </si>
  <si>
    <t>Your IT infrastructure?</t>
  </si>
  <si>
    <t>The topology of your networks (eg via a suitable network diagram)?</t>
  </si>
  <si>
    <t>Do your technical arrangements for supporting cyber security incident response include:</t>
  </si>
  <si>
    <t>An appropriate set of incident response tools?</t>
  </si>
  <si>
    <t>Implementing technical controls like firewalls, mail filters and intrusion detection systems (IDS) or data loss prevention (DLP) technology?</t>
  </si>
  <si>
    <t>Logging the right events and turning on the appropriate logging features?</t>
  </si>
  <si>
    <t>Maintaining sufficient historical data (eg because logs are overwritten or you do not have sufficient storage space)?</t>
  </si>
  <si>
    <t>Deploying other suitable technical controls, as required, such as patching?</t>
  </si>
  <si>
    <t>Identifying your Internet points of presence (‘touch points’)?</t>
  </si>
  <si>
    <t>Do your technical arrangements for support cyber security incident response provide you with enough relevant knowledge to conduct a suitable investigation?</t>
  </si>
  <si>
    <t>Do you have information readily available that will help the cyber security incident response team (including third party experts) to respond quickly and effectively?</t>
  </si>
  <si>
    <t>Does this information include relevant details about:</t>
  </si>
  <si>
    <t>Business management (eg what the business does, main point(s) of contact, approach to business impact assessment)?</t>
  </si>
  <si>
    <t>IT infrastructure (eg network diagrams, system architecture and layout)?</t>
  </si>
  <si>
    <t>Data (eg what type of information is processed, where and how)?</t>
  </si>
  <si>
    <t>Event logging (eg what types of data and events are logged; on which systems; how and when; as well as how this data is collated and analysed)?</t>
  </si>
  <si>
    <t>In the event of a cyber security incident are you able to quickly get relevant information from:</t>
  </si>
  <si>
    <t>Technical security specialists?</t>
  </si>
  <si>
    <t>Relevant business representatives?</t>
  </si>
  <si>
    <t>Your Crisis Management Team?</t>
  </si>
  <si>
    <t>Legal or HR specialists?</t>
  </si>
  <si>
    <t>In the event of a cyber security incident are you able to:</t>
  </si>
  <si>
    <t>Gain fast access to facilities at your outsourced service providers (ie access to premises or equipment)?</t>
  </si>
  <si>
    <t>Obtain essential supporting information (eg event logs) from all your third party suppliers (eg cloud service suppliers, infrastructure outsourcers and managed service providers) in a timely and suitable manner?</t>
  </si>
  <si>
    <t>Contact relevant people in third parties who would be impacted if your organisation had to operate in a degraded capacity?</t>
  </si>
  <si>
    <t>Control environment</t>
  </si>
  <si>
    <t>Do you have a set of controls to help reduce the frequency and impact of cyber security incidents?</t>
  </si>
  <si>
    <t>Does your control set include basic controls to help support cyber security incident investigations, including:</t>
  </si>
  <si>
    <t>Information classification, labelling and handling techniques?</t>
  </si>
  <si>
    <t>Access control arrangements?</t>
  </si>
  <si>
    <t>Patch management?</t>
  </si>
  <si>
    <t>Firewalls?</t>
  </si>
  <si>
    <t>Malware protection?</t>
  </si>
  <si>
    <t>‘Secure’ configuration of servers and connected devices?</t>
  </si>
  <si>
    <t>Backups?</t>
  </si>
  <si>
    <t>Is your cyber security control set:</t>
  </si>
  <si>
    <t>Based on a formal cyber security framework, such as the SANS top 20 cyber security controls or the CESG 10 Steps to Cyber Security or PAS 55?</t>
  </si>
  <si>
    <t>Signed-off by senior management?</t>
  </si>
  <si>
    <t>Kept-up-to date?</t>
  </si>
  <si>
    <t>Monitored for effectiveness?</t>
  </si>
  <si>
    <t>Do you provide internet access through a central corporate gateway, rather than locally?</t>
  </si>
  <si>
    <t>Do you deploy technical security monitoring tools?</t>
  </si>
  <si>
    <t>Do your technical security monitoring tools include:</t>
  </si>
  <si>
    <t>Intrusion prevention systems (IPS)?</t>
  </si>
  <si>
    <t>Intrusion detection systems (IDS)?</t>
  </si>
  <si>
    <t>Data loss preventions (DLP) systems?</t>
  </si>
  <si>
    <t>A searchable incident event repository (SIEM)?</t>
  </si>
  <si>
    <t>Commercial APT prevention tools?</t>
  </si>
  <si>
    <t>Is your cyber security control set supplemented by specialised cyber security controls?</t>
  </si>
  <si>
    <t>Do your specialised cyber security controls include:</t>
  </si>
  <si>
    <t>Multi factor authentication - something you know (eg a User ID and password) and something you have (eg an access, bank or smart card)?</t>
  </si>
  <si>
    <t>Digital certificates used to “sign” code from a vendor so that the code can be trusted?</t>
  </si>
  <si>
    <t>Whitelisting (defining all acceptable ports, addresses or similar – and preventing all other access) or blacklisting (preventing access from specific sites, or addresses)?</t>
  </si>
  <si>
    <t>Is your cyber security control set supplemented by advanced cyber security controls?</t>
  </si>
  <si>
    <t>Do your advanced cyber security controls include:</t>
  </si>
  <si>
    <t>Continuous monitoring (eg via a Security Operations centre (SOC)?</t>
  </si>
  <si>
    <t>Proactive APT assessments?</t>
  </si>
  <si>
    <t>Outbound gateway consolidation?</t>
  </si>
  <si>
    <t>System virtualisation?</t>
  </si>
  <si>
    <t>Sensitive network or data segregation?</t>
  </si>
  <si>
    <t>Counterintelligence operations?</t>
  </si>
  <si>
    <t>Does your cyber security control set help you to:</t>
  </si>
  <si>
    <t>Make it more difficult for attackers to be successful?</t>
  </si>
  <si>
    <t>Detect that a cyber security attack is being planned - or is already underway?</t>
  </si>
  <si>
    <t>Maturity assessment</t>
  </si>
  <si>
    <t>Have you created an organisation-specific definition of the term “cyber security incident” so that the scope of the term is clear?</t>
  </si>
  <si>
    <t>Does your definition of the term “cyber security incident” take account of the:</t>
  </si>
  <si>
    <t>Different types of cyber security incident (eg hacking, malware or social engineering)?</t>
  </si>
  <si>
    <t>Sources of cyber security incidents (eg petty criminals, insiders, hacktivists, an organised crime syndicate, extremist group or state-sponsored body)?</t>
  </si>
  <si>
    <t>Basic cyber security incidents (eg minor crime, localised disruption and theft)?</t>
  </si>
  <si>
    <t>Sophisticated cyber security attacks (eg major organised crime, widespread disruption, critical damage to national infrastructure and even warfare)?</t>
  </si>
  <si>
    <t>Difference between a cyber security and a traditional IT or information security incident (if any)?</t>
  </si>
  <si>
    <t>Do you maintain an appropriate cyber security incident response capability?</t>
  </si>
  <si>
    <t>Does your cyber security incident response capability include:</t>
  </si>
  <si>
    <t>Appointing a cyber security incident response team (internal and / or external) and determining what services they should provide?</t>
  </si>
  <si>
    <t>Raising awareness about the need for an effective cyber security response capability?</t>
  </si>
  <si>
    <t>Developing a consistent, repeatable cyber security incident response process or methodology for handling cyber security incidents (or suspected incidents) as they occur, so that the appropriate actions are taken?</t>
  </si>
  <si>
    <t>Making effective use of relevant technologies?</t>
  </si>
  <si>
    <t>Ensuring that cyber security incidents are properly followed up once they have been responded to effectively?</t>
  </si>
  <si>
    <t>Have you obtained senior management commitment for your cyber security incident response capability?</t>
  </si>
  <si>
    <t>Does senior management commitment include:</t>
  </si>
  <si>
    <t>Determining whether to establish a specialised cyber security incident response capability or integrate cyber security incidents into existing incident management systems?</t>
  </si>
  <si>
    <t>Finding appropriate external sources and levels of guidance to help you prepare for a cyber security incident</t>
  </si>
  <si>
    <t>Do you know your state of readiness to be able to respond to a cyber security incident in a fast, effective manner?</t>
  </si>
  <si>
    <t>Do you determine the requirements you have for your cyber security incident response capability?</t>
  </si>
  <si>
    <t>Do you measure the level of maturity of your cyber security incident response capability in terms of:</t>
  </si>
  <si>
    <t>People (eg an incident response team or individual, technical experts, fast access to decision-makers, representation from key suppliers)?</t>
  </si>
  <si>
    <t>Process (eg knowing what to do, how to do it and when to do it – when detecting, containing, eradicating or recovering from a cyber security incident)?</t>
  </si>
  <si>
    <t>Technology (eg knowing their network topology, providing the right event logs)?</t>
  </si>
  <si>
    <t>Information (eg having information close to hand about business operations and priorities; critical assets; and key dependencies, such as on third parties, important locations or where relevant information resides)?</t>
  </si>
  <si>
    <t>Preparedness, response and follow up activities?</t>
  </si>
  <si>
    <t>Ability to adopt a systematic, structured approach to cyber security incident response?</t>
  </si>
  <si>
    <t>Do you compare the maturity of your cyber security incident response capability:</t>
  </si>
  <si>
    <t>To your requirements for such a capability?</t>
  </si>
  <si>
    <t>With similar organisation to help determine if this level of maturity is appropriate for your organisation?</t>
  </si>
  <si>
    <t>Does the make-up of your your cyber security incident response capability take into account what can and cannot be done with the time, resources and money available?</t>
  </si>
  <si>
    <t>Do you continually review the internal capabilities and capacity of your cyber security incident response team?</t>
  </si>
  <si>
    <t>Respond</t>
  </si>
  <si>
    <t>Identification</t>
  </si>
  <si>
    <t>Do you identify suspected cyber security incidents?</t>
  </si>
  <si>
    <t>Do you inform users that they should:</t>
  </si>
  <si>
    <t>Report all suspected cyber security breaches to a central point (eg information failures; loss of services; detection of malicious code; denial of service attacks; errors from incomplete or inaccurate business data)?</t>
  </si>
  <si>
    <t>Note all important details (eg type of breach, messages on screen, and details of unusual occurrences)?</t>
  </si>
  <si>
    <t>Restrain from attempting to take remedial actions themselves?</t>
  </si>
  <si>
    <t>Do you identify cyber security incidents by analysing suspicious events reported by users to the IT help desk (or equivalent)?</t>
  </si>
  <si>
    <t>Is this analysis based on:</t>
  </si>
  <si>
    <t>Comparing characteristics of the suspicious event to known ‘normal’ system and network behaviour?</t>
  </si>
  <si>
    <t>A good working knowledge of what indictors of compromise (IOCs) would look like?</t>
  </si>
  <si>
    <t>To help identify potential cyber security incidents do you monitor information from a variety of sources, including:</t>
  </si>
  <si>
    <t>System logs (eg operating system logs, service and application logs, network device logs and network flows)</t>
  </si>
  <si>
    <t>Alerts generated by technical security software (eg IDS, IPS, DLP, SIEM, antivirus and spam software), file integrity checking software, monitoring services (often provided by a third party)?</t>
  </si>
  <si>
    <t>Data provided by monitoring services or a Security Operations Centre (often provided by third parties)?</t>
  </si>
  <si>
    <t>Publicly available information (eg information on new exploits, information exchange groups, third party organisations, governments)?</t>
  </si>
  <si>
    <t>People from within your organisation?</t>
  </si>
  <si>
    <t>A variety of third parties (eg customers, suppliers, IT providers, ISPs, partners; government bodies)?</t>
  </si>
  <si>
    <t>Anomalies detected by audits, investigations or reviews?</t>
  </si>
  <si>
    <t>Having identified a suspected cyber security incident, do you:</t>
  </si>
  <si>
    <t>Investigate different types of technical information, such as IP addresses?</t>
  </si>
  <si>
    <t>Analyse all available information related to a potential cyber security incident?</t>
  </si>
  <si>
    <t>Determine what has actually happened (eg a DDOS, malware attack, system hack, session hijack or data corruption)?</t>
  </si>
  <si>
    <t>Confirm that they have actually been subject to a cyber security attack or had a cyber-related breach (the unknown element)?</t>
  </si>
  <si>
    <t>When monitoring information from relevant technical sources, such as specialised security software (eg SIEM or IDS) do you:</t>
  </si>
  <si>
    <t>Monitor all relevant events?</t>
  </si>
  <si>
    <t>Carry out monitoring regularly?</t>
  </si>
  <si>
    <t>Carry out monitoring in an appropriate manner, focusing on finding anomalies?</t>
  </si>
  <si>
    <t>Respond to alerts correctly (avoiding the risk of overlooking indicative alerts or over-reacting to benign alerts)?</t>
  </si>
  <si>
    <t>Aggregate what may seem like benign alerts into what is a coherent threat message?</t>
  </si>
  <si>
    <t>Do you take additional steps to identify cyber security incidents by:</t>
  </si>
  <si>
    <t>Providing situational awareness (particularly through cyber intelligence)?</t>
  </si>
  <si>
    <t>Continuously monitoring events that could result in your organisation being affected by a cyber security incident?</t>
  </si>
  <si>
    <t>Evaluating threat analytics (typically based on the threat model of the behaviour of attacks), helping to determine both symptoms and behaviour?</t>
  </si>
  <si>
    <t>Performing specialised analysis of host assets, network data and attack files (eg malware)?</t>
  </si>
  <si>
    <t>Prioritising assets to be investigated?</t>
  </si>
  <si>
    <t>Addressing unusual or novel problems (eg to do with bespoke file types or encryption)?</t>
  </si>
  <si>
    <t>Do you use security analytics?</t>
  </si>
  <si>
    <t>Does your security analytics include:</t>
  </si>
  <si>
    <t>Testing for possible attackers or poor user behaviour (eg users opening ‘honey pot’ attachments, or similar)?</t>
  </si>
  <si>
    <t>Automated analytics platform (more than just a SIEM)?</t>
  </si>
  <si>
    <t>Investigation</t>
  </si>
  <si>
    <t>Understanding</t>
  </si>
  <si>
    <t>Do you take steps to investigate the cyber security incident?</t>
  </si>
  <si>
    <t>Does your investigation of the event include:</t>
  </si>
  <si>
    <t>Establishing the objectives of the investigation?</t>
  </si>
  <si>
    <t>Performing detailed analysis of the cyber security incident?</t>
  </si>
  <si>
    <t>Placing priority on the speed of investigation?</t>
  </si>
  <si>
    <t>Does your analysis of the cyber security incident include:</t>
  </si>
  <si>
    <t>Identifying what systems, networks and information (assets) have been compromised?</t>
  </si>
  <si>
    <t>Determining what information has been disclosed to unauthorised parties, stolen, deleted or corrupted?</t>
  </si>
  <si>
    <t>Working out how it happened (eg how did the attacker gain entry to the system)?</t>
  </si>
  <si>
    <t>Finding out who did it (ie which threat agent or agents)?</t>
  </si>
  <si>
    <t>Determining why they did it, such as financial crime (eg fraud or extortion), theft of intellectual property, personal attack (eg revenge), or disruption to critical services?</t>
  </si>
  <si>
    <t>Estimating the potential business impact of the cyber security incident?</t>
  </si>
  <si>
    <t>Do your investigation determine what:</t>
  </si>
  <si>
    <t>Methodologies the attackers are using?</t>
  </si>
  <si>
    <t>Who their target is for the attack (eg an individual, the whole organisation, your market sector or the government)?</t>
  </si>
  <si>
    <t>Do you have access to cyber threat intelligence?</t>
  </si>
  <si>
    <t>Does your cyber threat intelligence come from a variety of reputable sources, such as government, CERTS, collaborative groups or expert third parties?</t>
  </si>
  <si>
    <t>Does your cyber threat intelligence help you to determine the attacker(s):</t>
  </si>
  <si>
    <t>Capabilities (what can they actually do)?</t>
  </si>
  <si>
    <t>Motives (why are they attacking you)?</t>
  </si>
  <si>
    <t>Likely actions (eg their tactics, techniques and procedures)?</t>
  </si>
  <si>
    <t>Triage</t>
  </si>
  <si>
    <t>Do you perform Triage on the cyber security incident in the early part of an investigation?</t>
  </si>
  <si>
    <t>Do the actions you carry out as part of Triage include:</t>
  </si>
  <si>
    <t>Classifying cyber security incidents (eg critical, significant, normal or negligible impact)?</t>
  </si>
  <si>
    <t>Prioritising these incidents (eg high, medium or low)?</t>
  </si>
  <si>
    <t>Assigning incidents to appropriate personnel in terms of their legitimacy, correctness, constituency origin, severity or impact?</t>
  </si>
  <si>
    <t>First response</t>
  </si>
  <si>
    <t>Do you have one or more named individuals (or a team) who are capable of dealing with the initial stages of cyber incident response (first responders)?</t>
  </si>
  <si>
    <t>Are your first responders able to:</t>
  </si>
  <si>
    <t>Classify and prioritise cyber security incidents?</t>
  </si>
  <si>
    <t>Avoid taking the wrong initial action when a cyber security attack occurs (eg taking systems off the network or cleaning up systems, which could have a detrimental affect like alerting an attacker or destroying vital evidence)?</t>
  </si>
  <si>
    <t>Identify quickly when the scope and severity is beyond local or in-house skills?</t>
  </si>
  <si>
    <t>Have arrangements to have been made in advance so that expert investigators:</t>
  </si>
  <si>
    <t>Are available at short notice?</t>
  </si>
  <si>
    <t>Have enough prior information to be able to hit the ground running?</t>
  </si>
  <si>
    <t>Are you able to quickly contact third parties that you may wish to get involved, such as technology forensics specialists, technology analysts (for example, database experts), information analysts (for example, accountants), legal experts and on-site police support?</t>
  </si>
  <si>
    <t>Do you have a crisis management team (or equivalent) to support serious cyber security incidents?</t>
  </si>
  <si>
    <t>Are you able to manage the cyber security incident:</t>
  </si>
  <si>
    <t>Via one central point of contact?</t>
  </si>
  <si>
    <t>From one central location?</t>
  </si>
  <si>
    <t>In a specialised incident response location, such as a ‘war room’, if required?</t>
  </si>
  <si>
    <t>Initial analysis</t>
  </si>
  <si>
    <t>Do you perform initial analysis to determine the precise nature of the incident?</t>
  </si>
  <si>
    <t>Are your cyber security incident investigations:</t>
  </si>
  <si>
    <t>Evidence-driven, based on information gathered from corporate infrastructure or applications (typically event logs)?</t>
  </si>
  <si>
    <t>Intelligence driven, based on information gathered from: government agencies (eg CPNI), monitoring of internal resources, open source information or data provided internally?</t>
  </si>
  <si>
    <t>Do your cyber security incident investigations include:</t>
  </si>
  <si>
    <t>Considering all relevant event logs (eg logs generated by firewalls, web servers, traditional servers / workstations, business applications, email history and archives, network data, internet usage and building access)?</t>
  </si>
  <si>
    <t>Examining important alerts or suspicious events in logs or technical security monitoring systems (eg IDS, IPS, DLP or SIEM)?</t>
  </si>
  <si>
    <t>Correlating them with network data (including data from cloud service providers)?</t>
  </si>
  <si>
    <t>Comparing these pieces of information against threat intelligence?</t>
  </si>
  <si>
    <t>Do you thoroughly investigate each possible trigger event including:</t>
  </si>
  <si>
    <t>Date/time?</t>
  </si>
  <si>
    <t>Internet protocol (IP) address (internal or external)?</t>
  </si>
  <si>
    <t>Port (source or destination), domain and file (eg exe, .dll)?</t>
  </si>
  <si>
    <t>System (hardware vendor, operating system, applications, purpose, location)?</t>
  </si>
  <si>
    <t>Do you retain relevant logs:</t>
  </si>
  <si>
    <t>For as long as possible?</t>
  </si>
  <si>
    <t>As part of an approved log retention policy?</t>
  </si>
  <si>
    <t>Collaboration</t>
  </si>
  <si>
    <t>Do you analyse the possible systemic nature of the attack?</t>
  </si>
  <si>
    <t>Does this analysis include:</t>
  </si>
  <si>
    <t>Tying disparate events together into a coherent picture?</t>
  </si>
  <si>
    <t>Linking events to possible related events in other organisations with which you are associated (eg other Banks if you are in the Banking sector)?</t>
  </si>
  <si>
    <t>Action</t>
  </si>
  <si>
    <t>Containment</t>
  </si>
  <si>
    <t>Do you take steps to contain the damage being done by the cyber security incident?</t>
  </si>
  <si>
    <t>Does the objective of containment include:</t>
  </si>
  <si>
    <t>Making best efforts to return to functionality as normal?</t>
  </si>
  <si>
    <t>Returning to business as usual?</t>
  </si>
  <si>
    <t>Continuing to analyse the incident?</t>
  </si>
  <si>
    <t>Planning longer term remediation?</t>
  </si>
  <si>
    <t>Does containment include stopping it from spreading to other:</t>
  </si>
  <si>
    <t>Networks within your organisation?</t>
  </si>
  <si>
    <t>Networks beyond your organisation?</t>
  </si>
  <si>
    <t>Devices within your organisation?</t>
  </si>
  <si>
    <t>Devices beyond your organisation?</t>
  </si>
  <si>
    <t>Does containment include a number of concurrent actions aimed at reducing the immediate impact of the cyber security incident?</t>
  </si>
  <si>
    <t>Does containment include removing the attacker’s access to your systems?</t>
  </si>
  <si>
    <t>Do your methods of containment include:</t>
  </si>
  <si>
    <t>Blocking (and logging) of unauthorised access?</t>
  </si>
  <si>
    <t>Blocking malware sources (eg email addresses and websites)?</t>
  </si>
  <si>
    <t>Closing particular ports and mail servers?</t>
  </si>
  <si>
    <t>Firewall filtering?</t>
  </si>
  <si>
    <t>Relocating website home pages?</t>
  </si>
  <si>
    <t>Isolating systems?</t>
  </si>
  <si>
    <t>Taking back-ups?</t>
  </si>
  <si>
    <t>Do you have separate containment strategies for different types of:</t>
  </si>
  <si>
    <t>Cyber security attack?</t>
  </si>
  <si>
    <t>Sources of attack (the attack agent)?</t>
  </si>
  <si>
    <t>Do your containment strategies include clearly documented criteria to facilitate decision-making?</t>
  </si>
  <si>
    <t>Do your containment strategies include evaluating the:</t>
  </si>
  <si>
    <t>Potential damage to and theft of resources?</t>
  </si>
  <si>
    <t>Need for evidence preservation?</t>
  </si>
  <si>
    <t>Service availability (eg network connectivity, services provided to external parties)?</t>
  </si>
  <si>
    <t>Time and resources needed to implement the strategy?</t>
  </si>
  <si>
    <t>Effectiveness of the strategy (eg partial containment, full containment)?</t>
  </si>
  <si>
    <t>Duration of the solution (eg emergency workaround to be removed in four hours, temporary workaround to be removed in two weeks, permanent solution)?</t>
  </si>
  <si>
    <t>Does your approach to containing cyber security incidents include:</t>
  </si>
  <si>
    <t>Identifying immediate actions to be performed (eg based on high risk assets, time dependant issues, business / commercial decisions)?</t>
  </si>
  <si>
    <t>Ensuring that actions can be performed safely (eg by avoiding actions that can hamper response strategies, such as ‘seize and replace’)?</t>
  </si>
  <si>
    <t>Minimising the risk that an attacker will respond/escalate?</t>
  </si>
  <si>
    <t>Determining whether findings identified during the investigation are critical?</t>
  </si>
  <si>
    <t>Reacting to critical findings during the investigation?</t>
  </si>
  <si>
    <t>Does your approach to containing cyber security incidents include analysing:</t>
  </si>
  <si>
    <t>Events in relation to the ‘attacker kill chain’ (ie reconnaissance, weaponize, deliver, exploit, install, command &amp; control and act on objectives)?</t>
  </si>
  <si>
    <t>Eradication</t>
  </si>
  <si>
    <t>Do you take steps to eliminate the cause of the cyber security incident (eradication)?</t>
  </si>
  <si>
    <t>Does eradication include (where necessary):</t>
  </si>
  <si>
    <t>Removing the attack from the network?</t>
  </si>
  <si>
    <t>Deleting malware?</t>
  </si>
  <si>
    <t>Disabling breached user accounts?</t>
  </si>
  <si>
    <t>Identifying vulnerabilities that were exploited?</t>
  </si>
  <si>
    <t>Mitigating vulnerabilities that were exploited?</t>
  </si>
  <si>
    <t>Does the eradication process include:</t>
  </si>
  <si>
    <t>Identifying all affected hosts within your organisation, so that they can be remediated?</t>
  </si>
  <si>
    <t>Identifying all affected hosts beyond your organisation, so that they can be remediated?</t>
  </si>
  <si>
    <t>Carrying out malware analysis?</t>
  </si>
  <si>
    <t>Checking for any response from the attacker to your actions?</t>
  </si>
  <si>
    <t>Developing a response (preferably in advance) if the attacker uses a different method of attack?</t>
  </si>
  <si>
    <t>Allowing sufficient time to ensure that the network is secure and that there is no response from the attacker?</t>
  </si>
  <si>
    <t>Do you produce an eradication plan?</t>
  </si>
  <si>
    <t>Is the eradication plan executed with speed and precision?</t>
  </si>
  <si>
    <t>Does the eradication plan enable actions to be taken to prevent attackers:</t>
  </si>
  <si>
    <t>Sensing they have been discovered once eradication is underway?</t>
  </si>
  <si>
    <t>Re-establishing a base and entrenching themselves into the network again?</t>
  </si>
  <si>
    <t>Continuing the attack during eradication?</t>
  </si>
  <si>
    <t>Avoiding identification during eradication?</t>
  </si>
  <si>
    <t>Evidence</t>
  </si>
  <si>
    <t>Do you take steps to preserve evidence when dealing with the cyber security?</t>
  </si>
  <si>
    <t>Do you have a formal process for handling evidence when dealing with the cyber security?</t>
  </si>
  <si>
    <t>Does your process for handling evidence include:</t>
  </si>
  <si>
    <t>Allowing for admissibility of evidence (whether or not the evidence can be used in court)?</t>
  </si>
  <si>
    <t>Allowing for weight of evidence (the quality and completeness of evidence)?</t>
  </si>
  <si>
    <t>Adherence to an approved set of guidelines, such as the Association of Chief Police Officers (ACPO) Guidelines on Computer Evidence (ACPO)?</t>
  </si>
  <si>
    <t>Complying with relevant laws?</t>
  </si>
  <si>
    <t>Does your process for handling evidence explicitly include complying with the:</t>
  </si>
  <si>
    <t>Police and Criminal evidence act 1984 (PACE)?</t>
  </si>
  <si>
    <t>Data Protection Act 1988?</t>
  </si>
  <si>
    <t>Computer Misuse Act 1990?</t>
  </si>
  <si>
    <t>Regulation of Investigatory Powers 2000 (RIPA)?</t>
  </si>
  <si>
    <t>When handling evidence do you maintain a chain of evidence for:</t>
  </si>
  <si>
    <t>Paper-based information?</t>
  </si>
  <si>
    <t>Electronic information?</t>
  </si>
  <si>
    <t>Do you keep a detailed written log of every action taken during the investigation?</t>
  </si>
  <si>
    <t>Does this action log include:</t>
  </si>
  <si>
    <t>Identifying information (eg the location, serial number, model number, hostname, media access control (MAC) addresses, and IP addresses of a computer)?</t>
  </si>
  <si>
    <t>Showing who did what, where, when, how and to what?</t>
  </si>
  <si>
    <t>Identifying where, when and how certain actions were taken by the perpetrators, such as command and control; exfiltration?</t>
  </si>
  <si>
    <t>Name, title, and phone number of each individual who collected or handled the evidence during the investigation?</t>
  </si>
  <si>
    <t>Time and date (including time zone) of each occurrence of evidence handling?</t>
  </si>
  <si>
    <t>Locations where the evidence was stored?</t>
  </si>
  <si>
    <t>Does the content of the action log enable:</t>
  </si>
  <si>
    <t>Clear and precise evidence to be referred to at a later date?</t>
  </si>
  <si>
    <t>The sequence of events and actions taken to be repeated by opposition experts, if required?</t>
  </si>
  <si>
    <t>When gathering data for a potential prosecution, do you ensure that:</t>
  </si>
  <si>
    <t>Any systems under investigation are not turned off until an expert decision on the risk of doing so has been made?</t>
  </si>
  <si>
    <t>Analysis is not performed on a live system under investigation before a forensically safe image has been taken?</t>
  </si>
  <si>
    <t>When supporting forensic work, do you ensure that:</t>
  </si>
  <si>
    <t>Forensic work is only being performed on copies of the evidential material (eg using imaging technology)?</t>
  </si>
  <si>
    <t>The integrity of all evidential material is protected?</t>
  </si>
  <si>
    <t>Recovery</t>
  </si>
  <si>
    <t>Objectives</t>
  </si>
  <si>
    <t>Do you take steps to recover from a cyber security incident quickly and effectively?</t>
  </si>
  <si>
    <t>Do your objectives for recovering from a cyber security incident cover immediate business requirements, including:</t>
  </si>
  <si>
    <t>Restoring systems to normal operation as soon as possible?</t>
  </si>
  <si>
    <t>Confirming that the systems are functioning normally?</t>
  </si>
  <si>
    <t>Restricting the amount of financial loss?</t>
  </si>
  <si>
    <t>Protecting the reputation of your organisation?</t>
  </si>
  <si>
    <t>Protecting confidential information?</t>
  </si>
  <si>
    <t>Complying with legal and regulatory requirements (eg PCI / DSS, NERC, ISO 27001, HIPAA or FISMA)?</t>
  </si>
  <si>
    <t>Limiting liabilities if things go wrong - or if there is a court case (ie take ‘reasonable’ precautions)?</t>
  </si>
  <si>
    <t>Providing assurance to third parties that everything is under control?</t>
  </si>
  <si>
    <t>Do your objectives for recovering from a cyber security incident cover wider implications for reducing the likelihood of future attacks, including:</t>
  </si>
  <si>
    <t>Remediating vulnerabilities to prevent similar incidents occurring?</t>
  </si>
  <si>
    <t>Addressing similar weaknesses in your cyber security controls enterprise-wide and beyond?</t>
  </si>
  <si>
    <t>Reducing the frequency and impact of future security incidents?</t>
  </si>
  <si>
    <t>Proactively responding to the attack (eg by closing channels or 'attacking the attacker')?</t>
  </si>
  <si>
    <t>Closing down any criminal operation?</t>
  </si>
  <si>
    <t>Punishing offenders (eg prosecuting criminals, exposing national saboteurs and disciplining insiders?</t>
  </si>
  <si>
    <t>Recovery Plan</t>
  </si>
  <si>
    <t>Do you have a formal recovery plan for recovering from a cyber security incident?</t>
  </si>
  <si>
    <t>Does your recovery plan enable you to recover from a cyber security incident:</t>
  </si>
  <si>
    <t>Does your recovery plan cover basic recovery techniques including:</t>
  </si>
  <si>
    <t>Rebuilding infected systems (often from known ‘clean’ sources)</t>
  </si>
  <si>
    <t>Reconnecting networks</t>
  </si>
  <si>
    <t>Restoring, recreating or correcting information?</t>
  </si>
  <si>
    <t>Documenting changes made to the infrastructure?</t>
  </si>
  <si>
    <t>Dealing with parts of your systems or networks that cannot be recovered?</t>
  </si>
  <si>
    <t>Does your recovery plan cover additional recovery techniques including:</t>
  </si>
  <si>
    <t>Replacing compromised files with clean versions?</t>
  </si>
  <si>
    <t>Removing temporary constraints imposed during the containment period?</t>
  </si>
  <si>
    <t>Resetting passwords on compromised accounts?</t>
  </si>
  <si>
    <t>Installing patches, changing passwords and tightening network perimeter security, such as firewall rulesets?</t>
  </si>
  <si>
    <t>Testing systems thoroughly – including security controls?</t>
  </si>
  <si>
    <t>Confirming the integrity of business systems and controls?</t>
  </si>
  <si>
    <t>Announcing the resumption of business services to all relevant stakeholders?</t>
  </si>
  <si>
    <t>Is your recovery plan:</t>
  </si>
  <si>
    <t>Linked to the nature of the attack</t>
  </si>
  <si>
    <t>Based on a risk-based approach to recovery?</t>
  </si>
  <si>
    <t>Designed to prevent exacerbating current risks caused by the incident or introducing new risks?</t>
  </si>
  <si>
    <t>Validation</t>
  </si>
  <si>
    <t>Do you validate that systems are operating normally again by:</t>
  </si>
  <si>
    <t>Carrying out an independent penetration test of the affected systems?</t>
  </si>
  <si>
    <t>Undertaking a security controls assessment?</t>
  </si>
  <si>
    <t>To help detect further attacks (or attempted attacks) do you:</t>
  </si>
  <si>
    <t>Retain cyber security threat intelligence (including network situational awareness)?</t>
  </si>
  <si>
    <t>Monitor the network over an extended time?</t>
  </si>
  <si>
    <t>Once systems have been recovered and controls have been tested do you:</t>
  </si>
  <si>
    <t>Provided stakeholders with a brief summary of what took place?</t>
  </si>
  <si>
    <t>Brief stakeholders within a day or so of the event?</t>
  </si>
  <si>
    <t>Follow up</t>
  </si>
  <si>
    <t>Incident investigation</t>
  </si>
  <si>
    <t>Do you investigate cyber security incidents more thoroughly after they have been resolved?</t>
  </si>
  <si>
    <t>Is your investigation carried out in a structured, systematic manner?</t>
  </si>
  <si>
    <t>Do you perform problem cause analysis for cyber security incidents?</t>
  </si>
  <si>
    <t>Does your problem cause analysis include using appropriate investigative techniques, such as:</t>
  </si>
  <si>
    <t>Do you carry out root cause identification for cyber security incidents?</t>
  </si>
  <si>
    <t>Does your root cause identification include using appropriate investigative techniques, such as:</t>
  </si>
  <si>
    <t>Does your root cause identification help to identify previously unknown sources of cyber security incidents?</t>
  </si>
  <si>
    <t>Do you quantify the business impact of cyber security incidents (eg in terms of financial, reputational, management or compliance impact)?</t>
  </si>
  <si>
    <t>Do you carry out sufficient investigation to identify the perpetrators(s) of the cyber security incident, which may involve specialist support, such as from forensic investigators?</t>
  </si>
  <si>
    <t>Does your investigation cover events in relation to the ‘attacker kill chain’ (ie reconnaissance, weaponize, deliver, exploit, install, command &amp; control and act on objectives)?</t>
  </si>
  <si>
    <t>Does your investigation link to wider problem management activities, such as those used in service management (eg ITIL approach)?</t>
  </si>
  <si>
    <t>Reporting</t>
  </si>
  <si>
    <t>Are cyber security incidents reported to relevant internal stakeholders (eg information security, corporate IT departments and business units)?</t>
  </si>
  <si>
    <t>Are you aware of:</t>
  </si>
  <si>
    <t>Your regulatory and legal reporting requirements (eg mandatory reporting to particular authorities)?</t>
  </si>
  <si>
    <t>What types of cyber security incident need to be reported?</t>
  </si>
  <si>
    <t>To which external body each type of cyber security incidents need to be reported?</t>
  </si>
  <si>
    <t>The format in which cyber security incidents need to be reported?</t>
  </si>
  <si>
    <t>The objectives of reporting cyber security incidents?</t>
  </si>
  <si>
    <t>Do you report targeted cyber security incidents, to required authorities, such as GovCertUK (the Government’s Computer Emergency Response Team)?</t>
  </si>
  <si>
    <t>Do you notify required authorities, such as GovCertUK (the Government’s Computer Emergency Response Team) of any other (non-targeted) cyber security incidents?</t>
  </si>
  <si>
    <t>When reporting cyber security incidents, do you provide:</t>
  </si>
  <si>
    <t>A full description of the nature of the incident, its history, and what actions were taken to recover?</t>
  </si>
  <si>
    <t>A realistic estimate of the financial cost of the incident, as well as other impacts on the business, such as in terms of damage to reputation, loss of management control or impaired growth?</t>
  </si>
  <si>
    <t>Recommendations regarding enhanced or additional controls required to prevent, detect, remediate or recover from cyber security incidents more effectively?</t>
  </si>
  <si>
    <t>Do you voluntarily report cyber security incidents to important stakeholders, such as law enforcement agencies, specialised bodies (eg NIST, ENISA or CREST), regulatory bodies with particular market sectors (eg the FSA or Bank of England in Finance) or collaborative groups?</t>
  </si>
  <si>
    <t>Do you provide recommendations to external bodies regarding enhanced or additional controls required to prevent, detect, remediate or recover from cyber security incidents more effectively?</t>
  </si>
  <si>
    <t>Post incident review</t>
  </si>
  <si>
    <t>Do you carry out post incident reviews for particular cyber security incidents?</t>
  </si>
  <si>
    <t>Is your post incident review process formalised (eg documented and approved)?</t>
  </si>
  <si>
    <t>Do your post incident reviews include analysing the incident management process to determine:</t>
  </si>
  <si>
    <t>How quickly actions were taken to identify, respond to and recover from the incident?</t>
  </si>
  <si>
    <t>How long attackers were in systems before detection?</t>
  </si>
  <si>
    <t>What actions attackers took and planned to take</t>
  </si>
  <si>
    <t>The level of protection maintained over critical systems and confidential information during the incident?</t>
  </si>
  <si>
    <t>How well staff and management performed in dealing with the incident?</t>
  </si>
  <si>
    <t>If all key discussions and decisions conducted during the eradication event were well documented?</t>
  </si>
  <si>
    <t>The effectiveness of procedures?</t>
  </si>
  <si>
    <t>If any steps or actions taken might have inhibited the recovery?</t>
  </si>
  <si>
    <t>i</t>
  </si>
  <si>
    <t>If any unforeseen events could have been prevented?</t>
  </si>
  <si>
    <t>Do your post incident reviews include informing possible future actions by evaluating:</t>
  </si>
  <si>
    <t>What the staff and management can do differently the next time a similar cyber security incident occurs?</t>
  </si>
  <si>
    <t>How information sharing with other organisations can be improved?</t>
  </si>
  <si>
    <t>What corrective actions can prevent similar incidents in the future?</t>
  </si>
  <si>
    <t>Any precursors or indicators that should be watched for in the future to detect similar incidents?</t>
  </si>
  <si>
    <t>How results can be fed back into your risk assessment methodology?</t>
  </si>
  <si>
    <t>Is a report produced from your post incident review?</t>
  </si>
  <si>
    <t>Are the results of your post implementation review report presented to all relevant stakeholders?</t>
  </si>
  <si>
    <t>Is your post incident review process evaluated on a regular basis to identify any improvements that can be made to it)?</t>
  </si>
  <si>
    <t>Lessons learned</t>
  </si>
  <si>
    <t>Do you identify lessons learned from cyber security incidents?</t>
  </si>
  <si>
    <t>Are lessons learned:</t>
  </si>
  <si>
    <t>Formally documented?</t>
  </si>
  <si>
    <t>Communicated to relevant stakeholders?</t>
  </si>
  <si>
    <t>Built upon in the form of tangible actions?</t>
  </si>
  <si>
    <t>Used to share both key issues and good practice across all areas of the business, not just within IT and cyber security teams?</t>
  </si>
  <si>
    <t>Is communication to stakeholders about lessons learned:</t>
  </si>
  <si>
    <t>Clear and concise?</t>
  </si>
  <si>
    <t>Focused on problem resolution and control improvement?</t>
  </si>
  <si>
    <t>Is communication to stakeholders about lessons learned used to:</t>
  </si>
  <si>
    <t>Help identify any gaps that remain and proposed efforts to mitigate them?</t>
  </si>
  <si>
    <t>Inform strategic security goals?</t>
  </si>
  <si>
    <t>Are formal actions plans developed to help build on lessons learned?</t>
  </si>
  <si>
    <t>Do actions plans:</t>
  </si>
  <si>
    <t>Consider whether technical capability gaps contributed to the attacker’s success or whether people or process gaps were the main culprit?</t>
  </si>
  <si>
    <t>Leverage lessons learned from the incident to become more resilient in the face of future cyber security attacks?</t>
  </si>
  <si>
    <t>Do actions plans include projects or initiatives, technical and nontechnical that will help:</t>
  </si>
  <si>
    <t>Reduce an attacker’s chance of success?</t>
  </si>
  <si>
    <t>Respond to an attacker’s activities more rapidly and effectively?</t>
  </si>
  <si>
    <t>Is each action:</t>
  </si>
  <si>
    <t>Assigned to a named individual?</t>
  </si>
  <si>
    <t>Given a suitable priority?</t>
  </si>
  <si>
    <t>Allocated a completion date?</t>
  </si>
  <si>
    <t>Monitored to ensure that it is being completed in a timely and effective manner?</t>
  </si>
  <si>
    <t>Updating</t>
  </si>
  <si>
    <t>Following a cyber security incident, do you carry out any updates (eg to your cyber security incident response approaches, controls and related documents)?</t>
  </si>
  <si>
    <t>Following a cyber security incident, do you update your:</t>
  </si>
  <si>
    <t>Cyber security incident management methodologies or processes?</t>
  </si>
  <si>
    <t>Cyber security incident response plan?</t>
  </si>
  <si>
    <t>Management controls (eg training and awareness)</t>
  </si>
  <si>
    <t>Technical controls (eg patching, configuring system logs, and use of intrusion prevention / detection tools)</t>
  </si>
  <si>
    <t>Roles and responsibilities for handling incidents?</t>
  </si>
  <si>
    <t>When updating controls, do you consider the attack vectors causing most concern, which often include:</t>
  </si>
  <si>
    <t>When updating controls, do you:</t>
  </si>
  <si>
    <t>Consider their effectiveness in relation to events in the ‘attacker kill chain’ (ie reconnaissance, weaponize, deliver, exploit, install, command &amp; control and act on objectives)?</t>
  </si>
  <si>
    <t>Review implications for tactical and short term security projects?</t>
  </si>
  <si>
    <t>Following a cyber security incident, do you feed the results of incident analysis back into your:</t>
  </si>
  <si>
    <t>Risk assessment methodologies?</t>
  </si>
  <si>
    <t>Cyber security threat analysis?</t>
  </si>
  <si>
    <t>Business continuity or crisis management arrangements?</t>
  </si>
  <si>
    <t>Contractual arrangements with third party suppliers?</t>
  </si>
  <si>
    <t>Business intelligence initiatives?</t>
  </si>
  <si>
    <t>Are updates carried out:</t>
  </si>
  <si>
    <t>Using a structured, systematic process?</t>
  </si>
  <si>
    <t>In accordance with formally approved documentation?</t>
  </si>
  <si>
    <t>Following a cyber security incident, do you review your state of readiness for handling a cyber security incident?</t>
  </si>
  <si>
    <t>Trend analysis</t>
  </si>
  <si>
    <t>Do you maintain a central register of all cyber security incidents?</t>
  </si>
  <si>
    <t>Does this register link with the risk registers used to record cyber risks?</t>
  </si>
  <si>
    <t>Do you analyse relevant cyber security incident data regularly (trend analysis) to help:</t>
  </si>
  <si>
    <t>Evaluate patterns and trends of cyber security incidents?</t>
  </si>
  <si>
    <t>Identify common factors that have influenced cyber security incidents?</t>
  </si>
  <si>
    <t>Determine the effectiveness of controls (eg which controls are better at preventing, detecting and delaying cyber security incidents or minimising their business impact)?</t>
  </si>
  <si>
    <t>Address attribution (eg their ability to bundle data together to produce meaningful conclusions)</t>
  </si>
  <si>
    <t>Understand the costs and impacts associated with cyber security incidents?</t>
  </si>
  <si>
    <t>Does your analysis of cyber security incident data include:</t>
  </si>
  <si>
    <t>Searching your archived data, as required?</t>
  </si>
  <si>
    <t>Protecting your archived data, as it is often sensitive?</t>
  </si>
  <si>
    <t>Does your trend analysis:</t>
  </si>
  <si>
    <t>Cover all types of technology, rather than just particular types or suppliers (ie it is technology agnostic)?</t>
  </si>
  <si>
    <t>Evaluate the mean time of cyber security incident investigations (ie how long each investigation took to identify, respond to and recover from incidents)</t>
  </si>
  <si>
    <t>Does your trend analysis include:</t>
  </si>
  <si>
    <t>Looking for flaws across the entire organisation or over time, rather than just concentrating on what can be perceived as a single event?</t>
  </si>
  <si>
    <t>Sharing information about your cyber security incidents with the wider community (eg in your markets sector, membership bodies, government and law enforcement)?</t>
  </si>
  <si>
    <t>Do your objectives for sharing information include:</t>
  </si>
  <si>
    <t>Gaining advice on reducing vulnerabilities in your organisation?</t>
  </si>
  <si>
    <t>Learning how to configure systems to reduce the potential attack surface?</t>
  </si>
  <si>
    <t>Getting hold of tools and services to help you fix problems?</t>
  </si>
  <si>
    <t>Do these activities include:</t>
  </si>
  <si>
    <t>Taking part in external events, such as by attending conferences, enrolling in training programmes and subscribing to specialised services?</t>
  </si>
  <si>
    <t>Collaborating with relevant third parties, such as participating in information exchanges, contributing to scenario-based rehearsals and introducing two-way cyber security alert mechanisms?</t>
  </si>
  <si>
    <t>Making use of the UK Government’s certified Cyber Incident Response (CIR) services?</t>
  </si>
  <si>
    <t>Maturity model for Phase 1 - Identify</t>
  </si>
  <si>
    <t>Response</t>
  </si>
  <si>
    <t>Score</t>
  </si>
  <si>
    <t>Comments</t>
  </si>
  <si>
    <t xml:space="preserve">Category: </t>
  </si>
  <si>
    <t>Assets Management</t>
  </si>
  <si>
    <t>Are the assets that directly support the critical service inventoried ?</t>
  </si>
  <si>
    <t>Not Implementented</t>
  </si>
  <si>
    <t>Are both owners and custodians of assets documented in asset description?</t>
  </si>
  <si>
    <t>Requirement Gathering</t>
  </si>
  <si>
    <t>Are all the services which covers all the resources are prioritized from classification and their business values?</t>
  </si>
  <si>
    <t>Intial Implementation Phase</t>
  </si>
  <si>
    <t>Is there any asset description update when some sort of change has been occurred within the asset?</t>
  </si>
  <si>
    <t>Are organizational communications and data flows mapped and documented in the asset inventory?</t>
  </si>
  <si>
    <t>Not Implemented</t>
  </si>
  <si>
    <t>Are the physical locations of assets (both within and outside the organization) documented in the asset inventory?</t>
  </si>
  <si>
    <t>Vulnerability Management</t>
  </si>
  <si>
    <t>Is there any technique employed to discover what’s in the network or what services are offered by the network?</t>
  </si>
  <si>
    <t>Is there a standard set of tools or methods in use to identify and monitor vulnerabilities in assets?</t>
  </si>
  <si>
    <t xml:space="preserve">Is a repository used for recording information about vulnerabilities and their resolution? </t>
  </si>
  <si>
    <t xml:space="preserve"> Is there a standard set of tools and/or methods in use to monitor assets for unauthorized personnel, connections, devices, and software?</t>
  </si>
  <si>
    <t>In Testing Phase</t>
  </si>
  <si>
    <t xml:space="preserve"> Has a vulnerability analysis and resolution strategy been developed?</t>
  </si>
  <si>
    <t>Have stakeholders for vulnerability management activities been identified and made aware of their roles?</t>
  </si>
  <si>
    <t>Total</t>
  </si>
  <si>
    <t>total</t>
  </si>
  <si>
    <t>Maturity model for Phase 2 - Detect</t>
  </si>
  <si>
    <t>Category</t>
  </si>
  <si>
    <t>Critically Assessment</t>
  </si>
  <si>
    <t>Is Security Content Automation Protocol (SCAP) vulnerability compliant detecting tool implemented in the organization?</t>
  </si>
  <si>
    <t>Is Active Discovery Tool has been implemented to identify all transmissions done on the secured information?</t>
  </si>
  <si>
    <t>Is File Integrity Monitoring (Log Management System) or SIEM (Security Information and Event Monitoring) has been configured?</t>
  </si>
  <si>
    <t>Inital Development Phase</t>
  </si>
  <si>
    <t>Does the Organization use any automated tools to maintain an Inventory for administrative accounts?</t>
  </si>
  <si>
    <t>Is NetFlow Collection (Network Device Management System) is currently running in the organization?</t>
  </si>
  <si>
    <t>Testing Phase</t>
  </si>
  <si>
    <t>Are the log records being reviewed regularly in order to identify the malicious activities?</t>
  </si>
  <si>
    <t>Are all the URL requests from all users irrespective of their locations being logged in order to analyze and identify potential malicious activities?</t>
  </si>
  <si>
    <t>All the devices should automatically conduct anti malware scan when a removable media is connected. Is this implemented in your company?</t>
  </si>
  <si>
    <t>There should be a centralized logging server setup which receives the event logs from all the logging enabled technologies and services implemented on the network. Do you have it setup?</t>
  </si>
  <si>
    <t>The configuration of the network devices should match with the approved configuration and the network devices should only perform security approved functions. An alert should be created if any changes are discovered. Is this being implemented?</t>
  </si>
  <si>
    <t>The query logging for DNS (Domain Name System) should be enabled in order to detect the hostname lookups related to known domains which are identified as malicious. Has this been implemented for you company?</t>
  </si>
  <si>
    <t>Regular scan for detecting the unauthorized connections across trusted network boundaries should be performed. Has this been implemented?</t>
  </si>
  <si>
    <t>_x000D_
A monitoring system should be established at each network boundary to monitor and record the information packets passing through. Is this implemented?</t>
  </si>
  <si>
    <t>The network-based IDS sensors should be deployed at each network boundary to detect the malicious activities and the system at these boundaries that have been compromised. Has this been implemented?</t>
  </si>
  <si>
    <t>At the boundary proxies, all network traffic that is encrypted should be decrypted before analysis. Has this been implemented?</t>
  </si>
  <si>
    <t>Unauthorized use of encryption should not take place in outbound data transfer. Is there any system established to monitor this and alert the analysts whenever detected?</t>
  </si>
  <si>
    <t>Are the hardware devices and systems of organization is properly configured/ updated with anti-malware scan?</t>
  </si>
  <si>
    <t>what are the physical threats to organization? If there is lack of continuously monitoring of Assests?</t>
  </si>
  <si>
    <t xml:space="preserve">Does all the devices are regularly scanned by a port scanner to alert? if unauthorized ports are detected on a system? </t>
  </si>
  <si>
    <t xml:space="preserve">Does all devices are enabled with command-line audit logging for command shells, such as Python or Windows PowerShell with enhanced logging enabled? </t>
  </si>
  <si>
    <t xml:space="preserve">Do the network devices utilize at least three synchronized time sources to retrieve time information on a regular basis so that timestamps in logs are consistent? </t>
  </si>
  <si>
    <t xml:space="preserve">How Security Threat detection and discover hidden information from log messages with SIEM? </t>
  </si>
  <si>
    <t xml:space="preserve">is the organizational Event detection information is communicated? </t>
  </si>
  <si>
    <t xml:space="preserve">Ensure that appropriate logs are being aggregated to a central log management system for analysis and review? </t>
  </si>
  <si>
    <t xml:space="preserve">organizational Public or Private IP’s Asset Protection? </t>
  </si>
  <si>
    <t xml:space="preserve">Is the Detection processes are tested? /Cyber security assessment updated? </t>
  </si>
  <si>
    <t>Does the organization have Automated Monitoring Tool to detect the unauthorized access to sensitive information?*</t>
  </si>
  <si>
    <t>Maturity model for Phase 3 - Protect</t>
  </si>
  <si>
    <t>Does the organization has a centralized repository to keep all the user identity information ?*</t>
  </si>
  <si>
    <t>Does the organization have any access restrictions for the employees who access and manage the data and assets of the company ?*</t>
  </si>
  <si>
    <t>What level of authentication is used to verify the users and devices connected to the organization ?*</t>
  </si>
  <si>
    <t>DO you use any encryption/decryption techniques for identity and credential verification ?*</t>
  </si>
  <si>
    <t>Intial Implmentation Phase</t>
  </si>
  <si>
    <t>.Is the user made aware of the use of his encryption key and on security issues when shared with others ?*</t>
  </si>
  <si>
    <t>Did your organization implement any policies for remote access of the company’s data and information ?*</t>
  </si>
  <si>
    <t>In Development Phase</t>
  </si>
  <si>
    <t>Does the organization keeps track of user, device logins and is the user made aware of this ?*</t>
  </si>
  <si>
    <t>Is the access mechanism associated with the privileges that employees are given ?*</t>
  </si>
  <si>
    <t>Is every user given a unique identification number to solve conflicting names problem ?*</t>
  </si>
  <si>
    <t xml:space="preserve"> Are the employees given enough training before actually entering the designated job ?*</t>
  </si>
  <si>
    <t>Is there any evaluation done for assigning of the privileges of employees ? *</t>
  </si>
  <si>
    <t xml:space="preserve"> Are the employees well aware of the privileges they are given and what measures are taken when they exploit their privileges ? *</t>
  </si>
  <si>
    <t>Do the third-party stakeholders have the privilege to access and modify the internal data or information of the company ?*</t>
  </si>
  <si>
    <t>To what extent does the cybersecurity personnel acknowledge the data integrity policies of the organization ?*</t>
  </si>
  <si>
    <t>Do you collect/process personal data of your customers, employees or any other third party?*</t>
  </si>
  <si>
    <t>Do you have a Policy on data protection in your organisation?*</t>
  </si>
  <si>
    <t>Do security controls or procedures include measures to facilitate the use of encryption?*</t>
  </si>
  <si>
    <t>Does your organization use any kind of backup solutions?</t>
  </si>
  <si>
    <t>Fully Implemented</t>
  </si>
  <si>
    <t>Do security controls or procedures include measures to invoke a business continuity/disaster recovery plan?*</t>
  </si>
  <si>
    <t>Does your organization perform a test data recovery from backups to verify integrity?*</t>
  </si>
  <si>
    <t xml:space="preserve">	Is data saved to unauthorised storage locations such as USB sticks?*</t>
  </si>
  <si>
    <t>Are there audit trials in place recording the identity of operators entering, changing, confirming or deleting data?*</t>
  </si>
  <si>
    <t>Do users that can access devices that store or process sensitive information have a unique user name and complex password to access the system?*</t>
  </si>
  <si>
    <t xml:space="preserve"> Is the production network segmented in to different zones based on security levels?*</t>
  </si>
  <si>
    <t>Does the organization perform security reviews on outsourced software?*</t>
  </si>
  <si>
    <t>Do you have policies, procedures and resources in place to determine whether personal information you hold needs to be: retained, destroyed or de-identified?*</t>
  </si>
  <si>
    <t>Are all endpoint laptops that connect directly to production networks centrally managed?*</t>
  </si>
  <si>
    <t>Does the organisation have a baseline configuration of Information System which is documented?*</t>
  </si>
  <si>
    <t>Is the baseline Configuration of information System Reviewed and Updated Frequently according to the organisation-defined frequency?*</t>
  </si>
  <si>
    <t>Does the organisation maintain an automated mechanism to maintain baseline Configuration of Information System?*</t>
  </si>
  <si>
    <t xml:space="preserve">	Does the organisation retain previous versions of baseline Configurations of the Information Systems to support rollback?</t>
  </si>
  <si>
    <t>Does the organisation consist of automated mechanisms to document and notify the approval authorities regarding changes to information Systems?*</t>
  </si>
  <si>
    <t xml:space="preserve"> Does the organisation Analyse the changes to information System in separate test environment before implementation?*</t>
  </si>
  <si>
    <t>Does the organisation have access restriction for change to the information system?*</t>
  </si>
  <si>
    <t>Does the organisation have defined the software Blacklisting and Whitelisting that are executed on the Information System?*</t>
  </si>
  <si>
    <t>Does the organisation have the capability of shutting of power to the information System during emergency situations?*</t>
  </si>
  <si>
    <t>Does your organisation have the Security planning Policy Dealing with DEFENSE-IN-DEPTH and SUPPLIER DIVERSITY?*</t>
  </si>
  <si>
    <t>Does your organisation have the Systems and services security policy?*</t>
  </si>
  <si>
    <t>Is the Attack surface Reviews performed by Information System?*</t>
  </si>
  <si>
    <t xml:space="preserve"> Does the organisation Sanitize the information System media before disposal?*</t>
  </si>
  <si>
    <t>Does your Information System policy employ automated mechanism for controlled maintenance?*</t>
  </si>
  <si>
    <t>Does your organisation Inspect tools, Media and prevent unauthorised removal?*</t>
  </si>
  <si>
    <t>Maturity Level for Phase 2 - Respond</t>
  </si>
  <si>
    <t>Response (0-3)</t>
  </si>
  <si>
    <t>Evidence supplied</t>
  </si>
  <si>
    <t xml:space="preserve">Has a response plan been created to be implemented in the event of system breach? _x000D_
</t>
  </si>
  <si>
    <t xml:space="preserve">Requirement Gathering </t>
  </si>
  <si>
    <t xml:space="preserve">Is your response planning adequate? _x000D_
</t>
  </si>
  <si>
    <t>2.1.03</t>
  </si>
  <si>
    <t>Is the response plan up to date and regularly tested?</t>
  </si>
  <si>
    <t>2.1.04</t>
  </si>
  <si>
    <t xml:space="preserve">Is there a standardised operating procedure (SOP) that is followed? </t>
  </si>
  <si>
    <t>Initial Implementation Phase</t>
  </si>
  <si>
    <t>2.1.05</t>
  </si>
  <si>
    <t xml:space="preserve">Is there an incident response team with clearly defined roles and responsibilities? </t>
  </si>
  <si>
    <t>2.1.06</t>
  </si>
  <si>
    <t xml:space="preserve">Do the personnel have the required skills for responding to an event? </t>
  </si>
  <si>
    <t xml:space="preserve">In Testing Phase </t>
  </si>
  <si>
    <t>2.1.07</t>
  </si>
  <si>
    <t xml:space="preserve">Is the information regarding an incident shared with the external stakeholders? </t>
  </si>
  <si>
    <t xml:space="preserve">In Development Phase </t>
  </si>
  <si>
    <t>2.1.08</t>
  </si>
  <si>
    <t xml:space="preserve">Does the policy include provisions for incident reporting? </t>
  </si>
  <si>
    <t>2.1.09</t>
  </si>
  <si>
    <t xml:space="preserve">Are there documents recording past occurrences of cybersecurity events? </t>
  </si>
  <si>
    <t>2.1.10</t>
  </si>
  <si>
    <t xml:space="preserve">Are lessons learned meeting held periodically after the occurrence of an incident? </t>
  </si>
  <si>
    <t>2.1.11</t>
  </si>
  <si>
    <t xml:space="preserve">Is a follow – up report created after the occurrence? </t>
  </si>
  <si>
    <t xml:space="preserve">Initial Implementation Phase </t>
  </si>
  <si>
    <t>2.1.12</t>
  </si>
  <si>
    <t xml:space="preserve">Is the incident response plan reviewed frequently? </t>
  </si>
  <si>
    <t xml:space="preserve">Not Implemented </t>
  </si>
  <si>
    <t>2.1.13</t>
  </si>
  <si>
    <t>How well do you know what will be the impact of the incident?</t>
  </si>
  <si>
    <t xml:space="preserve">Fully Implemented </t>
  </si>
  <si>
    <t>2.1.14</t>
  </si>
  <si>
    <t>Are there any forensics performed?</t>
  </si>
  <si>
    <t>2.1.15</t>
  </si>
  <si>
    <t xml:space="preserve">Incidents are categorized consistent with response plans. Do you agree </t>
  </si>
  <si>
    <t>2.1.16</t>
  </si>
  <si>
    <t xml:space="preserve">What is the process established to receive, analyse and respond to vulnerabilities disclosed to the organization from internal and external sources? </t>
  </si>
  <si>
    <t xml:space="preserve">Requirement Phase </t>
  </si>
  <si>
    <t>2.1.17</t>
  </si>
  <si>
    <t>Do you collect data from the SIEM, IDPS, Network logs, and people in the organization?</t>
  </si>
  <si>
    <t>2.1.18</t>
  </si>
  <si>
    <t>2.1.19</t>
  </si>
  <si>
    <t>Any method implemented in the company to identify the scope of the event?</t>
  </si>
  <si>
    <t>2.1.20</t>
  </si>
  <si>
    <t>Is there any breach response team?</t>
  </si>
  <si>
    <t>2.1.21</t>
  </si>
  <si>
    <t>Is there any individual responsible for the overall implementation of the plan?</t>
  </si>
  <si>
    <t xml:space="preserve">Requirement Gathering  </t>
  </si>
  <si>
    <t>Maturity model for Phase 5- Recovery</t>
  </si>
  <si>
    <t>Are Roles and Responsibility Being Defined in the Organisation?*</t>
  </si>
  <si>
    <t>Is Controls such as RCAI matrix is being used to define roles and responsibilities using a chat and this chat is defined by Accountability, Responsibility, Consulted and Informed.?</t>
  </si>
  <si>
    <t>Is there Reliable source of information for Organization Assets?*</t>
  </si>
  <si>
    <t>Are Controls of Reliable source of Information Assets implemented through various software like (SolarWinds N-Central by Solaris winds. Fresh Service by Fresh works, DEVICE42)?*</t>
  </si>
  <si>
    <t>Are assets being Prioritised?</t>
  </si>
  <si>
    <t>Is There a map of Organization Dependencies?</t>
  </si>
  <si>
    <t>Are Internal and External dependencies Identified?</t>
  </si>
  <si>
    <t>Is there an alert configured to detect any unauthorized or unsuccessful logins to administrative accounts?</t>
  </si>
  <si>
    <t>Does the analysis reflect the Information system (data dependency) and end point systems?</t>
  </si>
  <si>
    <t>business impact analysis ?</t>
  </si>
  <si>
    <t>Are The following Method used in Defining Dependencies analysis?</t>
  </si>
  <si>
    <t>Are Service Level Agreement being mapped out for third parities ?</t>
  </si>
  <si>
    <t>IS there a backup level Agreement? ?</t>
  </si>
  <si>
    <t>Do you have a recovery Metrics ?</t>
  </si>
  <si>
    <t>Is the Personnel to carry out recovery plan Identified ?</t>
  </si>
  <si>
    <t>Are Specific recovery details and procedures mapped out?  Specific recovery Details should account for both technical and Nod technical procedures .</t>
  </si>
  <si>
    <t>Is there Out of band communications implemented ?</t>
  </si>
  <si>
    <t>Is there Continuous Improvement implemented after the recovery Process</t>
  </si>
  <si>
    <t xml:space="preserve">Is there Requirements to Validating Recovery Capabilities?  </t>
  </si>
  <si>
    <t>IS there Defined Effective Cyber attack Playbook ?</t>
  </si>
  <si>
    <t>Options</t>
  </si>
  <si>
    <t>Associated Points</t>
  </si>
  <si>
    <t>0-39</t>
  </si>
  <si>
    <t>Partial,</t>
  </si>
  <si>
    <t>40-79</t>
  </si>
  <si>
    <t>level 2</t>
  </si>
  <si>
    <t>Risk Informed</t>
  </si>
  <si>
    <t>80-119</t>
  </si>
  <si>
    <t>level 3</t>
  </si>
  <si>
    <t>Repeatable</t>
  </si>
  <si>
    <t>level 4</t>
  </si>
  <si>
    <t>Adabtive</t>
  </si>
  <si>
    <t>MAturity Score Legened</t>
  </si>
  <si>
    <t>SCORE</t>
  </si>
  <si>
    <t>Maturity level</t>
  </si>
  <si>
    <t>RECOVERY PHASE</t>
  </si>
  <si>
    <t>Partial</t>
  </si>
  <si>
    <t>RESPOND PHASE</t>
  </si>
  <si>
    <t>PROTECT PHASE</t>
  </si>
  <si>
    <t>IDENTIFY PHASE</t>
  </si>
  <si>
    <t xml:space="preserve">RESULT PHASE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</si>
</sst>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2"/>
      <color theme="1"/>
      <name val="Calibri"/>
      <family val="2"/>
      <scheme val="minor"/>
    </font>
    <font>
      <sz val="10"/>
      <name val="Arial"/>
      <family val="2"/>
    </font>
    <font>
      <sz val="10"/>
      <name val="Verdana"/>
      <family val="2"/>
    </font>
    <font>
      <b/>
      <sz val="15"/>
      <color theme="3"/>
      <name val="Calibri"/>
      <family val="2"/>
      <scheme val="minor"/>
    </font>
    <font>
      <b/>
      <sz val="13"/>
      <color theme="3"/>
      <name val="Calibri"/>
      <family val="2"/>
      <scheme val="minor"/>
    </font>
    <font>
      <sz val="11"/>
      <name val="Calibri"/>
      <family val="2"/>
      <scheme val="minor"/>
    </font>
    <font>
      <sz val="20"/>
      <color theme="0"/>
      <name val="Calibri"/>
      <family val="2"/>
      <scheme val="minor"/>
    </font>
    <font>
      <sz val="14"/>
      <name val="Calibri"/>
      <family val="2"/>
      <scheme val="minor"/>
    </font>
    <font>
      <sz val="18"/>
      <color theme="0"/>
      <name val="Calibri"/>
      <family val="2"/>
      <scheme val="minor"/>
    </font>
    <font>
      <sz val="14"/>
      <color theme="0"/>
      <name val="Calibri"/>
      <family val="2"/>
      <scheme val="minor"/>
    </font>
    <font>
      <sz val="15"/>
      <color theme="1"/>
      <name val="Calibri"/>
      <family val="2"/>
      <scheme val="minor"/>
    </font>
    <font>
      <sz val="14"/>
      <color theme="1"/>
      <name val="Calibri"/>
      <family val="2"/>
      <scheme val="minor"/>
    </font>
    <font>
      <b/>
      <sz val="11"/>
      <color theme="3"/>
      <name val="Calibri"/>
      <family val="2"/>
      <scheme val="minor"/>
    </font>
    <font>
      <b/>
      <sz val="11"/>
      <color rgb="FFFF0000"/>
      <name val="Calibri"/>
      <family val="2"/>
      <scheme val="minor"/>
    </font>
    <font>
      <b/>
      <sz val="11"/>
      <color rgb="FF00B050"/>
      <name val="Calibri"/>
      <family val="2"/>
      <scheme val="minor"/>
    </font>
    <font>
      <b/>
      <sz val="14"/>
      <color theme="1"/>
      <name val="Calibri"/>
      <family val="2"/>
      <scheme val="minor"/>
    </font>
    <font>
      <b/>
      <sz val="16"/>
      <color theme="1"/>
      <name val="Calibri"/>
      <family val="2"/>
      <scheme val="minor"/>
    </font>
    <font>
      <sz val="28"/>
      <color theme="1"/>
      <name val="Calibri"/>
      <family val="2"/>
      <scheme val="minor"/>
    </font>
  </fonts>
  <fills count="14">
    <fill>
      <patternFill patternType="none"/>
    </fill>
    <fill>
      <patternFill patternType="gray125"/>
    </fill>
    <fill>
      <patternFill patternType="solid">
        <fgColor rgb="FFE87727"/>
        <bgColor indexed="64"/>
      </patternFill>
    </fill>
    <fill>
      <patternFill patternType="solid">
        <fgColor rgb="FF41AD48"/>
        <bgColor indexed="64"/>
      </patternFill>
    </fill>
    <fill>
      <patternFill patternType="solid">
        <fgColor rgb="FF25408F"/>
        <bgColor indexed="64"/>
      </patternFill>
    </fill>
    <fill>
      <patternFill patternType="solid">
        <fgColor rgb="FF727375"/>
        <bgColor indexed="64"/>
      </patternFill>
    </fill>
    <fill>
      <patternFill patternType="solid">
        <fgColor rgb="FFFFFF00"/>
        <bgColor indexed="64"/>
      </patternFill>
    </fill>
    <fill>
      <patternFill patternType="solid">
        <fgColor rgb="FF8EA9DB"/>
        <bgColor indexed="64"/>
      </patternFill>
    </fill>
    <fill>
      <patternFill patternType="solid">
        <fgColor rgb="FF00B050"/>
        <bgColor indexed="64"/>
      </patternFill>
    </fill>
    <fill>
      <patternFill patternType="solid">
        <fgColor rgb="FFFFC000"/>
        <bgColor indexed="64"/>
      </patternFill>
    </fill>
    <fill>
      <patternFill patternType="solid">
        <fgColor rgb="FFC00000"/>
        <bgColor indexed="64"/>
      </patternFill>
    </fill>
    <fill>
      <patternFill patternType="solid">
        <fgColor theme="4"/>
        <bgColor indexed="64"/>
      </patternFill>
    </fill>
    <fill>
      <patternFill patternType="solid">
        <fgColor theme="2" tint="-0.249977111117893"/>
        <bgColor indexed="64"/>
      </patternFill>
    </fill>
    <fill>
      <patternFill patternType="solid">
        <fgColor theme="3"/>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style="thin">
        <color indexed="64"/>
      </left>
      <right/>
      <top/>
      <bottom/>
      <diagonal/>
    </border>
    <border>
      <left/>
      <right/>
      <top/>
      <bottom style="medium">
        <color theme="4" tint="0.39997558519241921"/>
      </bottom>
      <diagonal/>
    </border>
    <border>
      <left style="thin">
        <color indexed="64"/>
      </left>
      <right/>
      <top/>
      <bottom style="medium">
        <color theme="4" tint="0.39997558519241921"/>
      </bottom>
      <diagonal/>
    </border>
    <border>
      <left style="thin">
        <color theme="0" tint="-0.499984740745262"/>
      </left>
      <right/>
      <top/>
      <bottom/>
      <diagonal/>
    </border>
    <border>
      <left/>
      <right/>
      <top style="thin">
        <color theme="0" tint="-0.34998626667073579"/>
      </top>
      <bottom style="thin">
        <color theme="0" tint="-0.34998626667073579"/>
      </bottom>
      <diagonal/>
    </border>
    <border>
      <left style="thin">
        <color theme="0" tint="-0.499984740745262"/>
      </left>
      <right/>
      <top style="thin">
        <color theme="0" tint="-0.34998626667073579"/>
      </top>
      <bottom style="thin">
        <color theme="0" tint="-0.34998626667073579"/>
      </bottom>
      <diagonal/>
    </border>
    <border>
      <left/>
      <right/>
      <top style="thin">
        <color theme="0" tint="-0.34998626667073579"/>
      </top>
      <bottom/>
      <diagonal/>
    </border>
    <border>
      <left style="thin">
        <color theme="0" tint="-0.499984740745262"/>
      </left>
      <right/>
      <top style="thin">
        <color theme="0" tint="-0.34998626667073579"/>
      </top>
      <bottom/>
      <diagonal/>
    </border>
    <border>
      <left/>
      <right/>
      <top/>
      <bottom style="thin">
        <color theme="0" tint="-0.34998626667073579"/>
      </bottom>
      <diagonal/>
    </border>
    <border>
      <left style="thin">
        <color theme="0" tint="-0.499984740745262"/>
      </left>
      <right/>
      <top/>
      <bottom style="thin">
        <color theme="0" tint="-0.34998626667073579"/>
      </bottom>
      <diagonal/>
    </border>
    <border>
      <left style="thin">
        <color theme="0" tint="-0.34998626667073579"/>
      </left>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diagonal/>
    </border>
    <border>
      <left/>
      <right/>
      <top/>
      <bottom style="thin">
        <color theme="0" tint="-0.499984740745262"/>
      </bottom>
      <diagonal/>
    </border>
    <border>
      <left style="thin">
        <color theme="0" tint="-0.499984740745262"/>
      </left>
      <right/>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s>
  <cellStyleXfs count="7">
    <xf numFmtId="0" fontId="0" fillId="0" borderId="0"/>
    <xf numFmtId="0" fontId="2" fillId="0" borderId="0"/>
    <xf numFmtId="0" fontId="3" fillId="0" borderId="0"/>
    <xf numFmtId="0" fontId="4" fillId="0" borderId="1" applyNumberFormat="0" applyFill="0" applyAlignment="0" applyProtection="0"/>
    <xf numFmtId="0" fontId="5" fillId="0" borderId="2" applyNumberFormat="0" applyFill="0" applyAlignment="0" applyProtection="0"/>
    <xf numFmtId="0" fontId="13" fillId="0" borderId="4" applyNumberFormat="0" applyFill="0" applyAlignment="0" applyProtection="0"/>
    <xf numFmtId="0" fontId="1" fillId="0" borderId="0"/>
  </cellStyleXfs>
  <cellXfs count="177">
    <xf numFmtId="0" fontId="0" fillId="0" borderId="0" xfId="0"/>
    <xf numFmtId="0" fontId="0" fillId="0" borderId="0" xfId="0" applyAlignment="1">
      <alignment horizontal="left"/>
    </xf>
    <xf numFmtId="0" fontId="0" fillId="0" borderId="0" xfId="0"/>
    <xf numFmtId="0" fontId="0" fillId="0" borderId="0" xfId="0" applyBorder="1"/>
    <xf numFmtId="0" fontId="0" fillId="0" borderId="0" xfId="0" applyProtection="1"/>
    <xf numFmtId="0" fontId="0" fillId="0" borderId="0" xfId="0" applyAlignment="1">
      <alignment wrapText="1"/>
    </xf>
    <xf numFmtId="0" fontId="10" fillId="4" borderId="0" xfId="0" applyFont="1" applyFill="1" applyBorder="1" applyAlignment="1">
      <alignment horizontal="left" vertical="center" wrapText="1"/>
    </xf>
    <xf numFmtId="0" fontId="0" fillId="0" borderId="0" xfId="0" applyFill="1" applyProtection="1"/>
    <xf numFmtId="0" fontId="4" fillId="0" borderId="0" xfId="3" applyBorder="1" applyAlignment="1" applyProtection="1">
      <alignment horizontal="center"/>
    </xf>
    <xf numFmtId="0" fontId="11" fillId="0" borderId="0" xfId="0" applyFont="1" applyAlignment="1" applyProtection="1">
      <alignment horizontal="center"/>
    </xf>
    <xf numFmtId="0" fontId="11" fillId="0" borderId="0" xfId="0" applyFont="1" applyAlignment="1" applyProtection="1">
      <alignment horizontal="center" wrapText="1"/>
    </xf>
    <xf numFmtId="0" fontId="11" fillId="0" borderId="0" xfId="0" applyFont="1" applyProtection="1"/>
    <xf numFmtId="0" fontId="0" fillId="0" borderId="0" xfId="0" applyAlignment="1"/>
    <xf numFmtId="0" fontId="10" fillId="4" borderId="0" xfId="0" applyFont="1" applyFill="1" applyBorder="1" applyAlignment="1">
      <alignment horizontal="left" vertical="center"/>
    </xf>
    <xf numFmtId="0" fontId="10" fillId="4" borderId="0" xfId="0" applyFont="1" applyFill="1" applyBorder="1" applyAlignment="1">
      <alignment horizontal="center" vertical="center" wrapText="1"/>
    </xf>
    <xf numFmtId="0" fontId="12" fillId="0" borderId="0" xfId="0" applyFont="1" applyAlignment="1" applyProtection="1">
      <alignment horizontal="center"/>
    </xf>
    <xf numFmtId="0" fontId="12" fillId="0" borderId="0" xfId="0" applyFont="1" applyAlignment="1" applyProtection="1">
      <alignment horizontal="center" wrapText="1"/>
    </xf>
    <xf numFmtId="0" fontId="13" fillId="0" borderId="4" xfId="5"/>
    <xf numFmtId="0" fontId="15" fillId="0" borderId="5" xfId="5" applyFont="1" applyBorder="1"/>
    <xf numFmtId="0" fontId="0" fillId="0" borderId="3" xfId="0" applyBorder="1"/>
    <xf numFmtId="0" fontId="14" fillId="0" borderId="5" xfId="5" applyFont="1" applyBorder="1"/>
    <xf numFmtId="49" fontId="0" fillId="0" borderId="0" xfId="0" applyNumberFormat="1"/>
    <xf numFmtId="0" fontId="14" fillId="0" borderId="3" xfId="5" applyFont="1" applyBorder="1"/>
    <xf numFmtId="0" fontId="13" fillId="0" borderId="4" xfId="5" applyBorder="1"/>
    <xf numFmtId="0" fontId="15" fillId="0" borderId="4" xfId="5" applyFont="1" applyBorder="1"/>
    <xf numFmtId="49" fontId="0" fillId="0" borderId="0" xfId="0" applyNumberFormat="1" applyAlignment="1">
      <alignment horizontal="left"/>
    </xf>
    <xf numFmtId="0" fontId="10" fillId="5" borderId="6" xfId="0" applyFont="1" applyFill="1" applyBorder="1" applyAlignment="1">
      <alignment vertical="center"/>
    </xf>
    <xf numFmtId="0" fontId="0" fillId="0" borderId="7" xfId="0" applyBorder="1" applyAlignment="1">
      <alignment horizontal="left"/>
    </xf>
    <xf numFmtId="49" fontId="0" fillId="0" borderId="7" xfId="0" applyNumberFormat="1" applyBorder="1" applyAlignment="1">
      <alignment horizontal="left"/>
    </xf>
    <xf numFmtId="0" fontId="0" fillId="0" borderId="7" xfId="0" applyBorder="1"/>
    <xf numFmtId="0" fontId="0" fillId="0" borderId="8" xfId="0" applyBorder="1" applyAlignment="1">
      <alignment horizontal="left" vertical="top" wrapText="1"/>
    </xf>
    <xf numFmtId="0" fontId="0" fillId="0" borderId="7" xfId="0" applyBorder="1" applyAlignment="1">
      <alignment horizontal="left" vertical="top" wrapText="1"/>
    </xf>
    <xf numFmtId="0" fontId="0" fillId="0" borderId="0" xfId="0" applyBorder="1" applyAlignment="1">
      <alignment horizontal="left"/>
    </xf>
    <xf numFmtId="49" fontId="0" fillId="0" borderId="0" xfId="0" applyNumberFormat="1" applyBorder="1" applyAlignment="1">
      <alignment horizontal="left"/>
    </xf>
    <xf numFmtId="0" fontId="0" fillId="0" borderId="8" xfId="0" applyBorder="1"/>
    <xf numFmtId="0" fontId="5" fillId="0" borderId="7" xfId="4" applyBorder="1" applyAlignment="1">
      <alignment vertical="center"/>
    </xf>
    <xf numFmtId="0" fontId="0" fillId="0" borderId="7" xfId="0" applyBorder="1" applyAlignment="1">
      <alignment horizontal="left" vertical="top" wrapText="1" indent="2"/>
    </xf>
    <xf numFmtId="0" fontId="0" fillId="0" borderId="9" xfId="0" applyBorder="1"/>
    <xf numFmtId="0" fontId="0" fillId="0" borderId="10" xfId="0" applyBorder="1" applyAlignment="1">
      <alignment horizontal="left" vertical="top" wrapText="1"/>
    </xf>
    <xf numFmtId="0" fontId="0" fillId="0" borderId="9" xfId="0" applyBorder="1" applyAlignment="1">
      <alignment horizontal="left" vertical="top" wrapText="1" indent="2"/>
    </xf>
    <xf numFmtId="0" fontId="0" fillId="0" borderId="9" xfId="0" applyBorder="1" applyAlignment="1">
      <alignment horizontal="left" vertical="top" wrapText="1"/>
    </xf>
    <xf numFmtId="0" fontId="0" fillId="0" borderId="11" xfId="0" applyBorder="1" applyAlignment="1">
      <alignment horizontal="left"/>
    </xf>
    <xf numFmtId="49" fontId="0" fillId="0" borderId="11" xfId="0" applyNumberFormat="1" applyBorder="1" applyAlignment="1">
      <alignment horizontal="left"/>
    </xf>
    <xf numFmtId="0" fontId="0" fillId="0" borderId="11" xfId="0" applyBorder="1"/>
    <xf numFmtId="0" fontId="0" fillId="0" borderId="12" xfId="0" applyBorder="1" applyAlignment="1">
      <alignment horizontal="left" vertical="top" wrapText="1"/>
    </xf>
    <xf numFmtId="0" fontId="0" fillId="0" borderId="11" xfId="0" applyBorder="1" applyAlignment="1">
      <alignment horizontal="left" vertical="top" wrapText="1"/>
    </xf>
    <xf numFmtId="0" fontId="5" fillId="0" borderId="11" xfId="4" applyBorder="1" applyAlignment="1">
      <alignment vertical="center"/>
    </xf>
    <xf numFmtId="0" fontId="10" fillId="3" borderId="0" xfId="0" applyFont="1" applyFill="1" applyBorder="1" applyAlignment="1">
      <alignment horizontal="left" vertical="center"/>
    </xf>
    <xf numFmtId="0" fontId="10" fillId="3" borderId="0" xfId="0" applyFont="1" applyFill="1" applyBorder="1" applyAlignment="1">
      <alignment horizontal="left" vertical="center" wrapText="1"/>
    </xf>
    <xf numFmtId="0" fontId="10" fillId="3" borderId="0" xfId="0" applyFont="1" applyFill="1" applyBorder="1" applyAlignment="1">
      <alignment horizontal="center" vertical="center" wrapText="1"/>
    </xf>
    <xf numFmtId="0" fontId="10" fillId="2" borderId="0" xfId="0" applyFont="1" applyFill="1" applyBorder="1" applyAlignment="1">
      <alignment horizontal="left" vertical="center"/>
    </xf>
    <xf numFmtId="0" fontId="10" fillId="2" borderId="0" xfId="0" applyFont="1" applyFill="1" applyBorder="1" applyAlignment="1">
      <alignment horizontal="left" vertical="center" wrapText="1"/>
    </xf>
    <xf numFmtId="0" fontId="10" fillId="2" borderId="0" xfId="0" applyFont="1" applyFill="1" applyBorder="1" applyAlignment="1">
      <alignment horizontal="center" vertical="center" wrapText="1"/>
    </xf>
    <xf numFmtId="0" fontId="0" fillId="0" borderId="11" xfId="0" applyFill="1" applyBorder="1"/>
    <xf numFmtId="0" fontId="0" fillId="0" borderId="0" xfId="0" applyFill="1" applyBorder="1"/>
    <xf numFmtId="0" fontId="0" fillId="0" borderId="7" xfId="0" applyFill="1" applyBorder="1"/>
    <xf numFmtId="0" fontId="0" fillId="0" borderId="9" xfId="0" applyFill="1" applyBorder="1"/>
    <xf numFmtId="0" fontId="6" fillId="0" borderId="7" xfId="0" applyFont="1" applyFill="1" applyBorder="1" applyAlignment="1">
      <alignment horizontal="left" vertical="center" wrapText="1"/>
    </xf>
    <xf numFmtId="0" fontId="6" fillId="0" borderId="0" xfId="0" applyFont="1" applyFill="1" applyBorder="1" applyAlignment="1" applyProtection="1">
      <alignment horizontal="center" vertical="center" wrapText="1"/>
      <protection locked="0"/>
    </xf>
    <xf numFmtId="0" fontId="6" fillId="0" borderId="11" xfId="0" applyFont="1" applyFill="1" applyBorder="1" applyAlignment="1" applyProtection="1">
      <alignment horizontal="center" vertical="center" wrapText="1"/>
      <protection locked="0"/>
    </xf>
    <xf numFmtId="0" fontId="6" fillId="0" borderId="7" xfId="0" applyFont="1" applyFill="1" applyBorder="1" applyAlignment="1" applyProtection="1">
      <alignment horizontal="center" vertical="center" wrapText="1"/>
      <protection locked="0"/>
    </xf>
    <xf numFmtId="0" fontId="6"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wrapText="1"/>
    </xf>
    <xf numFmtId="0" fontId="6" fillId="0" borderId="11" xfId="0" applyFont="1" applyFill="1" applyBorder="1" applyAlignment="1">
      <alignment horizontal="center" vertical="center" wrapText="1"/>
    </xf>
    <xf numFmtId="0" fontId="6" fillId="0" borderId="7" xfId="0" applyFont="1" applyFill="1" applyBorder="1" applyAlignment="1">
      <alignment horizontal="center" vertical="center"/>
    </xf>
    <xf numFmtId="0" fontId="6" fillId="0" borderId="11" xfId="0" applyFont="1" applyFill="1" applyBorder="1" applyAlignment="1">
      <alignment horizontal="center" vertical="center"/>
    </xf>
    <xf numFmtId="0" fontId="6" fillId="0" borderId="0" xfId="0" applyFont="1" applyFill="1" applyAlignment="1" applyProtection="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0" xfId="0" applyFill="1" applyBorder="1" applyProtection="1">
      <protection locked="0"/>
    </xf>
    <xf numFmtId="0" fontId="0" fillId="0" borderId="11" xfId="0" applyFill="1" applyBorder="1" applyProtection="1">
      <protection locked="0"/>
    </xf>
    <xf numFmtId="0" fontId="0" fillId="0" borderId="7" xfId="0" applyFill="1" applyBorder="1" applyProtection="1">
      <protection locked="0"/>
    </xf>
    <xf numFmtId="0" fontId="0" fillId="0" borderId="9" xfId="0" applyFill="1" applyBorder="1" applyProtection="1">
      <protection locked="0"/>
    </xf>
    <xf numFmtId="1" fontId="8" fillId="0" borderId="16" xfId="0" applyNumberFormat="1" applyFont="1" applyBorder="1" applyAlignment="1" applyProtection="1">
      <alignment horizontal="right" vertical="center" wrapText="1" indent="1"/>
    </xf>
    <xf numFmtId="1" fontId="8" fillId="0" borderId="17" xfId="0" applyNumberFormat="1" applyFont="1" applyBorder="1" applyAlignment="1" applyProtection="1">
      <alignment horizontal="right" vertical="center" wrapText="1" indent="1"/>
    </xf>
    <xf numFmtId="1" fontId="8" fillId="0" borderId="18" xfId="0" applyNumberFormat="1" applyFont="1" applyBorder="1" applyAlignment="1" applyProtection="1">
      <alignment horizontal="right" vertical="center" wrapText="1" indent="1"/>
    </xf>
    <xf numFmtId="0" fontId="6" fillId="0" borderId="9" xfId="0" applyFont="1" applyFill="1" applyBorder="1" applyAlignment="1">
      <alignment horizontal="left" vertical="center" wrapText="1"/>
    </xf>
    <xf numFmtId="0" fontId="6" fillId="0" borderId="11" xfId="0" applyFont="1" applyFill="1" applyBorder="1" applyAlignment="1">
      <alignment horizontal="left" vertical="center" wrapText="1"/>
    </xf>
    <xf numFmtId="0" fontId="6" fillId="0" borderId="0" xfId="0" applyFont="1" applyFill="1" applyBorder="1" applyAlignment="1" applyProtection="1">
      <alignment horizontal="center" vertical="center" wrapText="1"/>
    </xf>
    <xf numFmtId="0" fontId="6" fillId="0" borderId="11" xfId="0" applyFont="1" applyFill="1" applyBorder="1" applyAlignment="1" applyProtection="1">
      <alignment horizontal="center" vertical="center"/>
    </xf>
    <xf numFmtId="0" fontId="6" fillId="0" borderId="7" xfId="0" applyFont="1" applyFill="1" applyBorder="1" applyAlignment="1" applyProtection="1">
      <alignment horizontal="center" vertical="center"/>
    </xf>
    <xf numFmtId="0" fontId="6" fillId="0" borderId="9" xfId="0" applyFont="1" applyFill="1" applyBorder="1" applyAlignment="1" applyProtection="1">
      <alignment horizontal="center" vertical="center"/>
    </xf>
    <xf numFmtId="0" fontId="6" fillId="0" borderId="0" xfId="0" applyFont="1" applyFill="1" applyBorder="1" applyAlignment="1" applyProtection="1">
      <alignment horizontal="center" vertical="center"/>
    </xf>
    <xf numFmtId="0" fontId="6" fillId="0" borderId="11" xfId="0" applyFont="1" applyFill="1" applyBorder="1" applyAlignment="1" applyProtection="1">
      <alignment horizontal="center" vertical="center" wrapText="1"/>
    </xf>
    <xf numFmtId="0" fontId="6" fillId="0" borderId="7" xfId="0" applyFont="1" applyFill="1" applyBorder="1" applyAlignment="1" applyProtection="1">
      <alignment horizontal="center" vertical="center" wrapText="1"/>
    </xf>
    <xf numFmtId="0" fontId="6" fillId="0" borderId="9" xfId="0" applyFont="1" applyFill="1" applyBorder="1" applyAlignment="1" applyProtection="1">
      <alignment horizontal="center" vertical="center" wrapText="1"/>
    </xf>
    <xf numFmtId="0" fontId="0" fillId="0" borderId="0" xfId="0" applyAlignment="1" applyProtection="1">
      <alignment vertical="top"/>
    </xf>
    <xf numFmtId="0" fontId="12" fillId="0" borderId="0" xfId="0" applyFont="1" applyAlignment="1" applyProtection="1"/>
    <xf numFmtId="0" fontId="0" fillId="0" borderId="11" xfId="0" applyBorder="1" applyAlignment="1">
      <alignment horizontal="left" vertical="top" wrapText="1" indent="2"/>
    </xf>
    <xf numFmtId="0" fontId="13" fillId="0" borderId="5" xfId="5" applyBorder="1"/>
    <xf numFmtId="0" fontId="10" fillId="3" borderId="7" xfId="0" applyFont="1" applyFill="1" applyBorder="1" applyAlignment="1">
      <alignment horizontal="left" vertical="center" wrapText="1"/>
    </xf>
    <xf numFmtId="0" fontId="6" fillId="0" borderId="7" xfId="0" applyFont="1" applyFill="1" applyBorder="1" applyAlignment="1">
      <alignment horizontal="center" vertical="center" wrapText="1"/>
    </xf>
    <xf numFmtId="0" fontId="0" fillId="0" borderId="20" xfId="0" applyBorder="1" applyAlignment="1">
      <alignment horizontal="left"/>
    </xf>
    <xf numFmtId="49" fontId="0" fillId="0" borderId="20" xfId="0" applyNumberFormat="1" applyBorder="1" applyAlignment="1">
      <alignment horizontal="left"/>
    </xf>
    <xf numFmtId="0" fontId="0" fillId="0" borderId="20" xfId="0" applyBorder="1"/>
    <xf numFmtId="0" fontId="0" fillId="0" borderId="21" xfId="0" applyBorder="1" applyAlignment="1">
      <alignment horizontal="left" vertical="top" wrapText="1"/>
    </xf>
    <xf numFmtId="0" fontId="0" fillId="0" borderId="20" xfId="0" applyBorder="1" applyAlignment="1">
      <alignment horizontal="left" vertical="top" wrapText="1"/>
    </xf>
    <xf numFmtId="0" fontId="0" fillId="0" borderId="20" xfId="0" applyBorder="1" applyAlignment="1">
      <alignment horizontal="center" vertical="center"/>
    </xf>
    <xf numFmtId="0" fontId="6" fillId="0" borderId="20" xfId="0" applyFont="1" applyFill="1" applyBorder="1" applyAlignment="1">
      <alignment horizontal="left" vertical="center" wrapText="1"/>
    </xf>
    <xf numFmtId="0" fontId="6" fillId="0" borderId="20" xfId="0" applyFont="1" applyFill="1" applyBorder="1" applyAlignment="1" applyProtection="1">
      <alignment horizontal="center" vertical="center"/>
    </xf>
    <xf numFmtId="0" fontId="6" fillId="0" borderId="20" xfId="0" applyFont="1" applyFill="1" applyBorder="1" applyAlignment="1" applyProtection="1">
      <alignment horizontal="center" vertical="center" wrapText="1"/>
    </xf>
    <xf numFmtId="0" fontId="6" fillId="0" borderId="20" xfId="0" applyFont="1" applyFill="1" applyBorder="1" applyAlignment="1">
      <alignment horizontal="center" vertical="center" wrapText="1"/>
    </xf>
    <xf numFmtId="0" fontId="6" fillId="0" borderId="20" xfId="0" applyFont="1" applyFill="1" applyBorder="1" applyAlignment="1" applyProtection="1">
      <alignment horizontal="center" vertical="center" wrapText="1"/>
      <protection locked="0"/>
    </xf>
    <xf numFmtId="0" fontId="0" fillId="0" borderId="20" xfId="0" applyFill="1" applyBorder="1"/>
    <xf numFmtId="0" fontId="0" fillId="0" borderId="22" xfId="0" applyBorder="1" applyAlignment="1">
      <alignment horizontal="left"/>
    </xf>
    <xf numFmtId="49" fontId="0" fillId="0" borderId="22" xfId="0" applyNumberFormat="1" applyBorder="1" applyAlignment="1">
      <alignment horizontal="left"/>
    </xf>
    <xf numFmtId="0" fontId="0" fillId="0" borderId="22" xfId="0" applyBorder="1"/>
    <xf numFmtId="0" fontId="0" fillId="0" borderId="23" xfId="0" applyBorder="1" applyAlignment="1">
      <alignment horizontal="left" vertical="top" wrapText="1"/>
    </xf>
    <xf numFmtId="0" fontId="0" fillId="0" borderId="22" xfId="0" applyBorder="1" applyAlignment="1">
      <alignment horizontal="left" vertical="top" wrapText="1"/>
    </xf>
    <xf numFmtId="0" fontId="0" fillId="0" borderId="22" xfId="0" applyBorder="1" applyAlignment="1">
      <alignment horizontal="center" vertical="center"/>
    </xf>
    <xf numFmtId="0" fontId="6" fillId="0" borderId="22" xfId="0" applyFont="1" applyFill="1" applyBorder="1" applyAlignment="1">
      <alignment horizontal="left" vertical="center" wrapText="1"/>
    </xf>
    <xf numFmtId="0" fontId="6" fillId="0" borderId="22" xfId="0" applyFont="1" applyFill="1" applyBorder="1" applyAlignment="1" applyProtection="1">
      <alignment horizontal="center" vertical="center"/>
    </xf>
    <xf numFmtId="0" fontId="6" fillId="0" borderId="22" xfId="0" applyFont="1" applyFill="1" applyBorder="1" applyAlignment="1" applyProtection="1">
      <alignment horizontal="center" vertical="center" wrapText="1"/>
    </xf>
    <xf numFmtId="0" fontId="6" fillId="0" borderId="22" xfId="0" applyFont="1" applyFill="1" applyBorder="1" applyAlignment="1">
      <alignment horizontal="center" vertical="center"/>
    </xf>
    <xf numFmtId="0" fontId="6" fillId="0" borderId="22" xfId="0" applyFont="1" applyFill="1" applyBorder="1" applyAlignment="1" applyProtection="1">
      <alignment horizontal="center" vertical="center" wrapText="1"/>
      <protection locked="0"/>
    </xf>
    <xf numFmtId="0" fontId="0" fillId="0" borderId="22" xfId="0" applyFill="1" applyBorder="1"/>
    <xf numFmtId="0" fontId="0" fillId="0" borderId="22" xfId="0" applyBorder="1" applyAlignment="1">
      <alignment horizontal="left" vertical="top" wrapText="1" indent="2"/>
    </xf>
    <xf numFmtId="0" fontId="0" fillId="0" borderId="0" xfId="0" applyBorder="1" applyAlignment="1">
      <alignment horizontal="left" vertical="top" wrapText="1"/>
    </xf>
    <xf numFmtId="1" fontId="8" fillId="0" borderId="7" xfId="0" applyNumberFormat="1" applyFont="1" applyBorder="1" applyAlignment="1" applyProtection="1">
      <alignment horizontal="right" vertical="center" wrapText="1" indent="1"/>
    </xf>
    <xf numFmtId="0" fontId="0" fillId="0" borderId="14" xfId="0" applyBorder="1"/>
    <xf numFmtId="0" fontId="0" fillId="0" borderId="14" xfId="0" applyBorder="1" applyAlignment="1">
      <alignment horizontal="left" vertical="top" wrapText="1"/>
    </xf>
    <xf numFmtId="0" fontId="0" fillId="0" borderId="13" xfId="0" applyBorder="1" applyAlignment="1">
      <alignment horizontal="left" vertical="top" wrapText="1"/>
    </xf>
    <xf numFmtId="0" fontId="10" fillId="5" borderId="19" xfId="0" applyFont="1" applyFill="1" applyBorder="1" applyAlignment="1">
      <alignment vertical="center"/>
    </xf>
    <xf numFmtId="0" fontId="10" fillId="3" borderId="9" xfId="0" applyFont="1" applyFill="1" applyBorder="1" applyAlignment="1">
      <alignment horizontal="left" vertical="center" wrapText="1"/>
    </xf>
    <xf numFmtId="0" fontId="0" fillId="0" borderId="13" xfId="0" applyBorder="1"/>
    <xf numFmtId="0" fontId="0" fillId="0" borderId="15" xfId="0" applyBorder="1" applyAlignment="1">
      <alignment horizontal="left" vertical="top" wrapText="1"/>
    </xf>
    <xf numFmtId="0" fontId="6" fillId="0" borderId="9" xfId="0" applyFont="1" applyFill="1" applyBorder="1" applyAlignment="1">
      <alignment horizontal="center" vertical="center"/>
    </xf>
    <xf numFmtId="0" fontId="10" fillId="3" borderId="11" xfId="0" applyFont="1" applyFill="1" applyBorder="1" applyAlignment="1">
      <alignment horizontal="left" vertical="center" wrapText="1"/>
    </xf>
    <xf numFmtId="1" fontId="8" fillId="0" borderId="11" xfId="0" applyNumberFormat="1" applyFont="1" applyBorder="1" applyAlignment="1" applyProtection="1">
      <alignment horizontal="right" vertical="center" wrapText="1" indent="1"/>
    </xf>
    <xf numFmtId="0" fontId="0" fillId="0" borderId="20" xfId="0" applyBorder="1" applyAlignment="1" applyProtection="1">
      <alignment horizontal="left" vertical="top" wrapText="1"/>
      <protection locked="0"/>
    </xf>
    <xf numFmtId="0" fontId="0" fillId="0" borderId="2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7"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0" fillId="0" borderId="24" xfId="0" applyBorder="1"/>
    <xf numFmtId="0" fontId="10" fillId="2" borderId="0" xfId="0" applyFont="1" applyFill="1" applyBorder="1" applyAlignment="1">
      <alignment horizontal="left" vertical="top" wrapText="1"/>
    </xf>
    <xf numFmtId="0" fontId="10" fillId="3" borderId="0" xfId="0" applyFont="1" applyFill="1" applyBorder="1" applyAlignment="1">
      <alignment horizontal="left" vertical="top" wrapText="1"/>
    </xf>
    <xf numFmtId="0" fontId="0" fillId="6" borderId="0" xfId="0" applyFill="1"/>
    <xf numFmtId="0" fontId="0" fillId="0" borderId="11" xfId="0" applyBorder="1" applyAlignment="1">
      <alignment vertical="top" wrapText="1"/>
    </xf>
    <xf numFmtId="0" fontId="0" fillId="0" borderId="7" xfId="0" applyBorder="1" applyAlignment="1">
      <alignment vertical="top" wrapText="1"/>
    </xf>
    <xf numFmtId="0" fontId="0" fillId="0" borderId="9" xfId="0" applyBorder="1" applyAlignment="1">
      <alignment vertical="top" wrapText="1"/>
    </xf>
    <xf numFmtId="0" fontId="7" fillId="4" borderId="0" xfId="3" applyFont="1" applyFill="1" applyBorder="1" applyAlignment="1" applyProtection="1">
      <alignment horizontal="left" vertical="center"/>
    </xf>
    <xf numFmtId="0" fontId="7" fillId="3" borderId="0" xfId="3" applyFont="1" applyFill="1" applyBorder="1" applyAlignment="1" applyProtection="1">
      <alignment horizontal="left" vertical="center"/>
    </xf>
    <xf numFmtId="0" fontId="7" fillId="2" borderId="0" xfId="3" applyFont="1" applyFill="1" applyBorder="1" applyAlignment="1" applyProtection="1">
      <alignment horizontal="left" vertical="center"/>
    </xf>
    <xf numFmtId="0" fontId="17" fillId="0" borderId="12" xfId="0" applyFont="1" applyBorder="1" applyAlignment="1">
      <alignment horizontal="left" vertical="top" wrapText="1"/>
    </xf>
    <xf numFmtId="0" fontId="16" fillId="0" borderId="11" xfId="0" applyFont="1" applyBorder="1" applyAlignment="1">
      <alignment horizontal="center" vertical="center"/>
    </xf>
    <xf numFmtId="0" fontId="0" fillId="7" borderId="0" xfId="0" applyFill="1"/>
    <xf numFmtId="0" fontId="0" fillId="9" borderId="0" xfId="0" applyFill="1"/>
    <xf numFmtId="0" fontId="13" fillId="0" borderId="4" xfId="5" applyAlignment="1">
      <alignment horizontal="center"/>
    </xf>
    <xf numFmtId="0" fontId="7" fillId="4" borderId="0" xfId="3" applyFont="1" applyFill="1" applyBorder="1" applyAlignment="1" applyProtection="1">
      <alignment horizontal="left" vertical="center"/>
    </xf>
    <xf numFmtId="0" fontId="7" fillId="3" borderId="0" xfId="3" applyFont="1" applyFill="1" applyBorder="1" applyAlignment="1" applyProtection="1">
      <alignment horizontal="left" vertical="center"/>
    </xf>
    <xf numFmtId="0" fontId="7" fillId="2" borderId="0" xfId="3" applyFont="1" applyFill="1" applyBorder="1" applyAlignment="1" applyProtection="1">
      <alignment horizontal="left" vertical="center"/>
    </xf>
    <xf numFmtId="0" fontId="9" fillId="3" borderId="0" xfId="3" applyFont="1" applyFill="1" applyBorder="1" applyAlignment="1" applyProtection="1">
      <alignment horizontal="left" vertical="center"/>
    </xf>
    <xf numFmtId="0" fontId="1" fillId="0" borderId="0" xfId="6"/>
    <xf numFmtId="0" fontId="1" fillId="0" borderId="25" xfId="6" applyBorder="1"/>
    <xf numFmtId="0" fontId="1" fillId="0" borderId="26" xfId="6" applyBorder="1" applyAlignment="1">
      <alignment horizontal="center"/>
    </xf>
    <xf numFmtId="0" fontId="1" fillId="0" borderId="27" xfId="6" applyBorder="1" applyAlignment="1">
      <alignment horizontal="center"/>
    </xf>
    <xf numFmtId="0" fontId="1" fillId="0" borderId="28" xfId="6" applyBorder="1" applyAlignment="1">
      <alignment horizontal="center"/>
    </xf>
    <xf numFmtId="0" fontId="18" fillId="0" borderId="0" xfId="6" applyFont="1" applyAlignment="1">
      <alignment horizontal="center"/>
    </xf>
    <xf numFmtId="0" fontId="1" fillId="10" borderId="28" xfId="6" applyFill="1" applyBorder="1" applyAlignment="1">
      <alignment horizontal="center"/>
    </xf>
    <xf numFmtId="0" fontId="1" fillId="10" borderId="27" xfId="6" applyFill="1" applyBorder="1" applyAlignment="1">
      <alignment horizontal="center"/>
    </xf>
    <xf numFmtId="0" fontId="1" fillId="10" borderId="26" xfId="6" applyFill="1" applyBorder="1" applyAlignment="1">
      <alignment horizontal="center"/>
    </xf>
    <xf numFmtId="0" fontId="1" fillId="10" borderId="25" xfId="6" applyFill="1" applyBorder="1"/>
    <xf numFmtId="0" fontId="1" fillId="11" borderId="25" xfId="6" applyFill="1" applyBorder="1"/>
    <xf numFmtId="0" fontId="1" fillId="12" borderId="28" xfId="6" applyFill="1" applyBorder="1" applyAlignment="1">
      <alignment horizontal="center"/>
    </xf>
    <xf numFmtId="0" fontId="1" fillId="12" borderId="27" xfId="6" applyFill="1" applyBorder="1" applyAlignment="1">
      <alignment horizontal="center"/>
    </xf>
    <xf numFmtId="0" fontId="1" fillId="12" borderId="26" xfId="6" applyFill="1" applyBorder="1" applyAlignment="1">
      <alignment horizontal="center"/>
    </xf>
    <xf numFmtId="0" fontId="1" fillId="12" borderId="25" xfId="6" applyFill="1" applyBorder="1"/>
    <xf numFmtId="0" fontId="1" fillId="13" borderId="25" xfId="6" applyFill="1" applyBorder="1"/>
    <xf numFmtId="0" fontId="1" fillId="8" borderId="28" xfId="6" applyFill="1" applyBorder="1" applyAlignment="1">
      <alignment horizontal="center"/>
    </xf>
    <xf numFmtId="0" fontId="1" fillId="8" borderId="27" xfId="6" applyFill="1" applyBorder="1" applyAlignment="1">
      <alignment horizontal="center"/>
    </xf>
    <xf numFmtId="0" fontId="1" fillId="8" borderId="26" xfId="6" applyFill="1" applyBorder="1" applyAlignment="1">
      <alignment horizontal="center"/>
    </xf>
    <xf numFmtId="0" fontId="1" fillId="8" borderId="25" xfId="6" applyFill="1" applyBorder="1"/>
    <xf numFmtId="0" fontId="1" fillId="13" borderId="28" xfId="6" applyFill="1" applyBorder="1" applyAlignment="1">
      <alignment horizontal="center"/>
    </xf>
    <xf numFmtId="0" fontId="1" fillId="13" borderId="27" xfId="6" applyFill="1" applyBorder="1" applyAlignment="1">
      <alignment horizontal="center"/>
    </xf>
    <xf numFmtId="0" fontId="1" fillId="13" borderId="26" xfId="6" applyFill="1" applyBorder="1" applyAlignment="1">
      <alignment horizontal="center"/>
    </xf>
  </cellXfs>
  <cellStyles count="7">
    <cellStyle name="Heading 1" xfId="3" builtinId="16"/>
    <cellStyle name="Heading 2" xfId="4" builtinId="17"/>
    <cellStyle name="Heading 3" xfId="5" builtinId="18"/>
    <cellStyle name="Normal" xfId="0" builtinId="0"/>
    <cellStyle name="Normal 2" xfId="1" xr:uid="{00000000-0005-0000-0000-000004000000}"/>
    <cellStyle name="Normal 3" xfId="2" xr:uid="{00000000-0005-0000-0000-000005000000}"/>
    <cellStyle name="Normal 4" xfId="6" xr:uid="{CA860AEE-7A11-A54B-95B9-6A4348E85F4E}"/>
  </cellStyles>
  <dxfs count="1">
    <dxf>
      <font>
        <color rgb="FF9C0006"/>
      </font>
      <fill>
        <patternFill>
          <bgColor rgb="FFFFC7CE"/>
        </patternFill>
      </fill>
    </dxf>
  </dxfs>
  <tableStyles count="0" defaultTableStyle="TableStyleMedium2" defaultPivotStyle="PivotStyleLight16"/>
  <colors>
    <mruColors>
      <color rgb="FFE87727"/>
      <color rgb="FF41AD48"/>
      <color rgb="FF25408F"/>
      <color rgb="FF727375"/>
      <color rgb="FF3156BD"/>
      <color rgb="FF8BA2E1"/>
      <color rgb="FF889FE0"/>
      <color rgb="FF7D62A2"/>
      <color rgb="FF937CB2"/>
      <color rgb="FF921B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IDENTIFY</a:t>
            </a:r>
            <a:r>
              <a:rPr lang="en-US" baseline="0"/>
              <a:t> PHASE </a:t>
            </a:r>
            <a:r>
              <a:rPr lang="en-US"/>
              <a:t>MATURITY CHART </a:t>
            </a:r>
          </a:p>
          <a:p>
            <a:pPr>
              <a:defRPr/>
            </a:pPr>
            <a:endParaRPr lang="en-US"/>
          </a:p>
        </c:rich>
      </c:tx>
      <c:layout>
        <c:manualLayout>
          <c:xMode val="edge"/>
          <c:yMode val="edge"/>
          <c:x val="0.28396526772793051"/>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8816481876089659"/>
          <c:y val="0.28989915734217431"/>
          <c:w val="0.22160511412195041"/>
          <c:h val="0.44774600543353138"/>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8B0-BD43-BADF-9D27FEBE245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8B0-BD43-BADF-9D27FEBE245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8B0-BD43-BADF-9D27FEBE245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8B0-BD43-BADF-9D27FEBE2451}"/>
              </c:ext>
            </c:extLst>
          </c:dPt>
          <c:dLbls>
            <c:dLbl>
              <c:idx val="0"/>
              <c:layout>
                <c:manualLayout>
                  <c:x val="0.37461060124107004"/>
                  <c:y val="0.11911179371809283"/>
                </c:manualLayout>
              </c:layout>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8B0-BD43-BADF-9D27FEBE2451}"/>
                </c:ext>
              </c:extLst>
            </c:dLbl>
            <c:dLbl>
              <c:idx val="1"/>
              <c:layout>
                <c:manualLayout>
                  <c:x val="0.31271027793711215"/>
                  <c:y val="-0.1119222116466211"/>
                </c:manualLayout>
              </c:layout>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8B0-BD43-BADF-9D27FEBE2451}"/>
                </c:ext>
              </c:extLst>
            </c:dLbl>
            <c:dLbl>
              <c:idx val="2"/>
              <c:layout>
                <c:manualLayout>
                  <c:x val="0.38784370477568741"/>
                  <c:y val="0.175438596491228"/>
                </c:manualLayout>
              </c:layout>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98B0-BD43-BADF-9D27FEBE2451}"/>
                </c:ext>
              </c:extLst>
            </c:dLbl>
            <c:dLbl>
              <c:idx val="3"/>
              <c:delete val="1"/>
              <c:extLst>
                <c:ext xmlns:c15="http://schemas.microsoft.com/office/drawing/2012/chart" uri="{CE6537A1-D6FC-4f65-9D91-7224C49458BB}"/>
                <c:ext xmlns:c16="http://schemas.microsoft.com/office/drawing/2014/chart" uri="{C3380CC4-5D6E-409C-BE32-E72D297353CC}">
                  <c16:uniqueId val="{00000007-98B0-BD43-BADF-9D27FEBE245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1"/>
            <c:showSerName val="0"/>
            <c:showPercent val="1"/>
            <c:showBubbleSize val="0"/>
            <c:showLeaderLines val="0"/>
            <c:extLst>
              <c:ext xmlns:c15="http://schemas.microsoft.com/office/drawing/2012/chart" uri="{CE6537A1-D6FC-4f65-9D91-7224C49458BB}"/>
            </c:extLst>
          </c:dLbls>
          <c:cat>
            <c:strRef>
              <c:f>'Result '!$D$13:$D$16</c:f>
              <c:strCache>
                <c:ptCount val="4"/>
                <c:pt idx="0">
                  <c:v>Partial,</c:v>
                </c:pt>
                <c:pt idx="1">
                  <c:v>Risk Informed</c:v>
                </c:pt>
                <c:pt idx="2">
                  <c:v>Repeatable</c:v>
                </c:pt>
                <c:pt idx="3">
                  <c:v>Adabtive</c:v>
                </c:pt>
              </c:strCache>
            </c:strRef>
          </c:cat>
          <c:val>
            <c:numRef>
              <c:f>'Result '!$E$13:$E$16</c:f>
              <c:numCache>
                <c:formatCode>General</c:formatCode>
                <c:ptCount val="4"/>
                <c:pt idx="0">
                  <c:v>21</c:v>
                </c:pt>
                <c:pt idx="1">
                  <c:v>0</c:v>
                </c:pt>
                <c:pt idx="2">
                  <c:v>0</c:v>
                </c:pt>
                <c:pt idx="3">
                  <c:v>0</c:v>
                </c:pt>
              </c:numCache>
            </c:numRef>
          </c:val>
          <c:extLst>
            <c:ext xmlns:c16="http://schemas.microsoft.com/office/drawing/2014/chart" uri="{C3380CC4-5D6E-409C-BE32-E72D297353CC}">
              <c16:uniqueId val="{00000008-98B0-BD43-BADF-9D27FEBE2451}"/>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PROTECT PHASE MATURITY CHAT  </a:t>
            </a:r>
          </a:p>
        </c:rich>
      </c:tx>
      <c:layout>
        <c:manualLayout>
          <c:xMode val="edge"/>
          <c:yMode val="edge"/>
          <c:x val="0.29221108655944505"/>
          <c:y val="3.96039603960396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708-0C4D-80EA-7E70E084146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708-0C4D-80EA-7E70E084146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708-0C4D-80EA-7E70E084146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708-0C4D-80EA-7E70E0841466}"/>
              </c:ext>
            </c:extLst>
          </c:dPt>
          <c:dLbls>
            <c:dLbl>
              <c:idx val="0"/>
              <c:layout>
                <c:manualLayout>
                  <c:x val="0.4025203337739322"/>
                  <c:y val="0.17821782178217821"/>
                </c:manualLayout>
              </c:layout>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708-0C4D-80EA-7E70E0841466}"/>
                </c:ext>
              </c:extLst>
            </c:dLbl>
            <c:dLbl>
              <c:idx val="1"/>
              <c:layout>
                <c:manualLayout>
                  <c:x val="0.33695664538456893"/>
                  <c:y val="-0.56765702554507425"/>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1"/>
              <c:showSerName val="0"/>
              <c:showPercent val="1"/>
              <c:showBubbleSize val="0"/>
              <c:extLst>
                <c:ext xmlns:c15="http://schemas.microsoft.com/office/drawing/2012/chart" uri="{CE6537A1-D6FC-4f65-9D91-7224C49458BB}">
                  <c15:layout>
                    <c:manualLayout>
                      <c:w val="0.17366640446978113"/>
                      <c:h val="0.26392765260778045"/>
                    </c:manualLayout>
                  </c15:layout>
                </c:ext>
                <c:ext xmlns:c16="http://schemas.microsoft.com/office/drawing/2014/chart" uri="{C3380CC4-5D6E-409C-BE32-E72D297353CC}">
                  <c16:uniqueId val="{00000003-4708-0C4D-80EA-7E70E0841466}"/>
                </c:ext>
              </c:extLst>
            </c:dLbl>
            <c:dLbl>
              <c:idx val="2"/>
              <c:layout>
                <c:manualLayout>
                  <c:x val="0.23131084927463366"/>
                  <c:y val="8.5808580858085751E-2"/>
                </c:manualLayout>
              </c:layout>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4708-0C4D-80EA-7E70E0841466}"/>
                </c:ext>
              </c:extLst>
            </c:dLbl>
            <c:dLbl>
              <c:idx val="3"/>
              <c:layout>
                <c:manualLayout>
                  <c:x val="0.22545196526026412"/>
                  <c:y val="-0.21782178217821782"/>
                </c:manualLayout>
              </c:layout>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4708-0C4D-80EA-7E70E084146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1"/>
            <c:showSerName val="0"/>
            <c:showPercent val="1"/>
            <c:showBubbleSize val="0"/>
            <c:showLeaderLines val="0"/>
            <c:extLst>
              <c:ext xmlns:c15="http://schemas.microsoft.com/office/drawing/2012/chart" uri="{CE6537A1-D6FC-4f65-9D91-7224C49458BB}"/>
            </c:extLst>
          </c:dLbls>
          <c:cat>
            <c:strRef>
              <c:f>'Result '!$D$26:$D$29</c:f>
              <c:strCache>
                <c:ptCount val="4"/>
                <c:pt idx="0">
                  <c:v>Partial,</c:v>
                </c:pt>
                <c:pt idx="1">
                  <c:v>Risk Informed</c:v>
                </c:pt>
                <c:pt idx="2">
                  <c:v>Repeatable</c:v>
                </c:pt>
                <c:pt idx="3">
                  <c:v>Adabtive</c:v>
                </c:pt>
              </c:strCache>
            </c:strRef>
          </c:cat>
          <c:val>
            <c:numRef>
              <c:f>'Result '!$E$26:$E$29</c:f>
              <c:numCache>
                <c:formatCode>General</c:formatCode>
                <c:ptCount val="4"/>
                <c:pt idx="0">
                  <c:v>0</c:v>
                </c:pt>
                <c:pt idx="1">
                  <c:v>58</c:v>
                </c:pt>
                <c:pt idx="2">
                  <c:v>0</c:v>
                </c:pt>
                <c:pt idx="3">
                  <c:v>0</c:v>
                </c:pt>
              </c:numCache>
            </c:numRef>
          </c:val>
          <c:extLst>
            <c:ext xmlns:c16="http://schemas.microsoft.com/office/drawing/2014/chart" uri="{C3380CC4-5D6E-409C-BE32-E72D297353CC}">
              <c16:uniqueId val="{00000008-4708-0C4D-80EA-7E70E0841466}"/>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RESPOND</a:t>
            </a:r>
            <a:r>
              <a:rPr lang="en-US" baseline="0"/>
              <a:t> PHASE MATURITY CHAT </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35B-E747-B3A3-06EC7B9E54A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35B-E747-B3A3-06EC7B9E54A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35B-E747-B3A3-06EC7B9E54A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35B-E747-B3A3-06EC7B9E54AF}"/>
              </c:ext>
            </c:extLst>
          </c:dPt>
          <c:dLbls>
            <c:dLbl>
              <c:idx val="0"/>
              <c:layout>
                <c:manualLayout>
                  <c:x val="0.36955320186746554"/>
                  <c:y val="3.313999116447066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1"/>
              <c:showSerName val="0"/>
              <c:showPercent val="1"/>
              <c:showBubbleSize val="0"/>
              <c:extLst>
                <c:ext xmlns:c15="http://schemas.microsoft.com/office/drawing/2012/chart" uri="{CE6537A1-D6FC-4f65-9D91-7224C49458BB}">
                  <c15:layout>
                    <c:manualLayout>
                      <c:w val="0.18513176782105772"/>
                      <c:h val="0.23092435227774746"/>
                    </c:manualLayout>
                  </c15:layout>
                </c:ext>
                <c:ext xmlns:c16="http://schemas.microsoft.com/office/drawing/2014/chart" uri="{C3380CC4-5D6E-409C-BE32-E72D297353CC}">
                  <c16:uniqueId val="{00000001-035B-E747-B3A3-06EC7B9E54AF}"/>
                </c:ext>
              </c:extLst>
            </c:dLbl>
            <c:dLbl>
              <c:idx val="1"/>
              <c:layout>
                <c:manualLayout>
                  <c:x val="0.33611111111111114"/>
                  <c:y val="-0.22442244224422442"/>
                </c:manualLayout>
              </c:layout>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35B-E747-B3A3-06EC7B9E54AF}"/>
                </c:ext>
              </c:extLst>
            </c:dLbl>
            <c:dLbl>
              <c:idx val="2"/>
              <c:layout>
                <c:manualLayout>
                  <c:x val="0.16922319002160127"/>
                  <c:y val="-3.9603960396039604E-2"/>
                </c:manualLayout>
              </c:layout>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35B-E747-B3A3-06EC7B9E54AF}"/>
                </c:ext>
              </c:extLst>
            </c:dLbl>
            <c:dLbl>
              <c:idx val="3"/>
              <c:layout>
                <c:manualLayout>
                  <c:x val="0.34220751167166052"/>
                  <c:y val="9.9009900990098945E-2"/>
                </c:manualLayout>
              </c:layout>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035B-E747-B3A3-06EC7B9E54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1"/>
            <c:showSerName val="0"/>
            <c:showPercent val="1"/>
            <c:showBubbleSize val="0"/>
            <c:showLeaderLines val="0"/>
            <c:extLst>
              <c:ext xmlns:c15="http://schemas.microsoft.com/office/drawing/2012/chart" uri="{CE6537A1-D6FC-4f65-9D91-7224C49458BB}"/>
            </c:extLst>
          </c:dLbls>
          <c:cat>
            <c:strRef>
              <c:f>'Result '!$D$38:$D$41</c:f>
              <c:strCache>
                <c:ptCount val="4"/>
                <c:pt idx="0">
                  <c:v>Partial</c:v>
                </c:pt>
                <c:pt idx="1">
                  <c:v>Risk Informed</c:v>
                </c:pt>
                <c:pt idx="2">
                  <c:v>Repeatable</c:v>
                </c:pt>
                <c:pt idx="3">
                  <c:v>Adabtive</c:v>
                </c:pt>
              </c:strCache>
            </c:strRef>
          </c:cat>
          <c:val>
            <c:numRef>
              <c:f>'Result '!$E$38:$E$41</c:f>
              <c:numCache>
                <c:formatCode>General</c:formatCode>
                <c:ptCount val="4"/>
                <c:pt idx="0">
                  <c:v>34</c:v>
                </c:pt>
                <c:pt idx="1">
                  <c:v>0</c:v>
                </c:pt>
                <c:pt idx="2">
                  <c:v>0</c:v>
                </c:pt>
                <c:pt idx="3">
                  <c:v>0</c:v>
                </c:pt>
              </c:numCache>
            </c:numRef>
          </c:val>
          <c:extLst>
            <c:ext xmlns:c16="http://schemas.microsoft.com/office/drawing/2014/chart" uri="{C3380CC4-5D6E-409C-BE32-E72D297353CC}">
              <c16:uniqueId val="{00000008-035B-E747-B3A3-06EC7B9E54AF}"/>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RECOVERY PHASE MATURITY CHAT </a:t>
            </a:r>
          </a:p>
        </c:rich>
      </c:tx>
      <c:layout>
        <c:manualLayout>
          <c:xMode val="edge"/>
          <c:yMode val="edge"/>
          <c:x val="0.41798852168126877"/>
          <c:y val="6.164383561643835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B97-364F-A14C-0A87C943CA4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B97-364F-A14C-0A87C943CA4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B97-364F-A14C-0A87C943CA4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B97-364F-A14C-0A87C943CA4D}"/>
              </c:ext>
            </c:extLst>
          </c:dPt>
          <c:dLbls>
            <c:dLbl>
              <c:idx val="0"/>
              <c:layout>
                <c:manualLayout>
                  <c:x val="0.40013371924015129"/>
                  <c:y val="0.15990777693884156"/>
                </c:manualLayout>
              </c:layout>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B97-364F-A14C-0A87C943CA4D}"/>
                </c:ext>
              </c:extLst>
            </c:dLbl>
            <c:dLbl>
              <c:idx val="1"/>
              <c:layout>
                <c:manualLayout>
                  <c:x val="0.34678972712680567"/>
                  <c:y val="8.3932154028691613E-2"/>
                </c:manualLayout>
              </c:layout>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B97-364F-A14C-0A87C943CA4D}"/>
                </c:ext>
              </c:extLst>
            </c:dLbl>
            <c:dLbl>
              <c:idx val="2"/>
              <c:layout>
                <c:manualLayout>
                  <c:x val="0.36617623639741659"/>
                  <c:y val="0.27546435120267498"/>
                </c:manualLayout>
              </c:layout>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5B97-364F-A14C-0A87C943CA4D}"/>
                </c:ext>
              </c:extLst>
            </c:dLbl>
            <c:dLbl>
              <c:idx val="3"/>
              <c:layout>
                <c:manualLayout>
                  <c:x val="0.33055555555555555"/>
                  <c:y val="-0.18481848184818481"/>
                </c:manualLayout>
              </c:layout>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5B97-364F-A14C-0A87C943CA4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0"/>
            <c:showCatName val="1"/>
            <c:showSerName val="0"/>
            <c:showPercent val="1"/>
            <c:showBubbleSize val="0"/>
            <c:showLeaderLines val="0"/>
            <c:extLst>
              <c:ext xmlns:c15="http://schemas.microsoft.com/office/drawing/2012/chart" uri="{CE6537A1-D6FC-4f65-9D91-7224C49458BB}"/>
            </c:extLst>
          </c:dLbls>
          <c:cat>
            <c:strRef>
              <c:f>'Result '!$D$52:$D$55</c:f>
              <c:strCache>
                <c:ptCount val="4"/>
                <c:pt idx="0">
                  <c:v>Partial,</c:v>
                </c:pt>
                <c:pt idx="1">
                  <c:v>Risk Informed</c:v>
                </c:pt>
                <c:pt idx="2">
                  <c:v>Repeatable</c:v>
                </c:pt>
                <c:pt idx="3">
                  <c:v>Adabtive</c:v>
                </c:pt>
              </c:strCache>
            </c:strRef>
          </c:cat>
          <c:val>
            <c:numRef>
              <c:f>'Result '!$E$52:$E$55</c:f>
              <c:numCache>
                <c:formatCode>General</c:formatCode>
                <c:ptCount val="4"/>
                <c:pt idx="0">
                  <c:v>39</c:v>
                </c:pt>
                <c:pt idx="1">
                  <c:v>0</c:v>
                </c:pt>
                <c:pt idx="2">
                  <c:v>0</c:v>
                </c:pt>
                <c:pt idx="3">
                  <c:v>0</c:v>
                </c:pt>
              </c:numCache>
            </c:numRef>
          </c:val>
          <c:extLst>
            <c:ext xmlns:c16="http://schemas.microsoft.com/office/drawing/2014/chart" uri="{C3380CC4-5D6E-409C-BE32-E72D297353CC}">
              <c16:uniqueId val="{00000008-5B97-364F-A14C-0A87C943CA4D}"/>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6</xdr:col>
      <xdr:colOff>38100</xdr:colOff>
      <xdr:row>3</xdr:row>
      <xdr:rowOff>30480</xdr:rowOff>
    </xdr:from>
    <xdr:to>
      <xdr:col>6</xdr:col>
      <xdr:colOff>1318260</xdr:colOff>
      <xdr:row>4</xdr:row>
      <xdr:rowOff>76200</xdr:rowOff>
    </xdr:to>
    <xdr:sp macro="" textlink="">
      <xdr:nvSpPr>
        <xdr:cNvPr id="39999" name="Button 63" hidden="1">
          <a:extLst>
            <a:ext uri="{63B3BB69-23CF-44E3-9099-C40C66FF867C}">
              <a14:compatExt xmlns:a14="http://schemas.microsoft.com/office/drawing/2010/main" spid="_x0000_s39999"/>
            </a:ext>
            <a:ext uri="{FF2B5EF4-FFF2-40B4-BE49-F238E27FC236}">
              <a16:creationId xmlns:a16="http://schemas.microsoft.com/office/drawing/2014/main" id="{00000000-0008-0000-0500-00003F9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IN" sz="1000" b="0" i="0" u="none" strike="noStrike" baseline="0">
              <a:solidFill>
                <a:srgbClr val="000000"/>
              </a:solidFill>
              <a:latin typeface="Verdana"/>
              <a:ea typeface="Verdana"/>
            </a:rPr>
            <a:t>Reset responses</a:t>
          </a:r>
        </a:p>
      </xdr:txBody>
    </xdr:sp>
    <xdr:clientData fPrintsWithSheet="0"/>
  </xdr:twoCellAnchor>
  <xdr:twoCellAnchor editAs="oneCell">
    <xdr:from>
      <xdr:col>8</xdr:col>
      <xdr:colOff>30480</xdr:colOff>
      <xdr:row>3</xdr:row>
      <xdr:rowOff>30480</xdr:rowOff>
    </xdr:from>
    <xdr:to>
      <xdr:col>8</xdr:col>
      <xdr:colOff>1303020</xdr:colOff>
      <xdr:row>4</xdr:row>
      <xdr:rowOff>76200</xdr:rowOff>
    </xdr:to>
    <xdr:sp macro="" textlink="">
      <xdr:nvSpPr>
        <xdr:cNvPr id="40000" name="Button 64" hidden="1">
          <a:extLst>
            <a:ext uri="{63B3BB69-23CF-44E3-9099-C40C66FF867C}">
              <a14:compatExt xmlns:a14="http://schemas.microsoft.com/office/drawing/2010/main" spid="_x0000_s40000"/>
            </a:ext>
            <a:ext uri="{FF2B5EF4-FFF2-40B4-BE49-F238E27FC236}">
              <a16:creationId xmlns:a16="http://schemas.microsoft.com/office/drawing/2014/main" id="{00000000-0008-0000-0500-0000409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IN" sz="1000" b="0" i="0" u="none" strike="noStrike" baseline="0">
              <a:solidFill>
                <a:srgbClr val="000000"/>
              </a:solidFill>
              <a:latin typeface="Verdana"/>
              <a:ea typeface="Verdana"/>
            </a:rPr>
            <a:t>Reset comments</a:t>
          </a:r>
        </a:p>
      </xdr:txBody>
    </xdr:sp>
    <xdr:clientData fPrintsWithSheet="0"/>
  </xdr:twoCellAnchor>
  <xdr:twoCellAnchor editAs="oneCell">
    <xdr:from>
      <xdr:col>6</xdr:col>
      <xdr:colOff>106680</xdr:colOff>
      <xdr:row>8</xdr:row>
      <xdr:rowOff>83820</xdr:rowOff>
    </xdr:from>
    <xdr:to>
      <xdr:col>6</xdr:col>
      <xdr:colOff>1249680</xdr:colOff>
      <xdr:row>8</xdr:row>
      <xdr:rowOff>304800</xdr:rowOff>
    </xdr:to>
    <xdr:sp macro="" textlink="">
      <xdr:nvSpPr>
        <xdr:cNvPr id="40401" name="Drop Down 465" hidden="1">
          <a:extLst>
            <a:ext uri="{63B3BB69-23CF-44E3-9099-C40C66FF867C}">
              <a14:compatExt xmlns:a14="http://schemas.microsoft.com/office/drawing/2010/main" spid="_x0000_s40401"/>
            </a:ext>
            <a:ext uri="{FF2B5EF4-FFF2-40B4-BE49-F238E27FC236}">
              <a16:creationId xmlns:a16="http://schemas.microsoft.com/office/drawing/2014/main" id="{00000000-0008-0000-0500-0000D1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0</xdr:rowOff>
    </xdr:from>
    <xdr:to>
      <xdr:col>6</xdr:col>
      <xdr:colOff>1249680</xdr:colOff>
      <xdr:row>14</xdr:row>
      <xdr:rowOff>220980</xdr:rowOff>
    </xdr:to>
    <xdr:sp macro="" textlink="">
      <xdr:nvSpPr>
        <xdr:cNvPr id="40402" name="Drop Down 466" hidden="1">
          <a:extLst>
            <a:ext uri="{63B3BB69-23CF-44E3-9099-C40C66FF867C}">
              <a14:compatExt xmlns:a14="http://schemas.microsoft.com/office/drawing/2010/main" spid="_x0000_s40402"/>
            </a:ext>
            <a:ext uri="{FF2B5EF4-FFF2-40B4-BE49-F238E27FC236}">
              <a16:creationId xmlns:a16="http://schemas.microsoft.com/office/drawing/2014/main" id="{00000000-0008-0000-0500-0000D29D0000}"/>
            </a:ext>
            <a:ext uri="{147F2762-F138-4A5C-976F-8EAC2B608ADB}">
              <a16:predDERef xmlns:a16="http://schemas.microsoft.com/office/drawing/2014/main" pred="{00000000-0008-0000-0500-0000D1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0</xdr:rowOff>
    </xdr:from>
    <xdr:to>
      <xdr:col>6</xdr:col>
      <xdr:colOff>1249680</xdr:colOff>
      <xdr:row>14</xdr:row>
      <xdr:rowOff>220980</xdr:rowOff>
    </xdr:to>
    <xdr:sp macro="" textlink="">
      <xdr:nvSpPr>
        <xdr:cNvPr id="40403" name="Drop Down 467" hidden="1">
          <a:extLst>
            <a:ext uri="{63B3BB69-23CF-44E3-9099-C40C66FF867C}">
              <a14:compatExt xmlns:a14="http://schemas.microsoft.com/office/drawing/2010/main" spid="_x0000_s40403"/>
            </a:ext>
            <a:ext uri="{FF2B5EF4-FFF2-40B4-BE49-F238E27FC236}">
              <a16:creationId xmlns:a16="http://schemas.microsoft.com/office/drawing/2014/main" id="{00000000-0008-0000-0500-0000D39D0000}"/>
            </a:ext>
            <a:ext uri="{147F2762-F138-4A5C-976F-8EAC2B608ADB}">
              <a16:predDERef xmlns:a16="http://schemas.microsoft.com/office/drawing/2014/main" pred="{00000000-0008-0000-0500-0000D2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xdr:row>
      <xdr:rowOff>83820</xdr:rowOff>
    </xdr:from>
    <xdr:to>
      <xdr:col>6</xdr:col>
      <xdr:colOff>1249680</xdr:colOff>
      <xdr:row>15</xdr:row>
      <xdr:rowOff>304800</xdr:rowOff>
    </xdr:to>
    <xdr:sp macro="" textlink="">
      <xdr:nvSpPr>
        <xdr:cNvPr id="40404" name="Drop Down 468" hidden="1">
          <a:extLst>
            <a:ext uri="{63B3BB69-23CF-44E3-9099-C40C66FF867C}">
              <a14:compatExt xmlns:a14="http://schemas.microsoft.com/office/drawing/2010/main" spid="_x0000_s40404"/>
            </a:ext>
            <a:ext uri="{FF2B5EF4-FFF2-40B4-BE49-F238E27FC236}">
              <a16:creationId xmlns:a16="http://schemas.microsoft.com/office/drawing/2014/main" id="{00000000-0008-0000-0500-0000D4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xdr:row>
      <xdr:rowOff>83820</xdr:rowOff>
    </xdr:from>
    <xdr:to>
      <xdr:col>6</xdr:col>
      <xdr:colOff>1249680</xdr:colOff>
      <xdr:row>20</xdr:row>
      <xdr:rowOff>304800</xdr:rowOff>
    </xdr:to>
    <xdr:sp macro="" textlink="">
      <xdr:nvSpPr>
        <xdr:cNvPr id="40405" name="Drop Down 469" hidden="1">
          <a:extLst>
            <a:ext uri="{63B3BB69-23CF-44E3-9099-C40C66FF867C}">
              <a14:compatExt xmlns:a14="http://schemas.microsoft.com/office/drawing/2010/main" spid="_x0000_s40405"/>
            </a:ext>
            <a:ext uri="{FF2B5EF4-FFF2-40B4-BE49-F238E27FC236}">
              <a16:creationId xmlns:a16="http://schemas.microsoft.com/office/drawing/2014/main" id="{00000000-0008-0000-0500-0000D5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06" name="Drop Down 470" hidden="1">
          <a:extLst>
            <a:ext uri="{63B3BB69-23CF-44E3-9099-C40C66FF867C}">
              <a14:compatExt xmlns:a14="http://schemas.microsoft.com/office/drawing/2010/main" spid="_x0000_s40406"/>
            </a:ext>
            <a:ext uri="{FF2B5EF4-FFF2-40B4-BE49-F238E27FC236}">
              <a16:creationId xmlns:a16="http://schemas.microsoft.com/office/drawing/2014/main" id="{00000000-0008-0000-0500-0000D69D0000}"/>
            </a:ext>
            <a:ext uri="{147F2762-F138-4A5C-976F-8EAC2B608ADB}">
              <a16:predDERef xmlns:a16="http://schemas.microsoft.com/office/drawing/2014/main" pred="{00000000-0008-0000-0500-0000D5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07" name="Drop Down 471" hidden="1">
          <a:extLst>
            <a:ext uri="{63B3BB69-23CF-44E3-9099-C40C66FF867C}">
              <a14:compatExt xmlns:a14="http://schemas.microsoft.com/office/drawing/2010/main" spid="_x0000_s40407"/>
            </a:ext>
            <a:ext uri="{FF2B5EF4-FFF2-40B4-BE49-F238E27FC236}">
              <a16:creationId xmlns:a16="http://schemas.microsoft.com/office/drawing/2014/main" id="{00000000-0008-0000-0500-0000D79D0000}"/>
            </a:ext>
            <a:ext uri="{147F2762-F138-4A5C-976F-8EAC2B608ADB}">
              <a16:predDERef xmlns:a16="http://schemas.microsoft.com/office/drawing/2014/main" pred="{00000000-0008-0000-0500-0000D6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08" name="Drop Down 472" hidden="1">
          <a:extLst>
            <a:ext uri="{63B3BB69-23CF-44E3-9099-C40C66FF867C}">
              <a14:compatExt xmlns:a14="http://schemas.microsoft.com/office/drawing/2010/main" spid="_x0000_s40408"/>
            </a:ext>
            <a:ext uri="{FF2B5EF4-FFF2-40B4-BE49-F238E27FC236}">
              <a16:creationId xmlns:a16="http://schemas.microsoft.com/office/drawing/2014/main" id="{00000000-0008-0000-0500-0000D89D0000}"/>
            </a:ext>
            <a:ext uri="{147F2762-F138-4A5C-976F-8EAC2B608ADB}">
              <a16:predDERef xmlns:a16="http://schemas.microsoft.com/office/drawing/2014/main" pred="{00000000-0008-0000-0500-0000D7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09" name="Drop Down 473" hidden="1">
          <a:extLst>
            <a:ext uri="{63B3BB69-23CF-44E3-9099-C40C66FF867C}">
              <a14:compatExt xmlns:a14="http://schemas.microsoft.com/office/drawing/2010/main" spid="_x0000_s40409"/>
            </a:ext>
            <a:ext uri="{FF2B5EF4-FFF2-40B4-BE49-F238E27FC236}">
              <a16:creationId xmlns:a16="http://schemas.microsoft.com/office/drawing/2014/main" id="{00000000-0008-0000-0500-0000D99D0000}"/>
            </a:ext>
            <a:ext uri="{147F2762-F138-4A5C-976F-8EAC2B608ADB}">
              <a16:predDERef xmlns:a16="http://schemas.microsoft.com/office/drawing/2014/main" pred="{00000000-0008-0000-0500-0000D8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10" name="Drop Down 474" hidden="1">
          <a:extLst>
            <a:ext uri="{63B3BB69-23CF-44E3-9099-C40C66FF867C}">
              <a14:compatExt xmlns:a14="http://schemas.microsoft.com/office/drawing/2010/main" spid="_x0000_s40410"/>
            </a:ext>
            <a:ext uri="{FF2B5EF4-FFF2-40B4-BE49-F238E27FC236}">
              <a16:creationId xmlns:a16="http://schemas.microsoft.com/office/drawing/2014/main" id="{00000000-0008-0000-0500-0000DA9D0000}"/>
            </a:ext>
            <a:ext uri="{147F2762-F138-4A5C-976F-8EAC2B608ADB}">
              <a16:predDERef xmlns:a16="http://schemas.microsoft.com/office/drawing/2014/main" pred="{00000000-0008-0000-0500-0000D9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11" name="Drop Down 475" hidden="1">
          <a:extLst>
            <a:ext uri="{63B3BB69-23CF-44E3-9099-C40C66FF867C}">
              <a14:compatExt xmlns:a14="http://schemas.microsoft.com/office/drawing/2010/main" spid="_x0000_s40411"/>
            </a:ext>
            <a:ext uri="{FF2B5EF4-FFF2-40B4-BE49-F238E27FC236}">
              <a16:creationId xmlns:a16="http://schemas.microsoft.com/office/drawing/2014/main" id="{00000000-0008-0000-0500-0000DB9D0000}"/>
            </a:ext>
            <a:ext uri="{147F2762-F138-4A5C-976F-8EAC2B608ADB}">
              <a16:predDERef xmlns:a16="http://schemas.microsoft.com/office/drawing/2014/main" pred="{00000000-0008-0000-0500-0000DA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83820</xdr:rowOff>
    </xdr:from>
    <xdr:to>
      <xdr:col>6</xdr:col>
      <xdr:colOff>1249680</xdr:colOff>
      <xdr:row>21</xdr:row>
      <xdr:rowOff>304800</xdr:rowOff>
    </xdr:to>
    <xdr:sp macro="" textlink="">
      <xdr:nvSpPr>
        <xdr:cNvPr id="40412" name="Drop Down 476" hidden="1">
          <a:extLst>
            <a:ext uri="{63B3BB69-23CF-44E3-9099-C40C66FF867C}">
              <a14:compatExt xmlns:a14="http://schemas.microsoft.com/office/drawing/2010/main" spid="_x0000_s40412"/>
            </a:ext>
            <a:ext uri="{FF2B5EF4-FFF2-40B4-BE49-F238E27FC236}">
              <a16:creationId xmlns:a16="http://schemas.microsoft.com/office/drawing/2014/main" id="{00000000-0008-0000-0500-0000DC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26</xdr:row>
      <xdr:rowOff>83820</xdr:rowOff>
    </xdr:from>
    <xdr:to>
      <xdr:col>6</xdr:col>
      <xdr:colOff>1249680</xdr:colOff>
      <xdr:row>26</xdr:row>
      <xdr:rowOff>304800</xdr:rowOff>
    </xdr:to>
    <xdr:sp macro="" textlink="">
      <xdr:nvSpPr>
        <xdr:cNvPr id="40413" name="Drop Down 477" hidden="1">
          <a:extLst>
            <a:ext uri="{63B3BB69-23CF-44E3-9099-C40C66FF867C}">
              <a14:compatExt xmlns:a14="http://schemas.microsoft.com/office/drawing/2010/main" spid="_x0000_s40413"/>
            </a:ext>
            <a:ext uri="{FF2B5EF4-FFF2-40B4-BE49-F238E27FC236}">
              <a16:creationId xmlns:a16="http://schemas.microsoft.com/office/drawing/2014/main" id="{00000000-0008-0000-0500-0000DD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46</xdr:row>
      <xdr:rowOff>83820</xdr:rowOff>
    </xdr:from>
    <xdr:to>
      <xdr:col>6</xdr:col>
      <xdr:colOff>1249680</xdr:colOff>
      <xdr:row>47</xdr:row>
      <xdr:rowOff>114300</xdr:rowOff>
    </xdr:to>
    <xdr:sp macro="" textlink="">
      <xdr:nvSpPr>
        <xdr:cNvPr id="40414" name="Drop Down 478" hidden="1">
          <a:extLst>
            <a:ext uri="{63B3BB69-23CF-44E3-9099-C40C66FF867C}">
              <a14:compatExt xmlns:a14="http://schemas.microsoft.com/office/drawing/2010/main" spid="_x0000_s40414"/>
            </a:ext>
            <a:ext uri="{FF2B5EF4-FFF2-40B4-BE49-F238E27FC236}">
              <a16:creationId xmlns:a16="http://schemas.microsoft.com/office/drawing/2014/main" id="{00000000-0008-0000-0500-0000DE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80</xdr:row>
      <xdr:rowOff>83820</xdr:rowOff>
    </xdr:from>
    <xdr:to>
      <xdr:col>6</xdr:col>
      <xdr:colOff>1249680</xdr:colOff>
      <xdr:row>81</xdr:row>
      <xdr:rowOff>114300</xdr:rowOff>
    </xdr:to>
    <xdr:sp macro="" textlink="">
      <xdr:nvSpPr>
        <xdr:cNvPr id="40415" name="Drop Down 479" hidden="1">
          <a:extLst>
            <a:ext uri="{63B3BB69-23CF-44E3-9099-C40C66FF867C}">
              <a14:compatExt xmlns:a14="http://schemas.microsoft.com/office/drawing/2010/main" spid="_x0000_s40415"/>
            </a:ext>
            <a:ext uri="{FF2B5EF4-FFF2-40B4-BE49-F238E27FC236}">
              <a16:creationId xmlns:a16="http://schemas.microsoft.com/office/drawing/2014/main" id="{00000000-0008-0000-0500-0000DF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106</xdr:row>
      <xdr:rowOff>83820</xdr:rowOff>
    </xdr:from>
    <xdr:to>
      <xdr:col>6</xdr:col>
      <xdr:colOff>1249680</xdr:colOff>
      <xdr:row>106</xdr:row>
      <xdr:rowOff>304800</xdr:rowOff>
    </xdr:to>
    <xdr:sp macro="" textlink="">
      <xdr:nvSpPr>
        <xdr:cNvPr id="40416" name="Drop Down 480" hidden="1">
          <a:extLst>
            <a:ext uri="{63B3BB69-23CF-44E3-9099-C40C66FF867C}">
              <a14:compatExt xmlns:a14="http://schemas.microsoft.com/office/drawing/2010/main" spid="_x0000_s40416"/>
            </a:ext>
            <a:ext uri="{FF2B5EF4-FFF2-40B4-BE49-F238E27FC236}">
              <a16:creationId xmlns:a16="http://schemas.microsoft.com/office/drawing/2014/main" id="{00000000-0008-0000-0500-0000E0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107</xdr:row>
      <xdr:rowOff>83820</xdr:rowOff>
    </xdr:from>
    <xdr:to>
      <xdr:col>6</xdr:col>
      <xdr:colOff>1249680</xdr:colOff>
      <xdr:row>107</xdr:row>
      <xdr:rowOff>304800</xdr:rowOff>
    </xdr:to>
    <xdr:sp macro="" textlink="">
      <xdr:nvSpPr>
        <xdr:cNvPr id="40417" name="Drop Down 481" hidden="1">
          <a:extLst>
            <a:ext uri="{63B3BB69-23CF-44E3-9099-C40C66FF867C}">
              <a14:compatExt xmlns:a14="http://schemas.microsoft.com/office/drawing/2010/main" spid="_x0000_s40417"/>
            </a:ext>
            <a:ext uri="{FF2B5EF4-FFF2-40B4-BE49-F238E27FC236}">
              <a16:creationId xmlns:a16="http://schemas.microsoft.com/office/drawing/2014/main" id="{00000000-0008-0000-0500-0000E1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109</xdr:row>
      <xdr:rowOff>83820</xdr:rowOff>
    </xdr:from>
    <xdr:to>
      <xdr:col>6</xdr:col>
      <xdr:colOff>1249680</xdr:colOff>
      <xdr:row>110</xdr:row>
      <xdr:rowOff>114300</xdr:rowOff>
    </xdr:to>
    <xdr:sp macro="" textlink="">
      <xdr:nvSpPr>
        <xdr:cNvPr id="40418" name="Drop Down 482" hidden="1">
          <a:extLst>
            <a:ext uri="{63B3BB69-23CF-44E3-9099-C40C66FF867C}">
              <a14:compatExt xmlns:a14="http://schemas.microsoft.com/office/drawing/2010/main" spid="_x0000_s40418"/>
            </a:ext>
            <a:ext uri="{FF2B5EF4-FFF2-40B4-BE49-F238E27FC236}">
              <a16:creationId xmlns:a16="http://schemas.microsoft.com/office/drawing/2014/main" id="{00000000-0008-0000-0500-0000E2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120</xdr:row>
      <xdr:rowOff>83820</xdr:rowOff>
    </xdr:from>
    <xdr:to>
      <xdr:col>6</xdr:col>
      <xdr:colOff>1249680</xdr:colOff>
      <xdr:row>121</xdr:row>
      <xdr:rowOff>114300</xdr:rowOff>
    </xdr:to>
    <xdr:sp macro="" textlink="">
      <xdr:nvSpPr>
        <xdr:cNvPr id="40419" name="Drop Down 483" hidden="1">
          <a:extLst>
            <a:ext uri="{63B3BB69-23CF-44E3-9099-C40C66FF867C}">
              <a14:compatExt xmlns:a14="http://schemas.microsoft.com/office/drawing/2010/main" spid="_x0000_s40419"/>
            </a:ext>
            <a:ext uri="{FF2B5EF4-FFF2-40B4-BE49-F238E27FC236}">
              <a16:creationId xmlns:a16="http://schemas.microsoft.com/office/drawing/2014/main" id="{00000000-0008-0000-0500-0000E3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122</xdr:row>
      <xdr:rowOff>83820</xdr:rowOff>
    </xdr:from>
    <xdr:to>
      <xdr:col>6</xdr:col>
      <xdr:colOff>1249680</xdr:colOff>
      <xdr:row>123</xdr:row>
      <xdr:rowOff>114300</xdr:rowOff>
    </xdr:to>
    <xdr:sp macro="" textlink="">
      <xdr:nvSpPr>
        <xdr:cNvPr id="40420" name="Drop Down 484" hidden="1">
          <a:extLst>
            <a:ext uri="{63B3BB69-23CF-44E3-9099-C40C66FF867C}">
              <a14:compatExt xmlns:a14="http://schemas.microsoft.com/office/drawing/2010/main" spid="_x0000_s40420"/>
            </a:ext>
            <a:ext uri="{FF2B5EF4-FFF2-40B4-BE49-F238E27FC236}">
              <a16:creationId xmlns:a16="http://schemas.microsoft.com/office/drawing/2014/main" id="{00000000-0008-0000-0500-0000E4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138</xdr:row>
      <xdr:rowOff>83820</xdr:rowOff>
    </xdr:from>
    <xdr:to>
      <xdr:col>6</xdr:col>
      <xdr:colOff>1249680</xdr:colOff>
      <xdr:row>139</xdr:row>
      <xdr:rowOff>114300</xdr:rowOff>
    </xdr:to>
    <xdr:sp macro="" textlink="">
      <xdr:nvSpPr>
        <xdr:cNvPr id="40421" name="Drop Down 485" hidden="1">
          <a:extLst>
            <a:ext uri="{63B3BB69-23CF-44E3-9099-C40C66FF867C}">
              <a14:compatExt xmlns:a14="http://schemas.microsoft.com/office/drawing/2010/main" spid="_x0000_s40421"/>
            </a:ext>
            <a:ext uri="{FF2B5EF4-FFF2-40B4-BE49-F238E27FC236}">
              <a16:creationId xmlns:a16="http://schemas.microsoft.com/office/drawing/2014/main" id="{00000000-0008-0000-0500-0000E5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153</xdr:row>
      <xdr:rowOff>83820</xdr:rowOff>
    </xdr:from>
    <xdr:to>
      <xdr:col>6</xdr:col>
      <xdr:colOff>1249680</xdr:colOff>
      <xdr:row>154</xdr:row>
      <xdr:rowOff>114300</xdr:rowOff>
    </xdr:to>
    <xdr:sp macro="" textlink="">
      <xdr:nvSpPr>
        <xdr:cNvPr id="40422" name="Drop Down 486" hidden="1">
          <a:extLst>
            <a:ext uri="{63B3BB69-23CF-44E3-9099-C40C66FF867C}">
              <a14:compatExt xmlns:a14="http://schemas.microsoft.com/office/drawing/2010/main" spid="_x0000_s40422"/>
            </a:ext>
            <a:ext uri="{FF2B5EF4-FFF2-40B4-BE49-F238E27FC236}">
              <a16:creationId xmlns:a16="http://schemas.microsoft.com/office/drawing/2014/main" id="{00000000-0008-0000-0500-0000E6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154</xdr:row>
      <xdr:rowOff>83820</xdr:rowOff>
    </xdr:from>
    <xdr:to>
      <xdr:col>6</xdr:col>
      <xdr:colOff>1249680</xdr:colOff>
      <xdr:row>154</xdr:row>
      <xdr:rowOff>304800</xdr:rowOff>
    </xdr:to>
    <xdr:sp macro="" textlink="">
      <xdr:nvSpPr>
        <xdr:cNvPr id="40423" name="Drop Down 487" hidden="1">
          <a:extLst>
            <a:ext uri="{63B3BB69-23CF-44E3-9099-C40C66FF867C}">
              <a14:compatExt xmlns:a14="http://schemas.microsoft.com/office/drawing/2010/main" spid="_x0000_s40423"/>
            </a:ext>
            <a:ext uri="{FF2B5EF4-FFF2-40B4-BE49-F238E27FC236}">
              <a16:creationId xmlns:a16="http://schemas.microsoft.com/office/drawing/2014/main" id="{00000000-0008-0000-0500-0000E7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161</xdr:row>
      <xdr:rowOff>83820</xdr:rowOff>
    </xdr:from>
    <xdr:to>
      <xdr:col>6</xdr:col>
      <xdr:colOff>1249680</xdr:colOff>
      <xdr:row>162</xdr:row>
      <xdr:rowOff>114300</xdr:rowOff>
    </xdr:to>
    <xdr:sp macro="" textlink="">
      <xdr:nvSpPr>
        <xdr:cNvPr id="40424" name="Drop Down 488" hidden="1">
          <a:extLst>
            <a:ext uri="{63B3BB69-23CF-44E3-9099-C40C66FF867C}">
              <a14:compatExt xmlns:a14="http://schemas.microsoft.com/office/drawing/2010/main" spid="_x0000_s40424"/>
            </a:ext>
            <a:ext uri="{FF2B5EF4-FFF2-40B4-BE49-F238E27FC236}">
              <a16:creationId xmlns:a16="http://schemas.microsoft.com/office/drawing/2014/main" id="{00000000-0008-0000-0500-0000E8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166</xdr:row>
      <xdr:rowOff>83820</xdr:rowOff>
    </xdr:from>
    <xdr:to>
      <xdr:col>6</xdr:col>
      <xdr:colOff>1249680</xdr:colOff>
      <xdr:row>167</xdr:row>
      <xdr:rowOff>114300</xdr:rowOff>
    </xdr:to>
    <xdr:sp macro="" textlink="">
      <xdr:nvSpPr>
        <xdr:cNvPr id="40425" name="Drop Down 489" hidden="1">
          <a:extLst>
            <a:ext uri="{63B3BB69-23CF-44E3-9099-C40C66FF867C}">
              <a14:compatExt xmlns:a14="http://schemas.microsoft.com/office/drawing/2010/main" spid="_x0000_s40425"/>
            </a:ext>
            <a:ext uri="{FF2B5EF4-FFF2-40B4-BE49-F238E27FC236}">
              <a16:creationId xmlns:a16="http://schemas.microsoft.com/office/drawing/2014/main" id="{00000000-0008-0000-0500-0000E9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178</xdr:row>
      <xdr:rowOff>83820</xdr:rowOff>
    </xdr:from>
    <xdr:to>
      <xdr:col>6</xdr:col>
      <xdr:colOff>1249680</xdr:colOff>
      <xdr:row>179</xdr:row>
      <xdr:rowOff>114300</xdr:rowOff>
    </xdr:to>
    <xdr:sp macro="" textlink="">
      <xdr:nvSpPr>
        <xdr:cNvPr id="40426" name="Drop Down 490" hidden="1">
          <a:extLst>
            <a:ext uri="{63B3BB69-23CF-44E3-9099-C40C66FF867C}">
              <a14:compatExt xmlns:a14="http://schemas.microsoft.com/office/drawing/2010/main" spid="_x0000_s40426"/>
            </a:ext>
            <a:ext uri="{FF2B5EF4-FFF2-40B4-BE49-F238E27FC236}">
              <a16:creationId xmlns:a16="http://schemas.microsoft.com/office/drawing/2014/main" id="{00000000-0008-0000-0500-0000EA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185</xdr:row>
      <xdr:rowOff>83820</xdr:rowOff>
    </xdr:from>
    <xdr:to>
      <xdr:col>6</xdr:col>
      <xdr:colOff>1249680</xdr:colOff>
      <xdr:row>185</xdr:row>
      <xdr:rowOff>180975</xdr:rowOff>
    </xdr:to>
    <xdr:sp macro="" textlink="">
      <xdr:nvSpPr>
        <xdr:cNvPr id="40427" name="Drop Down 491" hidden="1">
          <a:extLst>
            <a:ext uri="{63B3BB69-23CF-44E3-9099-C40C66FF867C}">
              <a14:compatExt xmlns:a14="http://schemas.microsoft.com/office/drawing/2010/main" spid="_x0000_s40427"/>
            </a:ext>
            <a:ext uri="{FF2B5EF4-FFF2-40B4-BE49-F238E27FC236}">
              <a16:creationId xmlns:a16="http://schemas.microsoft.com/office/drawing/2014/main" id="{00000000-0008-0000-0500-0000EB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192</xdr:row>
      <xdr:rowOff>83820</xdr:rowOff>
    </xdr:from>
    <xdr:to>
      <xdr:col>6</xdr:col>
      <xdr:colOff>1249680</xdr:colOff>
      <xdr:row>193</xdr:row>
      <xdr:rowOff>114300</xdr:rowOff>
    </xdr:to>
    <xdr:sp macro="" textlink="">
      <xdr:nvSpPr>
        <xdr:cNvPr id="40428" name="Drop Down 492" hidden="1">
          <a:extLst>
            <a:ext uri="{63B3BB69-23CF-44E3-9099-C40C66FF867C}">
              <a14:compatExt xmlns:a14="http://schemas.microsoft.com/office/drawing/2010/main" spid="_x0000_s40428"/>
            </a:ext>
            <a:ext uri="{FF2B5EF4-FFF2-40B4-BE49-F238E27FC236}">
              <a16:creationId xmlns:a16="http://schemas.microsoft.com/office/drawing/2014/main" id="{00000000-0008-0000-0500-0000EC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197</xdr:row>
      <xdr:rowOff>83820</xdr:rowOff>
    </xdr:from>
    <xdr:to>
      <xdr:col>6</xdr:col>
      <xdr:colOff>1249680</xdr:colOff>
      <xdr:row>198</xdr:row>
      <xdr:rowOff>114300</xdr:rowOff>
    </xdr:to>
    <xdr:sp macro="" textlink="">
      <xdr:nvSpPr>
        <xdr:cNvPr id="40429" name="Drop Down 493" hidden="1">
          <a:extLst>
            <a:ext uri="{63B3BB69-23CF-44E3-9099-C40C66FF867C}">
              <a14:compatExt xmlns:a14="http://schemas.microsoft.com/office/drawing/2010/main" spid="_x0000_s40429"/>
            </a:ext>
            <a:ext uri="{FF2B5EF4-FFF2-40B4-BE49-F238E27FC236}">
              <a16:creationId xmlns:a16="http://schemas.microsoft.com/office/drawing/2014/main" id="{00000000-0008-0000-0500-0000ED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198</xdr:row>
      <xdr:rowOff>83820</xdr:rowOff>
    </xdr:from>
    <xdr:to>
      <xdr:col>6</xdr:col>
      <xdr:colOff>1249680</xdr:colOff>
      <xdr:row>199</xdr:row>
      <xdr:rowOff>114300</xdr:rowOff>
    </xdr:to>
    <xdr:sp macro="" textlink="">
      <xdr:nvSpPr>
        <xdr:cNvPr id="40430" name="Drop Down 494" hidden="1">
          <a:extLst>
            <a:ext uri="{63B3BB69-23CF-44E3-9099-C40C66FF867C}">
              <a14:compatExt xmlns:a14="http://schemas.microsoft.com/office/drawing/2010/main" spid="_x0000_s40430"/>
            </a:ext>
            <a:ext uri="{FF2B5EF4-FFF2-40B4-BE49-F238E27FC236}">
              <a16:creationId xmlns:a16="http://schemas.microsoft.com/office/drawing/2014/main" id="{00000000-0008-0000-0500-0000EE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209</xdr:row>
      <xdr:rowOff>83820</xdr:rowOff>
    </xdr:from>
    <xdr:to>
      <xdr:col>6</xdr:col>
      <xdr:colOff>1249680</xdr:colOff>
      <xdr:row>210</xdr:row>
      <xdr:rowOff>114300</xdr:rowOff>
    </xdr:to>
    <xdr:sp macro="" textlink="">
      <xdr:nvSpPr>
        <xdr:cNvPr id="40431" name="Drop Down 495" hidden="1">
          <a:extLst>
            <a:ext uri="{63B3BB69-23CF-44E3-9099-C40C66FF867C}">
              <a14:compatExt xmlns:a14="http://schemas.microsoft.com/office/drawing/2010/main" spid="_x0000_s40431"/>
            </a:ext>
            <a:ext uri="{FF2B5EF4-FFF2-40B4-BE49-F238E27FC236}">
              <a16:creationId xmlns:a16="http://schemas.microsoft.com/office/drawing/2014/main" id="{00000000-0008-0000-0500-0000EF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210</xdr:row>
      <xdr:rowOff>83820</xdr:rowOff>
    </xdr:from>
    <xdr:to>
      <xdr:col>6</xdr:col>
      <xdr:colOff>1249680</xdr:colOff>
      <xdr:row>211</xdr:row>
      <xdr:rowOff>114300</xdr:rowOff>
    </xdr:to>
    <xdr:sp macro="" textlink="">
      <xdr:nvSpPr>
        <xdr:cNvPr id="40432" name="Drop Down 496" hidden="1">
          <a:extLst>
            <a:ext uri="{63B3BB69-23CF-44E3-9099-C40C66FF867C}">
              <a14:compatExt xmlns:a14="http://schemas.microsoft.com/office/drawing/2010/main" spid="_x0000_s40432"/>
            </a:ext>
            <a:ext uri="{FF2B5EF4-FFF2-40B4-BE49-F238E27FC236}">
              <a16:creationId xmlns:a16="http://schemas.microsoft.com/office/drawing/2014/main" id="{00000000-0008-0000-0500-0000F0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xdr:row>
      <xdr:rowOff>83820</xdr:rowOff>
    </xdr:from>
    <xdr:to>
      <xdr:col>6</xdr:col>
      <xdr:colOff>1249680</xdr:colOff>
      <xdr:row>10</xdr:row>
      <xdr:rowOff>304800</xdr:rowOff>
    </xdr:to>
    <xdr:sp macro="" textlink="">
      <xdr:nvSpPr>
        <xdr:cNvPr id="40433" name="Drop Down 497" hidden="1">
          <a:extLst>
            <a:ext uri="{63B3BB69-23CF-44E3-9099-C40C66FF867C}">
              <a14:compatExt xmlns:a14="http://schemas.microsoft.com/office/drawing/2010/main" spid="_x0000_s40433"/>
            </a:ext>
            <a:ext uri="{FF2B5EF4-FFF2-40B4-BE49-F238E27FC236}">
              <a16:creationId xmlns:a16="http://schemas.microsoft.com/office/drawing/2014/main" id="{00000000-0008-0000-0500-0000F1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xdr:row>
      <xdr:rowOff>83820</xdr:rowOff>
    </xdr:from>
    <xdr:to>
      <xdr:col>6</xdr:col>
      <xdr:colOff>1249680</xdr:colOff>
      <xdr:row>11</xdr:row>
      <xdr:rowOff>304800</xdr:rowOff>
    </xdr:to>
    <xdr:sp macro="" textlink="">
      <xdr:nvSpPr>
        <xdr:cNvPr id="40434" name="Drop Down 498" hidden="1">
          <a:extLst>
            <a:ext uri="{63B3BB69-23CF-44E3-9099-C40C66FF867C}">
              <a14:compatExt xmlns:a14="http://schemas.microsoft.com/office/drawing/2010/main" spid="_x0000_s40434"/>
            </a:ext>
            <a:ext uri="{FF2B5EF4-FFF2-40B4-BE49-F238E27FC236}">
              <a16:creationId xmlns:a16="http://schemas.microsoft.com/office/drawing/2014/main" id="{00000000-0008-0000-0500-0000F2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xdr:row>
      <xdr:rowOff>83820</xdr:rowOff>
    </xdr:from>
    <xdr:to>
      <xdr:col>6</xdr:col>
      <xdr:colOff>1249680</xdr:colOff>
      <xdr:row>12</xdr:row>
      <xdr:rowOff>304800</xdr:rowOff>
    </xdr:to>
    <xdr:sp macro="" textlink="">
      <xdr:nvSpPr>
        <xdr:cNvPr id="40435" name="Drop Down 499" hidden="1">
          <a:extLst>
            <a:ext uri="{63B3BB69-23CF-44E3-9099-C40C66FF867C}">
              <a14:compatExt xmlns:a14="http://schemas.microsoft.com/office/drawing/2010/main" spid="_x0000_s40435"/>
            </a:ext>
            <a:ext uri="{FF2B5EF4-FFF2-40B4-BE49-F238E27FC236}">
              <a16:creationId xmlns:a16="http://schemas.microsoft.com/office/drawing/2014/main" id="{00000000-0008-0000-0500-0000F3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0</xdr:rowOff>
    </xdr:from>
    <xdr:to>
      <xdr:col>6</xdr:col>
      <xdr:colOff>1249680</xdr:colOff>
      <xdr:row>14</xdr:row>
      <xdr:rowOff>220980</xdr:rowOff>
    </xdr:to>
    <xdr:sp macro="" textlink="">
      <xdr:nvSpPr>
        <xdr:cNvPr id="40436" name="Drop Down 500" hidden="1">
          <a:extLst>
            <a:ext uri="{63B3BB69-23CF-44E3-9099-C40C66FF867C}">
              <a14:compatExt xmlns:a14="http://schemas.microsoft.com/office/drawing/2010/main" spid="_x0000_s40436"/>
            </a:ext>
            <a:ext uri="{FF2B5EF4-FFF2-40B4-BE49-F238E27FC236}">
              <a16:creationId xmlns:a16="http://schemas.microsoft.com/office/drawing/2014/main" id="{00000000-0008-0000-0500-0000F49D0000}"/>
            </a:ext>
            <a:ext uri="{147F2762-F138-4A5C-976F-8EAC2B608ADB}">
              <a16:predDERef xmlns:a16="http://schemas.microsoft.com/office/drawing/2014/main" pred="{00000000-0008-0000-0500-0000F3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0</xdr:rowOff>
    </xdr:from>
    <xdr:to>
      <xdr:col>6</xdr:col>
      <xdr:colOff>1249680</xdr:colOff>
      <xdr:row>14</xdr:row>
      <xdr:rowOff>220980</xdr:rowOff>
    </xdr:to>
    <xdr:sp macro="" textlink="">
      <xdr:nvSpPr>
        <xdr:cNvPr id="40437" name="Drop Down 501" hidden="1">
          <a:extLst>
            <a:ext uri="{63B3BB69-23CF-44E3-9099-C40C66FF867C}">
              <a14:compatExt xmlns:a14="http://schemas.microsoft.com/office/drawing/2010/main" spid="_x0000_s40437"/>
            </a:ext>
            <a:ext uri="{FF2B5EF4-FFF2-40B4-BE49-F238E27FC236}">
              <a16:creationId xmlns:a16="http://schemas.microsoft.com/office/drawing/2014/main" id="{00000000-0008-0000-0500-0000F59D0000}"/>
            </a:ext>
            <a:ext uri="{147F2762-F138-4A5C-976F-8EAC2B608ADB}">
              <a16:predDERef xmlns:a16="http://schemas.microsoft.com/office/drawing/2014/main" pred="{00000000-0008-0000-0500-0000F4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0</xdr:rowOff>
    </xdr:from>
    <xdr:to>
      <xdr:col>6</xdr:col>
      <xdr:colOff>1249680</xdr:colOff>
      <xdr:row>14</xdr:row>
      <xdr:rowOff>220980</xdr:rowOff>
    </xdr:to>
    <xdr:sp macro="" textlink="">
      <xdr:nvSpPr>
        <xdr:cNvPr id="40438" name="Drop Down 502" hidden="1">
          <a:extLst>
            <a:ext uri="{63B3BB69-23CF-44E3-9099-C40C66FF867C}">
              <a14:compatExt xmlns:a14="http://schemas.microsoft.com/office/drawing/2010/main" spid="_x0000_s40438"/>
            </a:ext>
            <a:ext uri="{FF2B5EF4-FFF2-40B4-BE49-F238E27FC236}">
              <a16:creationId xmlns:a16="http://schemas.microsoft.com/office/drawing/2014/main" id="{00000000-0008-0000-0500-0000F69D0000}"/>
            </a:ext>
            <a:ext uri="{147F2762-F138-4A5C-976F-8EAC2B608ADB}">
              <a16:predDERef xmlns:a16="http://schemas.microsoft.com/office/drawing/2014/main" pred="{00000000-0008-0000-0500-0000F5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0</xdr:rowOff>
    </xdr:from>
    <xdr:to>
      <xdr:col>6</xdr:col>
      <xdr:colOff>1249680</xdr:colOff>
      <xdr:row>14</xdr:row>
      <xdr:rowOff>220980</xdr:rowOff>
    </xdr:to>
    <xdr:sp macro="" textlink="">
      <xdr:nvSpPr>
        <xdr:cNvPr id="40439" name="Drop Down 503" hidden="1">
          <a:extLst>
            <a:ext uri="{63B3BB69-23CF-44E3-9099-C40C66FF867C}">
              <a14:compatExt xmlns:a14="http://schemas.microsoft.com/office/drawing/2010/main" spid="_x0000_s40439"/>
            </a:ext>
            <a:ext uri="{FF2B5EF4-FFF2-40B4-BE49-F238E27FC236}">
              <a16:creationId xmlns:a16="http://schemas.microsoft.com/office/drawing/2014/main" id="{00000000-0008-0000-0500-0000F79D0000}"/>
            </a:ext>
            <a:ext uri="{147F2762-F138-4A5C-976F-8EAC2B608ADB}">
              <a16:predDERef xmlns:a16="http://schemas.microsoft.com/office/drawing/2014/main" pred="{00000000-0008-0000-0500-0000F6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0</xdr:rowOff>
    </xdr:from>
    <xdr:to>
      <xdr:col>6</xdr:col>
      <xdr:colOff>1249680</xdr:colOff>
      <xdr:row>14</xdr:row>
      <xdr:rowOff>220980</xdr:rowOff>
    </xdr:to>
    <xdr:sp macro="" textlink="">
      <xdr:nvSpPr>
        <xdr:cNvPr id="40440" name="Drop Down 504" hidden="1">
          <a:extLst>
            <a:ext uri="{63B3BB69-23CF-44E3-9099-C40C66FF867C}">
              <a14:compatExt xmlns:a14="http://schemas.microsoft.com/office/drawing/2010/main" spid="_x0000_s40440"/>
            </a:ext>
            <a:ext uri="{FF2B5EF4-FFF2-40B4-BE49-F238E27FC236}">
              <a16:creationId xmlns:a16="http://schemas.microsoft.com/office/drawing/2014/main" id="{00000000-0008-0000-0500-0000F89D0000}"/>
            </a:ext>
            <a:ext uri="{147F2762-F138-4A5C-976F-8EAC2B608ADB}">
              <a16:predDERef xmlns:a16="http://schemas.microsoft.com/office/drawing/2014/main" pred="{00000000-0008-0000-0500-0000F7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0</xdr:rowOff>
    </xdr:from>
    <xdr:to>
      <xdr:col>6</xdr:col>
      <xdr:colOff>1249680</xdr:colOff>
      <xdr:row>14</xdr:row>
      <xdr:rowOff>220980</xdr:rowOff>
    </xdr:to>
    <xdr:sp macro="" textlink="">
      <xdr:nvSpPr>
        <xdr:cNvPr id="40441" name="Drop Down 505" hidden="1">
          <a:extLst>
            <a:ext uri="{63B3BB69-23CF-44E3-9099-C40C66FF867C}">
              <a14:compatExt xmlns:a14="http://schemas.microsoft.com/office/drawing/2010/main" spid="_x0000_s40441"/>
            </a:ext>
            <a:ext uri="{FF2B5EF4-FFF2-40B4-BE49-F238E27FC236}">
              <a16:creationId xmlns:a16="http://schemas.microsoft.com/office/drawing/2014/main" id="{00000000-0008-0000-0500-0000F99D0000}"/>
            </a:ext>
            <a:ext uri="{147F2762-F138-4A5C-976F-8EAC2B608ADB}">
              <a16:predDERef xmlns:a16="http://schemas.microsoft.com/office/drawing/2014/main" pred="{00000000-0008-0000-0500-0000F8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0</xdr:rowOff>
    </xdr:from>
    <xdr:to>
      <xdr:col>6</xdr:col>
      <xdr:colOff>1249680</xdr:colOff>
      <xdr:row>14</xdr:row>
      <xdr:rowOff>220980</xdr:rowOff>
    </xdr:to>
    <xdr:sp macro="" textlink="">
      <xdr:nvSpPr>
        <xdr:cNvPr id="40442" name="Drop Down 506" hidden="1">
          <a:extLst>
            <a:ext uri="{63B3BB69-23CF-44E3-9099-C40C66FF867C}">
              <a14:compatExt xmlns:a14="http://schemas.microsoft.com/office/drawing/2010/main" spid="_x0000_s40442"/>
            </a:ext>
            <a:ext uri="{FF2B5EF4-FFF2-40B4-BE49-F238E27FC236}">
              <a16:creationId xmlns:a16="http://schemas.microsoft.com/office/drawing/2014/main" id="{00000000-0008-0000-0500-0000FA9D0000}"/>
            </a:ext>
            <a:ext uri="{147F2762-F138-4A5C-976F-8EAC2B608ADB}">
              <a16:predDERef xmlns:a16="http://schemas.microsoft.com/office/drawing/2014/main" pred="{00000000-0008-0000-0500-0000F9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0</xdr:rowOff>
    </xdr:from>
    <xdr:to>
      <xdr:col>6</xdr:col>
      <xdr:colOff>1249680</xdr:colOff>
      <xdr:row>14</xdr:row>
      <xdr:rowOff>220980</xdr:rowOff>
    </xdr:to>
    <xdr:sp macro="" textlink="">
      <xdr:nvSpPr>
        <xdr:cNvPr id="40443" name="Drop Down 507" hidden="1">
          <a:extLst>
            <a:ext uri="{63B3BB69-23CF-44E3-9099-C40C66FF867C}">
              <a14:compatExt xmlns:a14="http://schemas.microsoft.com/office/drawing/2010/main" spid="_x0000_s40443"/>
            </a:ext>
            <a:ext uri="{FF2B5EF4-FFF2-40B4-BE49-F238E27FC236}">
              <a16:creationId xmlns:a16="http://schemas.microsoft.com/office/drawing/2014/main" id="{00000000-0008-0000-0500-0000FB9D0000}"/>
            </a:ext>
            <a:ext uri="{147F2762-F138-4A5C-976F-8EAC2B608ADB}">
              <a16:predDERef xmlns:a16="http://schemas.microsoft.com/office/drawing/2014/main" pred="{00000000-0008-0000-0500-0000FA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0</xdr:rowOff>
    </xdr:from>
    <xdr:to>
      <xdr:col>6</xdr:col>
      <xdr:colOff>1249680</xdr:colOff>
      <xdr:row>14</xdr:row>
      <xdr:rowOff>97155</xdr:rowOff>
    </xdr:to>
    <xdr:sp macro="" textlink="">
      <xdr:nvSpPr>
        <xdr:cNvPr id="40444" name="Drop Down 508" hidden="1">
          <a:extLst>
            <a:ext uri="{63B3BB69-23CF-44E3-9099-C40C66FF867C}">
              <a14:compatExt xmlns:a14="http://schemas.microsoft.com/office/drawing/2010/main" spid="_x0000_s40444"/>
            </a:ext>
            <a:ext uri="{FF2B5EF4-FFF2-40B4-BE49-F238E27FC236}">
              <a16:creationId xmlns:a16="http://schemas.microsoft.com/office/drawing/2014/main" id="{00000000-0008-0000-0500-0000FC9D0000}"/>
            </a:ext>
            <a:ext uri="{147F2762-F138-4A5C-976F-8EAC2B608ADB}">
              <a16:predDERef xmlns:a16="http://schemas.microsoft.com/office/drawing/2014/main" pred="{00000000-0008-0000-0500-0000FB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0</xdr:rowOff>
    </xdr:from>
    <xdr:to>
      <xdr:col>6</xdr:col>
      <xdr:colOff>1249680</xdr:colOff>
      <xdr:row>14</xdr:row>
      <xdr:rowOff>220980</xdr:rowOff>
    </xdr:to>
    <xdr:sp macro="" textlink="">
      <xdr:nvSpPr>
        <xdr:cNvPr id="40445" name="Drop Down 509" hidden="1">
          <a:extLst>
            <a:ext uri="{63B3BB69-23CF-44E3-9099-C40C66FF867C}">
              <a14:compatExt xmlns:a14="http://schemas.microsoft.com/office/drawing/2010/main" spid="_x0000_s40445"/>
            </a:ext>
            <a:ext uri="{FF2B5EF4-FFF2-40B4-BE49-F238E27FC236}">
              <a16:creationId xmlns:a16="http://schemas.microsoft.com/office/drawing/2014/main" id="{00000000-0008-0000-0500-0000FD9D0000}"/>
            </a:ext>
            <a:ext uri="{147F2762-F138-4A5C-976F-8EAC2B608ADB}">
              <a16:predDERef xmlns:a16="http://schemas.microsoft.com/office/drawing/2014/main" pred="{00000000-0008-0000-0500-0000FC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0</xdr:rowOff>
    </xdr:from>
    <xdr:to>
      <xdr:col>6</xdr:col>
      <xdr:colOff>1249680</xdr:colOff>
      <xdr:row>14</xdr:row>
      <xdr:rowOff>220980</xdr:rowOff>
    </xdr:to>
    <xdr:sp macro="" textlink="">
      <xdr:nvSpPr>
        <xdr:cNvPr id="40446" name="Drop Down 510" hidden="1">
          <a:extLst>
            <a:ext uri="{63B3BB69-23CF-44E3-9099-C40C66FF867C}">
              <a14:compatExt xmlns:a14="http://schemas.microsoft.com/office/drawing/2010/main" spid="_x0000_s40446"/>
            </a:ext>
            <a:ext uri="{FF2B5EF4-FFF2-40B4-BE49-F238E27FC236}">
              <a16:creationId xmlns:a16="http://schemas.microsoft.com/office/drawing/2014/main" id="{00000000-0008-0000-0500-0000FE9D0000}"/>
            </a:ext>
            <a:ext uri="{147F2762-F138-4A5C-976F-8EAC2B608ADB}">
              <a16:predDERef xmlns:a16="http://schemas.microsoft.com/office/drawing/2014/main" pred="{00000000-0008-0000-0500-0000FD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0</xdr:rowOff>
    </xdr:from>
    <xdr:to>
      <xdr:col>6</xdr:col>
      <xdr:colOff>1249680</xdr:colOff>
      <xdr:row>14</xdr:row>
      <xdr:rowOff>220980</xdr:rowOff>
    </xdr:to>
    <xdr:sp macro="" textlink="">
      <xdr:nvSpPr>
        <xdr:cNvPr id="40447" name="Drop Down 511" hidden="1">
          <a:extLst>
            <a:ext uri="{63B3BB69-23CF-44E3-9099-C40C66FF867C}">
              <a14:compatExt xmlns:a14="http://schemas.microsoft.com/office/drawing/2010/main" spid="_x0000_s40447"/>
            </a:ext>
            <a:ext uri="{FF2B5EF4-FFF2-40B4-BE49-F238E27FC236}">
              <a16:creationId xmlns:a16="http://schemas.microsoft.com/office/drawing/2014/main" id="{00000000-0008-0000-0500-0000FF9D0000}"/>
            </a:ext>
            <a:ext uri="{147F2762-F138-4A5C-976F-8EAC2B608ADB}">
              <a16:predDERef xmlns:a16="http://schemas.microsoft.com/office/drawing/2014/main" pred="{00000000-0008-0000-0500-0000FE9D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xdr:row>
      <xdr:rowOff>83820</xdr:rowOff>
    </xdr:from>
    <xdr:to>
      <xdr:col>6</xdr:col>
      <xdr:colOff>1249680</xdr:colOff>
      <xdr:row>17</xdr:row>
      <xdr:rowOff>304800</xdr:rowOff>
    </xdr:to>
    <xdr:sp macro="" textlink="">
      <xdr:nvSpPr>
        <xdr:cNvPr id="40448" name="Drop Down 512" hidden="1">
          <a:extLst>
            <a:ext uri="{63B3BB69-23CF-44E3-9099-C40C66FF867C}">
              <a14:compatExt xmlns:a14="http://schemas.microsoft.com/office/drawing/2010/main" spid="_x0000_s40448"/>
            </a:ext>
            <a:ext uri="{FF2B5EF4-FFF2-40B4-BE49-F238E27FC236}">
              <a16:creationId xmlns:a16="http://schemas.microsoft.com/office/drawing/2014/main" id="{00000000-0008-0000-0500-000000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xdr:row>
      <xdr:rowOff>83820</xdr:rowOff>
    </xdr:from>
    <xdr:to>
      <xdr:col>6</xdr:col>
      <xdr:colOff>1249680</xdr:colOff>
      <xdr:row>18</xdr:row>
      <xdr:rowOff>304800</xdr:rowOff>
    </xdr:to>
    <xdr:sp macro="" textlink="">
      <xdr:nvSpPr>
        <xdr:cNvPr id="40449" name="Drop Down 513" hidden="1">
          <a:extLst>
            <a:ext uri="{63B3BB69-23CF-44E3-9099-C40C66FF867C}">
              <a14:compatExt xmlns:a14="http://schemas.microsoft.com/office/drawing/2010/main" spid="_x0000_s40449"/>
            </a:ext>
            <a:ext uri="{FF2B5EF4-FFF2-40B4-BE49-F238E27FC236}">
              <a16:creationId xmlns:a16="http://schemas.microsoft.com/office/drawing/2014/main" id="{00000000-0008-0000-0500-000001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xdr:row>
      <xdr:rowOff>83820</xdr:rowOff>
    </xdr:from>
    <xdr:to>
      <xdr:col>6</xdr:col>
      <xdr:colOff>1249680</xdr:colOff>
      <xdr:row>19</xdr:row>
      <xdr:rowOff>304800</xdr:rowOff>
    </xdr:to>
    <xdr:sp macro="" textlink="">
      <xdr:nvSpPr>
        <xdr:cNvPr id="40450" name="Drop Down 514" hidden="1">
          <a:extLst>
            <a:ext uri="{63B3BB69-23CF-44E3-9099-C40C66FF867C}">
              <a14:compatExt xmlns:a14="http://schemas.microsoft.com/office/drawing/2010/main" spid="_x0000_s40450"/>
            </a:ext>
            <a:ext uri="{FF2B5EF4-FFF2-40B4-BE49-F238E27FC236}">
              <a16:creationId xmlns:a16="http://schemas.microsoft.com/office/drawing/2014/main" id="{00000000-0008-0000-0500-000002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51" name="Drop Down 515" hidden="1">
          <a:extLst>
            <a:ext uri="{63B3BB69-23CF-44E3-9099-C40C66FF867C}">
              <a14:compatExt xmlns:a14="http://schemas.microsoft.com/office/drawing/2010/main" spid="_x0000_s40451"/>
            </a:ext>
            <a:ext uri="{FF2B5EF4-FFF2-40B4-BE49-F238E27FC236}">
              <a16:creationId xmlns:a16="http://schemas.microsoft.com/office/drawing/2014/main" id="{00000000-0008-0000-0500-0000039E0000}"/>
            </a:ext>
            <a:ext uri="{147F2762-F138-4A5C-976F-8EAC2B608ADB}">
              <a16:predDERef xmlns:a16="http://schemas.microsoft.com/office/drawing/2014/main" pred="{00000000-0008-0000-0500-000002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52" name="Drop Down 516" hidden="1">
          <a:extLst>
            <a:ext uri="{63B3BB69-23CF-44E3-9099-C40C66FF867C}">
              <a14:compatExt xmlns:a14="http://schemas.microsoft.com/office/drawing/2010/main" spid="_x0000_s40452"/>
            </a:ext>
            <a:ext uri="{FF2B5EF4-FFF2-40B4-BE49-F238E27FC236}">
              <a16:creationId xmlns:a16="http://schemas.microsoft.com/office/drawing/2014/main" id="{00000000-0008-0000-0500-0000049E0000}"/>
            </a:ext>
            <a:ext uri="{147F2762-F138-4A5C-976F-8EAC2B608ADB}">
              <a16:predDERef xmlns:a16="http://schemas.microsoft.com/office/drawing/2014/main" pred="{00000000-0008-0000-0500-000003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53" name="Drop Down 517" hidden="1">
          <a:extLst>
            <a:ext uri="{63B3BB69-23CF-44E3-9099-C40C66FF867C}">
              <a14:compatExt xmlns:a14="http://schemas.microsoft.com/office/drawing/2010/main" spid="_x0000_s40453"/>
            </a:ext>
            <a:ext uri="{FF2B5EF4-FFF2-40B4-BE49-F238E27FC236}">
              <a16:creationId xmlns:a16="http://schemas.microsoft.com/office/drawing/2014/main" id="{00000000-0008-0000-0500-0000059E0000}"/>
            </a:ext>
            <a:ext uri="{147F2762-F138-4A5C-976F-8EAC2B608ADB}">
              <a16:predDERef xmlns:a16="http://schemas.microsoft.com/office/drawing/2014/main" pred="{00000000-0008-0000-0500-000004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54" name="Drop Down 518" hidden="1">
          <a:extLst>
            <a:ext uri="{63B3BB69-23CF-44E3-9099-C40C66FF867C}">
              <a14:compatExt xmlns:a14="http://schemas.microsoft.com/office/drawing/2010/main" spid="_x0000_s40454"/>
            </a:ext>
            <a:ext uri="{FF2B5EF4-FFF2-40B4-BE49-F238E27FC236}">
              <a16:creationId xmlns:a16="http://schemas.microsoft.com/office/drawing/2014/main" id="{00000000-0008-0000-0500-0000069E0000}"/>
            </a:ext>
            <a:ext uri="{147F2762-F138-4A5C-976F-8EAC2B608ADB}">
              <a16:predDERef xmlns:a16="http://schemas.microsoft.com/office/drawing/2014/main" pred="{00000000-0008-0000-0500-000005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55" name="Drop Down 519" hidden="1">
          <a:extLst>
            <a:ext uri="{63B3BB69-23CF-44E3-9099-C40C66FF867C}">
              <a14:compatExt xmlns:a14="http://schemas.microsoft.com/office/drawing/2010/main" spid="_x0000_s40455"/>
            </a:ext>
            <a:ext uri="{FF2B5EF4-FFF2-40B4-BE49-F238E27FC236}">
              <a16:creationId xmlns:a16="http://schemas.microsoft.com/office/drawing/2014/main" id="{00000000-0008-0000-0500-0000079E0000}"/>
            </a:ext>
            <a:ext uri="{147F2762-F138-4A5C-976F-8EAC2B608ADB}">
              <a16:predDERef xmlns:a16="http://schemas.microsoft.com/office/drawing/2014/main" pred="{00000000-0008-0000-0500-000006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56" name="Drop Down 520" hidden="1">
          <a:extLst>
            <a:ext uri="{63B3BB69-23CF-44E3-9099-C40C66FF867C}">
              <a14:compatExt xmlns:a14="http://schemas.microsoft.com/office/drawing/2010/main" spid="_x0000_s40456"/>
            </a:ext>
            <a:ext uri="{FF2B5EF4-FFF2-40B4-BE49-F238E27FC236}">
              <a16:creationId xmlns:a16="http://schemas.microsoft.com/office/drawing/2014/main" id="{00000000-0008-0000-0500-0000089E0000}"/>
            </a:ext>
            <a:ext uri="{147F2762-F138-4A5C-976F-8EAC2B608ADB}">
              <a16:predDERef xmlns:a16="http://schemas.microsoft.com/office/drawing/2014/main" pred="{00000000-0008-0000-0500-000007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57" name="Drop Down 521" hidden="1">
          <a:extLst>
            <a:ext uri="{63B3BB69-23CF-44E3-9099-C40C66FF867C}">
              <a14:compatExt xmlns:a14="http://schemas.microsoft.com/office/drawing/2010/main" spid="_x0000_s40457"/>
            </a:ext>
            <a:ext uri="{FF2B5EF4-FFF2-40B4-BE49-F238E27FC236}">
              <a16:creationId xmlns:a16="http://schemas.microsoft.com/office/drawing/2014/main" id="{00000000-0008-0000-0500-0000099E0000}"/>
            </a:ext>
            <a:ext uri="{147F2762-F138-4A5C-976F-8EAC2B608ADB}">
              <a16:predDERef xmlns:a16="http://schemas.microsoft.com/office/drawing/2014/main" pred="{00000000-0008-0000-0500-000008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58" name="Drop Down 522" hidden="1">
          <a:extLst>
            <a:ext uri="{63B3BB69-23CF-44E3-9099-C40C66FF867C}">
              <a14:compatExt xmlns:a14="http://schemas.microsoft.com/office/drawing/2010/main" spid="_x0000_s40458"/>
            </a:ext>
            <a:ext uri="{FF2B5EF4-FFF2-40B4-BE49-F238E27FC236}">
              <a16:creationId xmlns:a16="http://schemas.microsoft.com/office/drawing/2014/main" id="{00000000-0008-0000-0500-00000A9E0000}"/>
            </a:ext>
            <a:ext uri="{147F2762-F138-4A5C-976F-8EAC2B608ADB}">
              <a16:predDERef xmlns:a16="http://schemas.microsoft.com/office/drawing/2014/main" pred="{00000000-0008-0000-0500-000009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59" name="Drop Down 523" hidden="1">
          <a:extLst>
            <a:ext uri="{63B3BB69-23CF-44E3-9099-C40C66FF867C}">
              <a14:compatExt xmlns:a14="http://schemas.microsoft.com/office/drawing/2010/main" spid="_x0000_s40459"/>
            </a:ext>
            <a:ext uri="{FF2B5EF4-FFF2-40B4-BE49-F238E27FC236}">
              <a16:creationId xmlns:a16="http://schemas.microsoft.com/office/drawing/2014/main" id="{00000000-0008-0000-0500-00000B9E0000}"/>
            </a:ext>
            <a:ext uri="{147F2762-F138-4A5C-976F-8EAC2B608ADB}">
              <a16:predDERef xmlns:a16="http://schemas.microsoft.com/office/drawing/2014/main" pred="{00000000-0008-0000-0500-00000A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60" name="Drop Down 524" hidden="1">
          <a:extLst>
            <a:ext uri="{63B3BB69-23CF-44E3-9099-C40C66FF867C}">
              <a14:compatExt xmlns:a14="http://schemas.microsoft.com/office/drawing/2010/main" spid="_x0000_s40460"/>
            </a:ext>
            <a:ext uri="{FF2B5EF4-FFF2-40B4-BE49-F238E27FC236}">
              <a16:creationId xmlns:a16="http://schemas.microsoft.com/office/drawing/2014/main" id="{00000000-0008-0000-0500-00000C9E0000}"/>
            </a:ext>
            <a:ext uri="{147F2762-F138-4A5C-976F-8EAC2B608ADB}">
              <a16:predDERef xmlns:a16="http://schemas.microsoft.com/office/drawing/2014/main" pred="{00000000-0008-0000-0500-00000B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61" name="Drop Down 525" hidden="1">
          <a:extLst>
            <a:ext uri="{63B3BB69-23CF-44E3-9099-C40C66FF867C}">
              <a14:compatExt xmlns:a14="http://schemas.microsoft.com/office/drawing/2010/main" spid="_x0000_s40461"/>
            </a:ext>
            <a:ext uri="{FF2B5EF4-FFF2-40B4-BE49-F238E27FC236}">
              <a16:creationId xmlns:a16="http://schemas.microsoft.com/office/drawing/2014/main" id="{00000000-0008-0000-0500-00000D9E0000}"/>
            </a:ext>
            <a:ext uri="{147F2762-F138-4A5C-976F-8EAC2B608ADB}">
              <a16:predDERef xmlns:a16="http://schemas.microsoft.com/office/drawing/2014/main" pred="{00000000-0008-0000-0500-00000C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62" name="Drop Down 526" hidden="1">
          <a:extLst>
            <a:ext uri="{63B3BB69-23CF-44E3-9099-C40C66FF867C}">
              <a14:compatExt xmlns:a14="http://schemas.microsoft.com/office/drawing/2010/main" spid="_x0000_s40462"/>
            </a:ext>
            <a:ext uri="{FF2B5EF4-FFF2-40B4-BE49-F238E27FC236}">
              <a16:creationId xmlns:a16="http://schemas.microsoft.com/office/drawing/2014/main" id="{00000000-0008-0000-0500-00000E9E0000}"/>
            </a:ext>
            <a:ext uri="{147F2762-F138-4A5C-976F-8EAC2B608ADB}">
              <a16:predDERef xmlns:a16="http://schemas.microsoft.com/office/drawing/2014/main" pred="{00000000-0008-0000-0500-00000D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63" name="Drop Down 527" hidden="1">
          <a:extLst>
            <a:ext uri="{63B3BB69-23CF-44E3-9099-C40C66FF867C}">
              <a14:compatExt xmlns:a14="http://schemas.microsoft.com/office/drawing/2010/main" spid="_x0000_s40463"/>
            </a:ext>
            <a:ext uri="{FF2B5EF4-FFF2-40B4-BE49-F238E27FC236}">
              <a16:creationId xmlns:a16="http://schemas.microsoft.com/office/drawing/2014/main" id="{00000000-0008-0000-0500-00000F9E0000}"/>
            </a:ext>
            <a:ext uri="{147F2762-F138-4A5C-976F-8EAC2B608ADB}">
              <a16:predDERef xmlns:a16="http://schemas.microsoft.com/office/drawing/2014/main" pred="{00000000-0008-0000-0500-00000E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64" name="Drop Down 528" hidden="1">
          <a:extLst>
            <a:ext uri="{63B3BB69-23CF-44E3-9099-C40C66FF867C}">
              <a14:compatExt xmlns:a14="http://schemas.microsoft.com/office/drawing/2010/main" spid="_x0000_s40464"/>
            </a:ext>
            <a:ext uri="{FF2B5EF4-FFF2-40B4-BE49-F238E27FC236}">
              <a16:creationId xmlns:a16="http://schemas.microsoft.com/office/drawing/2014/main" id="{00000000-0008-0000-0500-0000109E0000}"/>
            </a:ext>
            <a:ext uri="{147F2762-F138-4A5C-976F-8EAC2B608ADB}">
              <a16:predDERef xmlns:a16="http://schemas.microsoft.com/office/drawing/2014/main" pred="{00000000-0008-0000-0500-00000F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65" name="Drop Down 529" hidden="1">
          <a:extLst>
            <a:ext uri="{63B3BB69-23CF-44E3-9099-C40C66FF867C}">
              <a14:compatExt xmlns:a14="http://schemas.microsoft.com/office/drawing/2010/main" spid="_x0000_s40465"/>
            </a:ext>
            <a:ext uri="{FF2B5EF4-FFF2-40B4-BE49-F238E27FC236}">
              <a16:creationId xmlns:a16="http://schemas.microsoft.com/office/drawing/2014/main" id="{00000000-0008-0000-0500-0000119E0000}"/>
            </a:ext>
            <a:ext uri="{147F2762-F138-4A5C-976F-8EAC2B608ADB}">
              <a16:predDERef xmlns:a16="http://schemas.microsoft.com/office/drawing/2014/main" pred="{00000000-0008-0000-0500-000010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66" name="Drop Down 530" hidden="1">
          <a:extLst>
            <a:ext uri="{63B3BB69-23CF-44E3-9099-C40C66FF867C}">
              <a14:compatExt xmlns:a14="http://schemas.microsoft.com/office/drawing/2010/main" spid="_x0000_s40466"/>
            </a:ext>
            <a:ext uri="{FF2B5EF4-FFF2-40B4-BE49-F238E27FC236}">
              <a16:creationId xmlns:a16="http://schemas.microsoft.com/office/drawing/2014/main" id="{00000000-0008-0000-0500-0000129E0000}"/>
            </a:ext>
            <a:ext uri="{147F2762-F138-4A5C-976F-8EAC2B608ADB}">
              <a16:predDERef xmlns:a16="http://schemas.microsoft.com/office/drawing/2014/main" pred="{00000000-0008-0000-0500-000011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67" name="Drop Down 531" hidden="1">
          <a:extLst>
            <a:ext uri="{63B3BB69-23CF-44E3-9099-C40C66FF867C}">
              <a14:compatExt xmlns:a14="http://schemas.microsoft.com/office/drawing/2010/main" spid="_x0000_s40467"/>
            </a:ext>
            <a:ext uri="{FF2B5EF4-FFF2-40B4-BE49-F238E27FC236}">
              <a16:creationId xmlns:a16="http://schemas.microsoft.com/office/drawing/2014/main" id="{00000000-0008-0000-0500-0000139E0000}"/>
            </a:ext>
            <a:ext uri="{147F2762-F138-4A5C-976F-8EAC2B608ADB}">
              <a16:predDERef xmlns:a16="http://schemas.microsoft.com/office/drawing/2014/main" pred="{00000000-0008-0000-0500-000012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68" name="Drop Down 532" hidden="1">
          <a:extLst>
            <a:ext uri="{63B3BB69-23CF-44E3-9099-C40C66FF867C}">
              <a14:compatExt xmlns:a14="http://schemas.microsoft.com/office/drawing/2010/main" spid="_x0000_s40468"/>
            </a:ext>
            <a:ext uri="{FF2B5EF4-FFF2-40B4-BE49-F238E27FC236}">
              <a16:creationId xmlns:a16="http://schemas.microsoft.com/office/drawing/2014/main" id="{00000000-0008-0000-0500-0000149E0000}"/>
            </a:ext>
            <a:ext uri="{147F2762-F138-4A5C-976F-8EAC2B608ADB}">
              <a16:predDERef xmlns:a16="http://schemas.microsoft.com/office/drawing/2014/main" pred="{00000000-0008-0000-0500-000013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69" name="Drop Down 533" hidden="1">
          <a:extLst>
            <a:ext uri="{63B3BB69-23CF-44E3-9099-C40C66FF867C}">
              <a14:compatExt xmlns:a14="http://schemas.microsoft.com/office/drawing/2010/main" spid="_x0000_s40469"/>
            </a:ext>
            <a:ext uri="{FF2B5EF4-FFF2-40B4-BE49-F238E27FC236}">
              <a16:creationId xmlns:a16="http://schemas.microsoft.com/office/drawing/2014/main" id="{00000000-0008-0000-0500-0000159E0000}"/>
            </a:ext>
            <a:ext uri="{147F2762-F138-4A5C-976F-8EAC2B608ADB}">
              <a16:predDERef xmlns:a16="http://schemas.microsoft.com/office/drawing/2014/main" pred="{00000000-0008-0000-0500-000014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97155</xdr:rowOff>
    </xdr:to>
    <xdr:sp macro="" textlink="">
      <xdr:nvSpPr>
        <xdr:cNvPr id="40470" name="Drop Down 534" hidden="1">
          <a:extLst>
            <a:ext uri="{63B3BB69-23CF-44E3-9099-C40C66FF867C}">
              <a14:compatExt xmlns:a14="http://schemas.microsoft.com/office/drawing/2010/main" spid="_x0000_s40470"/>
            </a:ext>
            <a:ext uri="{FF2B5EF4-FFF2-40B4-BE49-F238E27FC236}">
              <a16:creationId xmlns:a16="http://schemas.microsoft.com/office/drawing/2014/main" id="{00000000-0008-0000-0500-0000169E0000}"/>
            </a:ext>
            <a:ext uri="{147F2762-F138-4A5C-976F-8EAC2B608ADB}">
              <a16:predDERef xmlns:a16="http://schemas.microsoft.com/office/drawing/2014/main" pred="{00000000-0008-0000-0500-000015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71" name="Drop Down 535" hidden="1">
          <a:extLst>
            <a:ext uri="{63B3BB69-23CF-44E3-9099-C40C66FF867C}">
              <a14:compatExt xmlns:a14="http://schemas.microsoft.com/office/drawing/2010/main" spid="_x0000_s40471"/>
            </a:ext>
            <a:ext uri="{FF2B5EF4-FFF2-40B4-BE49-F238E27FC236}">
              <a16:creationId xmlns:a16="http://schemas.microsoft.com/office/drawing/2014/main" id="{00000000-0008-0000-0500-0000179E0000}"/>
            </a:ext>
            <a:ext uri="{147F2762-F138-4A5C-976F-8EAC2B608ADB}">
              <a16:predDERef xmlns:a16="http://schemas.microsoft.com/office/drawing/2014/main" pred="{00000000-0008-0000-0500-000016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72" name="Drop Down 536" hidden="1">
          <a:extLst>
            <a:ext uri="{63B3BB69-23CF-44E3-9099-C40C66FF867C}">
              <a14:compatExt xmlns:a14="http://schemas.microsoft.com/office/drawing/2010/main" spid="_x0000_s40472"/>
            </a:ext>
            <a:ext uri="{FF2B5EF4-FFF2-40B4-BE49-F238E27FC236}">
              <a16:creationId xmlns:a16="http://schemas.microsoft.com/office/drawing/2014/main" id="{00000000-0008-0000-0500-0000189E0000}"/>
            </a:ext>
            <a:ext uri="{147F2762-F138-4A5C-976F-8EAC2B608ADB}">
              <a16:predDERef xmlns:a16="http://schemas.microsoft.com/office/drawing/2014/main" pred="{00000000-0008-0000-0500-000017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0</xdr:rowOff>
    </xdr:from>
    <xdr:to>
      <xdr:col>6</xdr:col>
      <xdr:colOff>1249680</xdr:colOff>
      <xdr:row>21</xdr:row>
      <xdr:rowOff>220980</xdr:rowOff>
    </xdr:to>
    <xdr:sp macro="" textlink="">
      <xdr:nvSpPr>
        <xdr:cNvPr id="40473" name="Drop Down 537" hidden="1">
          <a:extLst>
            <a:ext uri="{63B3BB69-23CF-44E3-9099-C40C66FF867C}">
              <a14:compatExt xmlns:a14="http://schemas.microsoft.com/office/drawing/2010/main" spid="_x0000_s40473"/>
            </a:ext>
            <a:ext uri="{FF2B5EF4-FFF2-40B4-BE49-F238E27FC236}">
              <a16:creationId xmlns:a16="http://schemas.microsoft.com/office/drawing/2014/main" id="{00000000-0008-0000-0500-0000199E0000}"/>
            </a:ext>
            <a:ext uri="{147F2762-F138-4A5C-976F-8EAC2B608ADB}">
              <a16:predDERef xmlns:a16="http://schemas.microsoft.com/office/drawing/2014/main" pred="{00000000-0008-0000-0500-000018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23</xdr:row>
      <xdr:rowOff>83820</xdr:rowOff>
    </xdr:from>
    <xdr:to>
      <xdr:col>6</xdr:col>
      <xdr:colOff>1249680</xdr:colOff>
      <xdr:row>23</xdr:row>
      <xdr:rowOff>304800</xdr:rowOff>
    </xdr:to>
    <xdr:sp macro="" textlink="">
      <xdr:nvSpPr>
        <xdr:cNvPr id="40474" name="Drop Down 538" hidden="1">
          <a:extLst>
            <a:ext uri="{63B3BB69-23CF-44E3-9099-C40C66FF867C}">
              <a14:compatExt xmlns:a14="http://schemas.microsoft.com/office/drawing/2010/main" spid="_x0000_s40474"/>
            </a:ext>
            <a:ext uri="{FF2B5EF4-FFF2-40B4-BE49-F238E27FC236}">
              <a16:creationId xmlns:a16="http://schemas.microsoft.com/office/drawing/2014/main" id="{00000000-0008-0000-0500-00001A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24</xdr:row>
      <xdr:rowOff>83820</xdr:rowOff>
    </xdr:from>
    <xdr:to>
      <xdr:col>6</xdr:col>
      <xdr:colOff>1249680</xdr:colOff>
      <xdr:row>24</xdr:row>
      <xdr:rowOff>180975</xdr:rowOff>
    </xdr:to>
    <xdr:sp macro="" textlink="">
      <xdr:nvSpPr>
        <xdr:cNvPr id="40475" name="Drop Down 539" hidden="1">
          <a:extLst>
            <a:ext uri="{63B3BB69-23CF-44E3-9099-C40C66FF867C}">
              <a14:compatExt xmlns:a14="http://schemas.microsoft.com/office/drawing/2010/main" spid="_x0000_s40475"/>
            </a:ext>
            <a:ext uri="{FF2B5EF4-FFF2-40B4-BE49-F238E27FC236}">
              <a16:creationId xmlns:a16="http://schemas.microsoft.com/office/drawing/2014/main" id="{00000000-0008-0000-0500-00001B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25</xdr:row>
      <xdr:rowOff>83820</xdr:rowOff>
    </xdr:from>
    <xdr:to>
      <xdr:col>6</xdr:col>
      <xdr:colOff>1249680</xdr:colOff>
      <xdr:row>25</xdr:row>
      <xdr:rowOff>180975</xdr:rowOff>
    </xdr:to>
    <xdr:sp macro="" textlink="">
      <xdr:nvSpPr>
        <xdr:cNvPr id="40476" name="Drop Down 540" hidden="1">
          <a:extLst>
            <a:ext uri="{63B3BB69-23CF-44E3-9099-C40C66FF867C}">
              <a14:compatExt xmlns:a14="http://schemas.microsoft.com/office/drawing/2010/main" spid="_x0000_s40476"/>
            </a:ext>
            <a:ext uri="{FF2B5EF4-FFF2-40B4-BE49-F238E27FC236}">
              <a16:creationId xmlns:a16="http://schemas.microsoft.com/office/drawing/2014/main" id="{00000000-0008-0000-0500-00001C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28</xdr:row>
      <xdr:rowOff>83820</xdr:rowOff>
    </xdr:from>
    <xdr:to>
      <xdr:col>6</xdr:col>
      <xdr:colOff>1249680</xdr:colOff>
      <xdr:row>29</xdr:row>
      <xdr:rowOff>114300</xdr:rowOff>
    </xdr:to>
    <xdr:sp macro="" textlink="">
      <xdr:nvSpPr>
        <xdr:cNvPr id="40477" name="Drop Down 541" hidden="1">
          <a:extLst>
            <a:ext uri="{63B3BB69-23CF-44E3-9099-C40C66FF867C}">
              <a14:compatExt xmlns:a14="http://schemas.microsoft.com/office/drawing/2010/main" spid="_x0000_s40477"/>
            </a:ext>
            <a:ext uri="{FF2B5EF4-FFF2-40B4-BE49-F238E27FC236}">
              <a16:creationId xmlns:a16="http://schemas.microsoft.com/office/drawing/2014/main" id="{00000000-0008-0000-0500-00001D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83820</xdr:rowOff>
    </xdr:from>
    <xdr:to>
      <xdr:col>6</xdr:col>
      <xdr:colOff>1249680</xdr:colOff>
      <xdr:row>29</xdr:row>
      <xdr:rowOff>304800</xdr:rowOff>
    </xdr:to>
    <xdr:sp macro="" textlink="">
      <xdr:nvSpPr>
        <xdr:cNvPr id="40478" name="Drop Down 542" hidden="1">
          <a:extLst>
            <a:ext uri="{63B3BB69-23CF-44E3-9099-C40C66FF867C}">
              <a14:compatExt xmlns:a14="http://schemas.microsoft.com/office/drawing/2010/main" spid="_x0000_s40478"/>
            </a:ext>
            <a:ext uri="{FF2B5EF4-FFF2-40B4-BE49-F238E27FC236}">
              <a16:creationId xmlns:a16="http://schemas.microsoft.com/office/drawing/2014/main" id="{00000000-0008-0000-0500-00001E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31</xdr:row>
      <xdr:rowOff>83820</xdr:rowOff>
    </xdr:from>
    <xdr:to>
      <xdr:col>6</xdr:col>
      <xdr:colOff>1249680</xdr:colOff>
      <xdr:row>32</xdr:row>
      <xdr:rowOff>114300</xdr:rowOff>
    </xdr:to>
    <xdr:sp macro="" textlink="">
      <xdr:nvSpPr>
        <xdr:cNvPr id="40479" name="Drop Down 543" hidden="1">
          <a:extLst>
            <a:ext uri="{63B3BB69-23CF-44E3-9099-C40C66FF867C}">
              <a14:compatExt xmlns:a14="http://schemas.microsoft.com/office/drawing/2010/main" spid="_x0000_s40479"/>
            </a:ext>
            <a:ext uri="{FF2B5EF4-FFF2-40B4-BE49-F238E27FC236}">
              <a16:creationId xmlns:a16="http://schemas.microsoft.com/office/drawing/2014/main" id="{00000000-0008-0000-0500-00001F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32</xdr:row>
      <xdr:rowOff>83820</xdr:rowOff>
    </xdr:from>
    <xdr:to>
      <xdr:col>6</xdr:col>
      <xdr:colOff>1249680</xdr:colOff>
      <xdr:row>33</xdr:row>
      <xdr:rowOff>114300</xdr:rowOff>
    </xdr:to>
    <xdr:sp macro="" textlink="">
      <xdr:nvSpPr>
        <xdr:cNvPr id="40480" name="Drop Down 544" hidden="1">
          <a:extLst>
            <a:ext uri="{63B3BB69-23CF-44E3-9099-C40C66FF867C}">
              <a14:compatExt xmlns:a14="http://schemas.microsoft.com/office/drawing/2010/main" spid="_x0000_s40480"/>
            </a:ext>
            <a:ext uri="{FF2B5EF4-FFF2-40B4-BE49-F238E27FC236}">
              <a16:creationId xmlns:a16="http://schemas.microsoft.com/office/drawing/2014/main" id="{00000000-0008-0000-0500-000020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33</xdr:row>
      <xdr:rowOff>83820</xdr:rowOff>
    </xdr:from>
    <xdr:to>
      <xdr:col>6</xdr:col>
      <xdr:colOff>1249680</xdr:colOff>
      <xdr:row>34</xdr:row>
      <xdr:rowOff>114300</xdr:rowOff>
    </xdr:to>
    <xdr:sp macro="" textlink="">
      <xdr:nvSpPr>
        <xdr:cNvPr id="40481" name="Drop Down 545" hidden="1">
          <a:extLst>
            <a:ext uri="{63B3BB69-23CF-44E3-9099-C40C66FF867C}">
              <a14:compatExt xmlns:a14="http://schemas.microsoft.com/office/drawing/2010/main" spid="_x0000_s40481"/>
            </a:ext>
            <a:ext uri="{FF2B5EF4-FFF2-40B4-BE49-F238E27FC236}">
              <a16:creationId xmlns:a16="http://schemas.microsoft.com/office/drawing/2014/main" id="{00000000-0008-0000-0500-000021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34</xdr:row>
      <xdr:rowOff>83820</xdr:rowOff>
    </xdr:from>
    <xdr:to>
      <xdr:col>6</xdr:col>
      <xdr:colOff>1249680</xdr:colOff>
      <xdr:row>35</xdr:row>
      <xdr:rowOff>114300</xdr:rowOff>
    </xdr:to>
    <xdr:sp macro="" textlink="">
      <xdr:nvSpPr>
        <xdr:cNvPr id="40482" name="Drop Down 546" hidden="1">
          <a:extLst>
            <a:ext uri="{63B3BB69-23CF-44E3-9099-C40C66FF867C}">
              <a14:compatExt xmlns:a14="http://schemas.microsoft.com/office/drawing/2010/main" spid="_x0000_s40482"/>
            </a:ext>
            <a:ext uri="{FF2B5EF4-FFF2-40B4-BE49-F238E27FC236}">
              <a16:creationId xmlns:a16="http://schemas.microsoft.com/office/drawing/2014/main" id="{00000000-0008-0000-0500-000022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36</xdr:row>
      <xdr:rowOff>83820</xdr:rowOff>
    </xdr:from>
    <xdr:to>
      <xdr:col>6</xdr:col>
      <xdr:colOff>1249680</xdr:colOff>
      <xdr:row>36</xdr:row>
      <xdr:rowOff>304800</xdr:rowOff>
    </xdr:to>
    <xdr:sp macro="" textlink="">
      <xdr:nvSpPr>
        <xdr:cNvPr id="40483" name="Drop Down 547" hidden="1">
          <a:extLst>
            <a:ext uri="{63B3BB69-23CF-44E3-9099-C40C66FF867C}">
              <a14:compatExt xmlns:a14="http://schemas.microsoft.com/office/drawing/2010/main" spid="_x0000_s40483"/>
            </a:ext>
            <a:ext uri="{FF2B5EF4-FFF2-40B4-BE49-F238E27FC236}">
              <a16:creationId xmlns:a16="http://schemas.microsoft.com/office/drawing/2014/main" id="{00000000-0008-0000-0500-000023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37</xdr:row>
      <xdr:rowOff>83820</xdr:rowOff>
    </xdr:from>
    <xdr:to>
      <xdr:col>6</xdr:col>
      <xdr:colOff>1249680</xdr:colOff>
      <xdr:row>38</xdr:row>
      <xdr:rowOff>114300</xdr:rowOff>
    </xdr:to>
    <xdr:sp macro="" textlink="">
      <xdr:nvSpPr>
        <xdr:cNvPr id="40484" name="Drop Down 548" hidden="1">
          <a:extLst>
            <a:ext uri="{63B3BB69-23CF-44E3-9099-C40C66FF867C}">
              <a14:compatExt xmlns:a14="http://schemas.microsoft.com/office/drawing/2010/main" spid="_x0000_s40484"/>
            </a:ext>
            <a:ext uri="{FF2B5EF4-FFF2-40B4-BE49-F238E27FC236}">
              <a16:creationId xmlns:a16="http://schemas.microsoft.com/office/drawing/2014/main" id="{00000000-0008-0000-0500-000024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38</xdr:row>
      <xdr:rowOff>83820</xdr:rowOff>
    </xdr:from>
    <xdr:to>
      <xdr:col>6</xdr:col>
      <xdr:colOff>1249680</xdr:colOff>
      <xdr:row>38</xdr:row>
      <xdr:rowOff>304800</xdr:rowOff>
    </xdr:to>
    <xdr:sp macro="" textlink="">
      <xdr:nvSpPr>
        <xdr:cNvPr id="40485" name="Drop Down 549" hidden="1">
          <a:extLst>
            <a:ext uri="{63B3BB69-23CF-44E3-9099-C40C66FF867C}">
              <a14:compatExt xmlns:a14="http://schemas.microsoft.com/office/drawing/2010/main" spid="_x0000_s40485"/>
            </a:ext>
            <a:ext uri="{FF2B5EF4-FFF2-40B4-BE49-F238E27FC236}">
              <a16:creationId xmlns:a16="http://schemas.microsoft.com/office/drawing/2014/main" id="{00000000-0008-0000-0500-000025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40</xdr:row>
      <xdr:rowOff>83820</xdr:rowOff>
    </xdr:from>
    <xdr:to>
      <xdr:col>6</xdr:col>
      <xdr:colOff>1249680</xdr:colOff>
      <xdr:row>41</xdr:row>
      <xdr:rowOff>114300</xdr:rowOff>
    </xdr:to>
    <xdr:sp macro="" textlink="">
      <xdr:nvSpPr>
        <xdr:cNvPr id="40486" name="Drop Down 550" hidden="1">
          <a:extLst>
            <a:ext uri="{63B3BB69-23CF-44E3-9099-C40C66FF867C}">
              <a14:compatExt xmlns:a14="http://schemas.microsoft.com/office/drawing/2010/main" spid="_x0000_s40486"/>
            </a:ext>
            <a:ext uri="{FF2B5EF4-FFF2-40B4-BE49-F238E27FC236}">
              <a16:creationId xmlns:a16="http://schemas.microsoft.com/office/drawing/2014/main" id="{00000000-0008-0000-0500-000026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41</xdr:row>
      <xdr:rowOff>83820</xdr:rowOff>
    </xdr:from>
    <xdr:to>
      <xdr:col>6</xdr:col>
      <xdr:colOff>1249680</xdr:colOff>
      <xdr:row>41</xdr:row>
      <xdr:rowOff>304800</xdr:rowOff>
    </xdr:to>
    <xdr:sp macro="" textlink="">
      <xdr:nvSpPr>
        <xdr:cNvPr id="40487" name="Drop Down 551" hidden="1">
          <a:extLst>
            <a:ext uri="{63B3BB69-23CF-44E3-9099-C40C66FF867C}">
              <a14:compatExt xmlns:a14="http://schemas.microsoft.com/office/drawing/2010/main" spid="_x0000_s40487"/>
            </a:ext>
            <a:ext uri="{FF2B5EF4-FFF2-40B4-BE49-F238E27FC236}">
              <a16:creationId xmlns:a16="http://schemas.microsoft.com/office/drawing/2014/main" id="{00000000-0008-0000-0500-000027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42</xdr:row>
      <xdr:rowOff>83820</xdr:rowOff>
    </xdr:from>
    <xdr:to>
      <xdr:col>6</xdr:col>
      <xdr:colOff>1249680</xdr:colOff>
      <xdr:row>42</xdr:row>
      <xdr:rowOff>304800</xdr:rowOff>
    </xdr:to>
    <xdr:sp macro="" textlink="">
      <xdr:nvSpPr>
        <xdr:cNvPr id="40488" name="Drop Down 552" hidden="1">
          <a:extLst>
            <a:ext uri="{63B3BB69-23CF-44E3-9099-C40C66FF867C}">
              <a14:compatExt xmlns:a14="http://schemas.microsoft.com/office/drawing/2010/main" spid="_x0000_s40488"/>
            </a:ext>
            <a:ext uri="{FF2B5EF4-FFF2-40B4-BE49-F238E27FC236}">
              <a16:creationId xmlns:a16="http://schemas.microsoft.com/office/drawing/2014/main" id="{00000000-0008-0000-0500-000028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43</xdr:row>
      <xdr:rowOff>83820</xdr:rowOff>
    </xdr:from>
    <xdr:to>
      <xdr:col>6</xdr:col>
      <xdr:colOff>1249680</xdr:colOff>
      <xdr:row>43</xdr:row>
      <xdr:rowOff>304800</xdr:rowOff>
    </xdr:to>
    <xdr:sp macro="" textlink="">
      <xdr:nvSpPr>
        <xdr:cNvPr id="40489" name="Drop Down 553" hidden="1">
          <a:extLst>
            <a:ext uri="{63B3BB69-23CF-44E3-9099-C40C66FF867C}">
              <a14:compatExt xmlns:a14="http://schemas.microsoft.com/office/drawing/2010/main" spid="_x0000_s40489"/>
            </a:ext>
            <a:ext uri="{FF2B5EF4-FFF2-40B4-BE49-F238E27FC236}">
              <a16:creationId xmlns:a16="http://schemas.microsoft.com/office/drawing/2014/main" id="{00000000-0008-0000-0500-000029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44</xdr:row>
      <xdr:rowOff>83820</xdr:rowOff>
    </xdr:from>
    <xdr:to>
      <xdr:col>6</xdr:col>
      <xdr:colOff>1249680</xdr:colOff>
      <xdr:row>44</xdr:row>
      <xdr:rowOff>304800</xdr:rowOff>
    </xdr:to>
    <xdr:sp macro="" textlink="">
      <xdr:nvSpPr>
        <xdr:cNvPr id="40490" name="Drop Down 554" hidden="1">
          <a:extLst>
            <a:ext uri="{63B3BB69-23CF-44E3-9099-C40C66FF867C}">
              <a14:compatExt xmlns:a14="http://schemas.microsoft.com/office/drawing/2010/main" spid="_x0000_s40490"/>
            </a:ext>
            <a:ext uri="{FF2B5EF4-FFF2-40B4-BE49-F238E27FC236}">
              <a16:creationId xmlns:a16="http://schemas.microsoft.com/office/drawing/2014/main" id="{00000000-0008-0000-0500-00002A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45</xdr:row>
      <xdr:rowOff>83820</xdr:rowOff>
    </xdr:from>
    <xdr:to>
      <xdr:col>6</xdr:col>
      <xdr:colOff>1249680</xdr:colOff>
      <xdr:row>45</xdr:row>
      <xdr:rowOff>304800</xdr:rowOff>
    </xdr:to>
    <xdr:sp macro="" textlink="">
      <xdr:nvSpPr>
        <xdr:cNvPr id="40491" name="Drop Down 555" hidden="1">
          <a:extLst>
            <a:ext uri="{63B3BB69-23CF-44E3-9099-C40C66FF867C}">
              <a14:compatExt xmlns:a14="http://schemas.microsoft.com/office/drawing/2010/main" spid="_x0000_s40491"/>
            </a:ext>
            <a:ext uri="{FF2B5EF4-FFF2-40B4-BE49-F238E27FC236}">
              <a16:creationId xmlns:a16="http://schemas.microsoft.com/office/drawing/2014/main" id="{00000000-0008-0000-0500-00002B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48</xdr:row>
      <xdr:rowOff>83820</xdr:rowOff>
    </xdr:from>
    <xdr:to>
      <xdr:col>6</xdr:col>
      <xdr:colOff>1249680</xdr:colOff>
      <xdr:row>49</xdr:row>
      <xdr:rowOff>114300</xdr:rowOff>
    </xdr:to>
    <xdr:sp macro="" textlink="">
      <xdr:nvSpPr>
        <xdr:cNvPr id="40492" name="Drop Down 556" hidden="1">
          <a:extLst>
            <a:ext uri="{63B3BB69-23CF-44E3-9099-C40C66FF867C}">
              <a14:compatExt xmlns:a14="http://schemas.microsoft.com/office/drawing/2010/main" spid="_x0000_s40492"/>
            </a:ext>
            <a:ext uri="{FF2B5EF4-FFF2-40B4-BE49-F238E27FC236}">
              <a16:creationId xmlns:a16="http://schemas.microsoft.com/office/drawing/2014/main" id="{00000000-0008-0000-0500-00002C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49</xdr:row>
      <xdr:rowOff>83820</xdr:rowOff>
    </xdr:from>
    <xdr:to>
      <xdr:col>6</xdr:col>
      <xdr:colOff>1249680</xdr:colOff>
      <xdr:row>50</xdr:row>
      <xdr:rowOff>114300</xdr:rowOff>
    </xdr:to>
    <xdr:sp macro="" textlink="">
      <xdr:nvSpPr>
        <xdr:cNvPr id="40493" name="Drop Down 557" hidden="1">
          <a:extLst>
            <a:ext uri="{63B3BB69-23CF-44E3-9099-C40C66FF867C}">
              <a14:compatExt xmlns:a14="http://schemas.microsoft.com/office/drawing/2010/main" spid="_x0000_s40493"/>
            </a:ext>
            <a:ext uri="{FF2B5EF4-FFF2-40B4-BE49-F238E27FC236}">
              <a16:creationId xmlns:a16="http://schemas.microsoft.com/office/drawing/2014/main" id="{00000000-0008-0000-0500-00002D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83820</xdr:rowOff>
    </xdr:from>
    <xdr:to>
      <xdr:col>6</xdr:col>
      <xdr:colOff>1249680</xdr:colOff>
      <xdr:row>51</xdr:row>
      <xdr:rowOff>114300</xdr:rowOff>
    </xdr:to>
    <xdr:sp macro="" textlink="">
      <xdr:nvSpPr>
        <xdr:cNvPr id="40494" name="Drop Down 558" hidden="1">
          <a:extLst>
            <a:ext uri="{63B3BB69-23CF-44E3-9099-C40C66FF867C}">
              <a14:compatExt xmlns:a14="http://schemas.microsoft.com/office/drawing/2010/main" spid="_x0000_s40494"/>
            </a:ext>
            <a:ext uri="{FF2B5EF4-FFF2-40B4-BE49-F238E27FC236}">
              <a16:creationId xmlns:a16="http://schemas.microsoft.com/office/drawing/2014/main" id="{00000000-0008-0000-0500-00002E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51</xdr:row>
      <xdr:rowOff>83820</xdr:rowOff>
    </xdr:from>
    <xdr:to>
      <xdr:col>6</xdr:col>
      <xdr:colOff>1249680</xdr:colOff>
      <xdr:row>52</xdr:row>
      <xdr:rowOff>114300</xdr:rowOff>
    </xdr:to>
    <xdr:sp macro="" textlink="">
      <xdr:nvSpPr>
        <xdr:cNvPr id="40495" name="Drop Down 559" hidden="1">
          <a:extLst>
            <a:ext uri="{63B3BB69-23CF-44E3-9099-C40C66FF867C}">
              <a14:compatExt xmlns:a14="http://schemas.microsoft.com/office/drawing/2010/main" spid="_x0000_s40495"/>
            </a:ext>
            <a:ext uri="{FF2B5EF4-FFF2-40B4-BE49-F238E27FC236}">
              <a16:creationId xmlns:a16="http://schemas.microsoft.com/office/drawing/2014/main" id="{00000000-0008-0000-0500-00002F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52</xdr:row>
      <xdr:rowOff>83820</xdr:rowOff>
    </xdr:from>
    <xdr:to>
      <xdr:col>6</xdr:col>
      <xdr:colOff>1249680</xdr:colOff>
      <xdr:row>53</xdr:row>
      <xdr:rowOff>114300</xdr:rowOff>
    </xdr:to>
    <xdr:sp macro="" textlink="">
      <xdr:nvSpPr>
        <xdr:cNvPr id="40496" name="Drop Down 560" hidden="1">
          <a:extLst>
            <a:ext uri="{63B3BB69-23CF-44E3-9099-C40C66FF867C}">
              <a14:compatExt xmlns:a14="http://schemas.microsoft.com/office/drawing/2010/main" spid="_x0000_s40496"/>
            </a:ext>
            <a:ext uri="{FF2B5EF4-FFF2-40B4-BE49-F238E27FC236}">
              <a16:creationId xmlns:a16="http://schemas.microsoft.com/office/drawing/2014/main" id="{00000000-0008-0000-0500-000030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55</xdr:row>
      <xdr:rowOff>83820</xdr:rowOff>
    </xdr:from>
    <xdr:to>
      <xdr:col>6</xdr:col>
      <xdr:colOff>1249680</xdr:colOff>
      <xdr:row>56</xdr:row>
      <xdr:rowOff>114300</xdr:rowOff>
    </xdr:to>
    <xdr:sp macro="" textlink="">
      <xdr:nvSpPr>
        <xdr:cNvPr id="40497" name="Drop Down 561" hidden="1">
          <a:extLst>
            <a:ext uri="{63B3BB69-23CF-44E3-9099-C40C66FF867C}">
              <a14:compatExt xmlns:a14="http://schemas.microsoft.com/office/drawing/2010/main" spid="_x0000_s40497"/>
            </a:ext>
            <a:ext uri="{FF2B5EF4-FFF2-40B4-BE49-F238E27FC236}">
              <a16:creationId xmlns:a16="http://schemas.microsoft.com/office/drawing/2014/main" id="{00000000-0008-0000-0500-000031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56</xdr:row>
      <xdr:rowOff>83820</xdr:rowOff>
    </xdr:from>
    <xdr:to>
      <xdr:col>6</xdr:col>
      <xdr:colOff>1249680</xdr:colOff>
      <xdr:row>56</xdr:row>
      <xdr:rowOff>304800</xdr:rowOff>
    </xdr:to>
    <xdr:sp macro="" textlink="">
      <xdr:nvSpPr>
        <xdr:cNvPr id="40498" name="Drop Down 562" hidden="1">
          <a:extLst>
            <a:ext uri="{63B3BB69-23CF-44E3-9099-C40C66FF867C}">
              <a14:compatExt xmlns:a14="http://schemas.microsoft.com/office/drawing/2010/main" spid="_x0000_s40498"/>
            </a:ext>
            <a:ext uri="{FF2B5EF4-FFF2-40B4-BE49-F238E27FC236}">
              <a16:creationId xmlns:a16="http://schemas.microsoft.com/office/drawing/2014/main" id="{00000000-0008-0000-0500-000032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57</xdr:row>
      <xdr:rowOff>83820</xdr:rowOff>
    </xdr:from>
    <xdr:to>
      <xdr:col>6</xdr:col>
      <xdr:colOff>1249680</xdr:colOff>
      <xdr:row>57</xdr:row>
      <xdr:rowOff>304800</xdr:rowOff>
    </xdr:to>
    <xdr:sp macro="" textlink="">
      <xdr:nvSpPr>
        <xdr:cNvPr id="40499" name="Drop Down 563" hidden="1">
          <a:extLst>
            <a:ext uri="{63B3BB69-23CF-44E3-9099-C40C66FF867C}">
              <a14:compatExt xmlns:a14="http://schemas.microsoft.com/office/drawing/2010/main" spid="_x0000_s40499"/>
            </a:ext>
            <a:ext uri="{FF2B5EF4-FFF2-40B4-BE49-F238E27FC236}">
              <a16:creationId xmlns:a16="http://schemas.microsoft.com/office/drawing/2014/main" id="{00000000-0008-0000-0500-000033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59</xdr:row>
      <xdr:rowOff>83820</xdr:rowOff>
    </xdr:from>
    <xdr:to>
      <xdr:col>6</xdr:col>
      <xdr:colOff>1249680</xdr:colOff>
      <xdr:row>60</xdr:row>
      <xdr:rowOff>114300</xdr:rowOff>
    </xdr:to>
    <xdr:sp macro="" textlink="">
      <xdr:nvSpPr>
        <xdr:cNvPr id="40500" name="Drop Down 564" hidden="1">
          <a:extLst>
            <a:ext uri="{63B3BB69-23CF-44E3-9099-C40C66FF867C}">
              <a14:compatExt xmlns:a14="http://schemas.microsoft.com/office/drawing/2010/main" spid="_x0000_s40500"/>
            </a:ext>
            <a:ext uri="{FF2B5EF4-FFF2-40B4-BE49-F238E27FC236}">
              <a16:creationId xmlns:a16="http://schemas.microsoft.com/office/drawing/2014/main" id="{00000000-0008-0000-0500-000034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60</xdr:row>
      <xdr:rowOff>83820</xdr:rowOff>
    </xdr:from>
    <xdr:to>
      <xdr:col>6</xdr:col>
      <xdr:colOff>1249680</xdr:colOff>
      <xdr:row>61</xdr:row>
      <xdr:rowOff>114300</xdr:rowOff>
    </xdr:to>
    <xdr:sp macro="" textlink="">
      <xdr:nvSpPr>
        <xdr:cNvPr id="40501" name="Drop Down 565" hidden="1">
          <a:extLst>
            <a:ext uri="{63B3BB69-23CF-44E3-9099-C40C66FF867C}">
              <a14:compatExt xmlns:a14="http://schemas.microsoft.com/office/drawing/2010/main" spid="_x0000_s40501"/>
            </a:ext>
            <a:ext uri="{FF2B5EF4-FFF2-40B4-BE49-F238E27FC236}">
              <a16:creationId xmlns:a16="http://schemas.microsoft.com/office/drawing/2014/main" id="{00000000-0008-0000-0500-000035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61</xdr:row>
      <xdr:rowOff>83820</xdr:rowOff>
    </xdr:from>
    <xdr:to>
      <xdr:col>6</xdr:col>
      <xdr:colOff>1249680</xdr:colOff>
      <xdr:row>62</xdr:row>
      <xdr:rowOff>114300</xdr:rowOff>
    </xdr:to>
    <xdr:sp macro="" textlink="">
      <xdr:nvSpPr>
        <xdr:cNvPr id="40502" name="Drop Down 566" hidden="1">
          <a:extLst>
            <a:ext uri="{63B3BB69-23CF-44E3-9099-C40C66FF867C}">
              <a14:compatExt xmlns:a14="http://schemas.microsoft.com/office/drawing/2010/main" spid="_x0000_s40502"/>
            </a:ext>
            <a:ext uri="{FF2B5EF4-FFF2-40B4-BE49-F238E27FC236}">
              <a16:creationId xmlns:a16="http://schemas.microsoft.com/office/drawing/2014/main" id="{00000000-0008-0000-0500-000036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62</xdr:row>
      <xdr:rowOff>83820</xdr:rowOff>
    </xdr:from>
    <xdr:to>
      <xdr:col>6</xdr:col>
      <xdr:colOff>1249680</xdr:colOff>
      <xdr:row>63</xdr:row>
      <xdr:rowOff>114300</xdr:rowOff>
    </xdr:to>
    <xdr:sp macro="" textlink="">
      <xdr:nvSpPr>
        <xdr:cNvPr id="40503" name="Drop Down 567" hidden="1">
          <a:extLst>
            <a:ext uri="{63B3BB69-23CF-44E3-9099-C40C66FF867C}">
              <a14:compatExt xmlns:a14="http://schemas.microsoft.com/office/drawing/2010/main" spid="_x0000_s40503"/>
            </a:ext>
            <a:ext uri="{FF2B5EF4-FFF2-40B4-BE49-F238E27FC236}">
              <a16:creationId xmlns:a16="http://schemas.microsoft.com/office/drawing/2014/main" id="{00000000-0008-0000-0500-000037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63</xdr:row>
      <xdr:rowOff>83820</xdr:rowOff>
    </xdr:from>
    <xdr:to>
      <xdr:col>6</xdr:col>
      <xdr:colOff>1249680</xdr:colOff>
      <xdr:row>64</xdr:row>
      <xdr:rowOff>114300</xdr:rowOff>
    </xdr:to>
    <xdr:sp macro="" textlink="">
      <xdr:nvSpPr>
        <xdr:cNvPr id="40504" name="Drop Down 568" hidden="1">
          <a:extLst>
            <a:ext uri="{63B3BB69-23CF-44E3-9099-C40C66FF867C}">
              <a14:compatExt xmlns:a14="http://schemas.microsoft.com/office/drawing/2010/main" spid="_x0000_s40504"/>
            </a:ext>
            <a:ext uri="{FF2B5EF4-FFF2-40B4-BE49-F238E27FC236}">
              <a16:creationId xmlns:a16="http://schemas.microsoft.com/office/drawing/2014/main" id="{00000000-0008-0000-0500-000038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64</xdr:row>
      <xdr:rowOff>83820</xdr:rowOff>
    </xdr:from>
    <xdr:to>
      <xdr:col>6</xdr:col>
      <xdr:colOff>1249680</xdr:colOff>
      <xdr:row>65</xdr:row>
      <xdr:rowOff>114300</xdr:rowOff>
    </xdr:to>
    <xdr:sp macro="" textlink="">
      <xdr:nvSpPr>
        <xdr:cNvPr id="40505" name="Drop Down 569" hidden="1">
          <a:extLst>
            <a:ext uri="{63B3BB69-23CF-44E3-9099-C40C66FF867C}">
              <a14:compatExt xmlns:a14="http://schemas.microsoft.com/office/drawing/2010/main" spid="_x0000_s40505"/>
            </a:ext>
            <a:ext uri="{FF2B5EF4-FFF2-40B4-BE49-F238E27FC236}">
              <a16:creationId xmlns:a16="http://schemas.microsoft.com/office/drawing/2014/main" id="{00000000-0008-0000-0500-000039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65</xdr:row>
      <xdr:rowOff>83820</xdr:rowOff>
    </xdr:from>
    <xdr:to>
      <xdr:col>6</xdr:col>
      <xdr:colOff>1249680</xdr:colOff>
      <xdr:row>66</xdr:row>
      <xdr:rowOff>114300</xdr:rowOff>
    </xdr:to>
    <xdr:sp macro="" textlink="">
      <xdr:nvSpPr>
        <xdr:cNvPr id="40506" name="Drop Down 570" hidden="1">
          <a:extLst>
            <a:ext uri="{63B3BB69-23CF-44E3-9099-C40C66FF867C}">
              <a14:compatExt xmlns:a14="http://schemas.microsoft.com/office/drawing/2010/main" spid="_x0000_s40506"/>
            </a:ext>
            <a:ext uri="{FF2B5EF4-FFF2-40B4-BE49-F238E27FC236}">
              <a16:creationId xmlns:a16="http://schemas.microsoft.com/office/drawing/2014/main" id="{00000000-0008-0000-0500-00003A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66</xdr:row>
      <xdr:rowOff>83820</xdr:rowOff>
    </xdr:from>
    <xdr:to>
      <xdr:col>6</xdr:col>
      <xdr:colOff>1249680</xdr:colOff>
      <xdr:row>67</xdr:row>
      <xdr:rowOff>114300</xdr:rowOff>
    </xdr:to>
    <xdr:sp macro="" textlink="">
      <xdr:nvSpPr>
        <xdr:cNvPr id="40507" name="Drop Down 571" hidden="1">
          <a:extLst>
            <a:ext uri="{63B3BB69-23CF-44E3-9099-C40C66FF867C}">
              <a14:compatExt xmlns:a14="http://schemas.microsoft.com/office/drawing/2010/main" spid="_x0000_s40507"/>
            </a:ext>
            <a:ext uri="{FF2B5EF4-FFF2-40B4-BE49-F238E27FC236}">
              <a16:creationId xmlns:a16="http://schemas.microsoft.com/office/drawing/2014/main" id="{00000000-0008-0000-0500-00003B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68</xdr:row>
      <xdr:rowOff>83820</xdr:rowOff>
    </xdr:from>
    <xdr:to>
      <xdr:col>6</xdr:col>
      <xdr:colOff>1249680</xdr:colOff>
      <xdr:row>69</xdr:row>
      <xdr:rowOff>114300</xdr:rowOff>
    </xdr:to>
    <xdr:sp macro="" textlink="">
      <xdr:nvSpPr>
        <xdr:cNvPr id="40508" name="Drop Down 572" hidden="1">
          <a:extLst>
            <a:ext uri="{63B3BB69-23CF-44E3-9099-C40C66FF867C}">
              <a14:compatExt xmlns:a14="http://schemas.microsoft.com/office/drawing/2010/main" spid="_x0000_s40508"/>
            </a:ext>
            <a:ext uri="{FF2B5EF4-FFF2-40B4-BE49-F238E27FC236}">
              <a16:creationId xmlns:a16="http://schemas.microsoft.com/office/drawing/2014/main" id="{00000000-0008-0000-0500-00003C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69</xdr:row>
      <xdr:rowOff>83820</xdr:rowOff>
    </xdr:from>
    <xdr:to>
      <xdr:col>6</xdr:col>
      <xdr:colOff>1249680</xdr:colOff>
      <xdr:row>70</xdr:row>
      <xdr:rowOff>114300</xdr:rowOff>
    </xdr:to>
    <xdr:sp macro="" textlink="">
      <xdr:nvSpPr>
        <xdr:cNvPr id="40509" name="Drop Down 573" hidden="1">
          <a:extLst>
            <a:ext uri="{63B3BB69-23CF-44E3-9099-C40C66FF867C}">
              <a14:compatExt xmlns:a14="http://schemas.microsoft.com/office/drawing/2010/main" spid="_x0000_s40509"/>
            </a:ext>
            <a:ext uri="{FF2B5EF4-FFF2-40B4-BE49-F238E27FC236}">
              <a16:creationId xmlns:a16="http://schemas.microsoft.com/office/drawing/2014/main" id="{00000000-0008-0000-0500-00003D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70</xdr:row>
      <xdr:rowOff>83820</xdr:rowOff>
    </xdr:from>
    <xdr:to>
      <xdr:col>6</xdr:col>
      <xdr:colOff>1249680</xdr:colOff>
      <xdr:row>71</xdr:row>
      <xdr:rowOff>114300</xdr:rowOff>
    </xdr:to>
    <xdr:sp macro="" textlink="">
      <xdr:nvSpPr>
        <xdr:cNvPr id="40510" name="Drop Down 574" hidden="1">
          <a:extLst>
            <a:ext uri="{63B3BB69-23CF-44E3-9099-C40C66FF867C}">
              <a14:compatExt xmlns:a14="http://schemas.microsoft.com/office/drawing/2010/main" spid="_x0000_s40510"/>
            </a:ext>
            <a:ext uri="{FF2B5EF4-FFF2-40B4-BE49-F238E27FC236}">
              <a16:creationId xmlns:a16="http://schemas.microsoft.com/office/drawing/2014/main" id="{00000000-0008-0000-0500-00003E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72</xdr:row>
      <xdr:rowOff>83820</xdr:rowOff>
    </xdr:from>
    <xdr:to>
      <xdr:col>6</xdr:col>
      <xdr:colOff>1249680</xdr:colOff>
      <xdr:row>72</xdr:row>
      <xdr:rowOff>304800</xdr:rowOff>
    </xdr:to>
    <xdr:sp macro="" textlink="">
      <xdr:nvSpPr>
        <xdr:cNvPr id="40511" name="Drop Down 575" hidden="1">
          <a:extLst>
            <a:ext uri="{63B3BB69-23CF-44E3-9099-C40C66FF867C}">
              <a14:compatExt xmlns:a14="http://schemas.microsoft.com/office/drawing/2010/main" spid="_x0000_s40511"/>
            </a:ext>
            <a:ext uri="{FF2B5EF4-FFF2-40B4-BE49-F238E27FC236}">
              <a16:creationId xmlns:a16="http://schemas.microsoft.com/office/drawing/2014/main" id="{00000000-0008-0000-0500-00003F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73</xdr:row>
      <xdr:rowOff>83820</xdr:rowOff>
    </xdr:from>
    <xdr:to>
      <xdr:col>6</xdr:col>
      <xdr:colOff>1249680</xdr:colOff>
      <xdr:row>73</xdr:row>
      <xdr:rowOff>304800</xdr:rowOff>
    </xdr:to>
    <xdr:sp macro="" textlink="">
      <xdr:nvSpPr>
        <xdr:cNvPr id="40512" name="Drop Down 576" hidden="1">
          <a:extLst>
            <a:ext uri="{63B3BB69-23CF-44E3-9099-C40C66FF867C}">
              <a14:compatExt xmlns:a14="http://schemas.microsoft.com/office/drawing/2010/main" spid="_x0000_s40512"/>
            </a:ext>
            <a:ext uri="{FF2B5EF4-FFF2-40B4-BE49-F238E27FC236}">
              <a16:creationId xmlns:a16="http://schemas.microsoft.com/office/drawing/2014/main" id="{00000000-0008-0000-0500-000040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74</xdr:row>
      <xdr:rowOff>83820</xdr:rowOff>
    </xdr:from>
    <xdr:to>
      <xdr:col>6</xdr:col>
      <xdr:colOff>1249680</xdr:colOff>
      <xdr:row>74</xdr:row>
      <xdr:rowOff>304800</xdr:rowOff>
    </xdr:to>
    <xdr:sp macro="" textlink="">
      <xdr:nvSpPr>
        <xdr:cNvPr id="40513" name="Drop Down 577" hidden="1">
          <a:extLst>
            <a:ext uri="{63B3BB69-23CF-44E3-9099-C40C66FF867C}">
              <a14:compatExt xmlns:a14="http://schemas.microsoft.com/office/drawing/2010/main" spid="_x0000_s40513"/>
            </a:ext>
            <a:ext uri="{FF2B5EF4-FFF2-40B4-BE49-F238E27FC236}">
              <a16:creationId xmlns:a16="http://schemas.microsoft.com/office/drawing/2014/main" id="{00000000-0008-0000-0500-000041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75</xdr:row>
      <xdr:rowOff>83820</xdr:rowOff>
    </xdr:from>
    <xdr:to>
      <xdr:col>6</xdr:col>
      <xdr:colOff>1249680</xdr:colOff>
      <xdr:row>75</xdr:row>
      <xdr:rowOff>304800</xdr:rowOff>
    </xdr:to>
    <xdr:sp macro="" textlink="">
      <xdr:nvSpPr>
        <xdr:cNvPr id="40514" name="Drop Down 578" hidden="1">
          <a:extLst>
            <a:ext uri="{63B3BB69-23CF-44E3-9099-C40C66FF867C}">
              <a14:compatExt xmlns:a14="http://schemas.microsoft.com/office/drawing/2010/main" spid="_x0000_s40514"/>
            </a:ext>
            <a:ext uri="{FF2B5EF4-FFF2-40B4-BE49-F238E27FC236}">
              <a16:creationId xmlns:a16="http://schemas.microsoft.com/office/drawing/2014/main" id="{00000000-0008-0000-0500-000042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77</xdr:row>
      <xdr:rowOff>83820</xdr:rowOff>
    </xdr:from>
    <xdr:to>
      <xdr:col>6</xdr:col>
      <xdr:colOff>1249680</xdr:colOff>
      <xdr:row>77</xdr:row>
      <xdr:rowOff>304800</xdr:rowOff>
    </xdr:to>
    <xdr:sp macro="" textlink="">
      <xdr:nvSpPr>
        <xdr:cNvPr id="40515" name="Drop Down 579" hidden="1">
          <a:extLst>
            <a:ext uri="{63B3BB69-23CF-44E3-9099-C40C66FF867C}">
              <a14:compatExt xmlns:a14="http://schemas.microsoft.com/office/drawing/2010/main" spid="_x0000_s40515"/>
            </a:ext>
            <a:ext uri="{FF2B5EF4-FFF2-40B4-BE49-F238E27FC236}">
              <a16:creationId xmlns:a16="http://schemas.microsoft.com/office/drawing/2014/main" id="{00000000-0008-0000-0500-000043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78</xdr:row>
      <xdr:rowOff>83820</xdr:rowOff>
    </xdr:from>
    <xdr:to>
      <xdr:col>6</xdr:col>
      <xdr:colOff>1249680</xdr:colOff>
      <xdr:row>78</xdr:row>
      <xdr:rowOff>304800</xdr:rowOff>
    </xdr:to>
    <xdr:sp macro="" textlink="">
      <xdr:nvSpPr>
        <xdr:cNvPr id="40516" name="Drop Down 580" hidden="1">
          <a:extLst>
            <a:ext uri="{63B3BB69-23CF-44E3-9099-C40C66FF867C}">
              <a14:compatExt xmlns:a14="http://schemas.microsoft.com/office/drawing/2010/main" spid="_x0000_s40516"/>
            </a:ext>
            <a:ext uri="{FF2B5EF4-FFF2-40B4-BE49-F238E27FC236}">
              <a16:creationId xmlns:a16="http://schemas.microsoft.com/office/drawing/2014/main" id="{00000000-0008-0000-0500-000044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79</xdr:row>
      <xdr:rowOff>83820</xdr:rowOff>
    </xdr:from>
    <xdr:to>
      <xdr:col>6</xdr:col>
      <xdr:colOff>1249680</xdr:colOff>
      <xdr:row>79</xdr:row>
      <xdr:rowOff>304800</xdr:rowOff>
    </xdr:to>
    <xdr:sp macro="" textlink="">
      <xdr:nvSpPr>
        <xdr:cNvPr id="40517" name="Drop Down 581" hidden="1">
          <a:extLst>
            <a:ext uri="{63B3BB69-23CF-44E3-9099-C40C66FF867C}">
              <a14:compatExt xmlns:a14="http://schemas.microsoft.com/office/drawing/2010/main" spid="_x0000_s40517"/>
            </a:ext>
            <a:ext uri="{FF2B5EF4-FFF2-40B4-BE49-F238E27FC236}">
              <a16:creationId xmlns:a16="http://schemas.microsoft.com/office/drawing/2014/main" id="{00000000-0008-0000-0500-000045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82</xdr:row>
      <xdr:rowOff>83820</xdr:rowOff>
    </xdr:from>
    <xdr:to>
      <xdr:col>6</xdr:col>
      <xdr:colOff>1249680</xdr:colOff>
      <xdr:row>82</xdr:row>
      <xdr:rowOff>180975</xdr:rowOff>
    </xdr:to>
    <xdr:sp macro="" textlink="">
      <xdr:nvSpPr>
        <xdr:cNvPr id="40518" name="Drop Down 582" hidden="1">
          <a:extLst>
            <a:ext uri="{63B3BB69-23CF-44E3-9099-C40C66FF867C}">
              <a14:compatExt xmlns:a14="http://schemas.microsoft.com/office/drawing/2010/main" spid="_x0000_s40518"/>
            </a:ext>
            <a:ext uri="{FF2B5EF4-FFF2-40B4-BE49-F238E27FC236}">
              <a16:creationId xmlns:a16="http://schemas.microsoft.com/office/drawing/2014/main" id="{00000000-0008-0000-0500-000046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83</xdr:row>
      <xdr:rowOff>83820</xdr:rowOff>
    </xdr:from>
    <xdr:to>
      <xdr:col>6</xdr:col>
      <xdr:colOff>1249680</xdr:colOff>
      <xdr:row>84</xdr:row>
      <xdr:rowOff>114300</xdr:rowOff>
    </xdr:to>
    <xdr:sp macro="" textlink="">
      <xdr:nvSpPr>
        <xdr:cNvPr id="40519" name="Drop Down 583" hidden="1">
          <a:extLst>
            <a:ext uri="{63B3BB69-23CF-44E3-9099-C40C66FF867C}">
              <a14:compatExt xmlns:a14="http://schemas.microsoft.com/office/drawing/2010/main" spid="_x0000_s40519"/>
            </a:ext>
            <a:ext uri="{FF2B5EF4-FFF2-40B4-BE49-F238E27FC236}">
              <a16:creationId xmlns:a16="http://schemas.microsoft.com/office/drawing/2014/main" id="{00000000-0008-0000-0500-000047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84</xdr:row>
      <xdr:rowOff>83820</xdr:rowOff>
    </xdr:from>
    <xdr:to>
      <xdr:col>6</xdr:col>
      <xdr:colOff>1249680</xdr:colOff>
      <xdr:row>85</xdr:row>
      <xdr:rowOff>114300</xdr:rowOff>
    </xdr:to>
    <xdr:sp macro="" textlink="">
      <xdr:nvSpPr>
        <xdr:cNvPr id="40520" name="Drop Down 584" hidden="1">
          <a:extLst>
            <a:ext uri="{63B3BB69-23CF-44E3-9099-C40C66FF867C}">
              <a14:compatExt xmlns:a14="http://schemas.microsoft.com/office/drawing/2010/main" spid="_x0000_s40520"/>
            </a:ext>
            <a:ext uri="{FF2B5EF4-FFF2-40B4-BE49-F238E27FC236}">
              <a16:creationId xmlns:a16="http://schemas.microsoft.com/office/drawing/2014/main" id="{00000000-0008-0000-0500-000048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85</xdr:row>
      <xdr:rowOff>83820</xdr:rowOff>
    </xdr:from>
    <xdr:to>
      <xdr:col>6</xdr:col>
      <xdr:colOff>1249680</xdr:colOff>
      <xdr:row>85</xdr:row>
      <xdr:rowOff>304800</xdr:rowOff>
    </xdr:to>
    <xdr:sp macro="" textlink="">
      <xdr:nvSpPr>
        <xdr:cNvPr id="40521" name="Drop Down 585" hidden="1">
          <a:extLst>
            <a:ext uri="{63B3BB69-23CF-44E3-9099-C40C66FF867C}">
              <a14:compatExt xmlns:a14="http://schemas.microsoft.com/office/drawing/2010/main" spid="_x0000_s40521"/>
            </a:ext>
            <a:ext uri="{FF2B5EF4-FFF2-40B4-BE49-F238E27FC236}">
              <a16:creationId xmlns:a16="http://schemas.microsoft.com/office/drawing/2014/main" id="{00000000-0008-0000-0500-000049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87</xdr:row>
      <xdr:rowOff>83820</xdr:rowOff>
    </xdr:from>
    <xdr:to>
      <xdr:col>6</xdr:col>
      <xdr:colOff>1249680</xdr:colOff>
      <xdr:row>88</xdr:row>
      <xdr:rowOff>114300</xdr:rowOff>
    </xdr:to>
    <xdr:sp macro="" textlink="">
      <xdr:nvSpPr>
        <xdr:cNvPr id="40522" name="Drop Down 586" hidden="1">
          <a:extLst>
            <a:ext uri="{63B3BB69-23CF-44E3-9099-C40C66FF867C}">
              <a14:compatExt xmlns:a14="http://schemas.microsoft.com/office/drawing/2010/main" spid="_x0000_s40522"/>
            </a:ext>
            <a:ext uri="{FF2B5EF4-FFF2-40B4-BE49-F238E27FC236}">
              <a16:creationId xmlns:a16="http://schemas.microsoft.com/office/drawing/2014/main" id="{00000000-0008-0000-0500-00004A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88</xdr:row>
      <xdr:rowOff>83820</xdr:rowOff>
    </xdr:from>
    <xdr:to>
      <xdr:col>6</xdr:col>
      <xdr:colOff>1249680</xdr:colOff>
      <xdr:row>88</xdr:row>
      <xdr:rowOff>180975</xdr:rowOff>
    </xdr:to>
    <xdr:sp macro="" textlink="">
      <xdr:nvSpPr>
        <xdr:cNvPr id="40523" name="Drop Down 587" hidden="1">
          <a:extLst>
            <a:ext uri="{63B3BB69-23CF-44E3-9099-C40C66FF867C}">
              <a14:compatExt xmlns:a14="http://schemas.microsoft.com/office/drawing/2010/main" spid="_x0000_s40523"/>
            </a:ext>
            <a:ext uri="{FF2B5EF4-FFF2-40B4-BE49-F238E27FC236}">
              <a16:creationId xmlns:a16="http://schemas.microsoft.com/office/drawing/2014/main" id="{00000000-0008-0000-0500-00004B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89</xdr:row>
      <xdr:rowOff>83820</xdr:rowOff>
    </xdr:from>
    <xdr:to>
      <xdr:col>6</xdr:col>
      <xdr:colOff>1249680</xdr:colOff>
      <xdr:row>90</xdr:row>
      <xdr:rowOff>114300</xdr:rowOff>
    </xdr:to>
    <xdr:sp macro="" textlink="">
      <xdr:nvSpPr>
        <xdr:cNvPr id="40524" name="Drop Down 588" hidden="1">
          <a:extLst>
            <a:ext uri="{63B3BB69-23CF-44E3-9099-C40C66FF867C}">
              <a14:compatExt xmlns:a14="http://schemas.microsoft.com/office/drawing/2010/main" spid="_x0000_s40524"/>
            </a:ext>
            <a:ext uri="{FF2B5EF4-FFF2-40B4-BE49-F238E27FC236}">
              <a16:creationId xmlns:a16="http://schemas.microsoft.com/office/drawing/2014/main" id="{00000000-0008-0000-0500-00004C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90</xdr:row>
      <xdr:rowOff>83820</xdr:rowOff>
    </xdr:from>
    <xdr:to>
      <xdr:col>6</xdr:col>
      <xdr:colOff>1249680</xdr:colOff>
      <xdr:row>90</xdr:row>
      <xdr:rowOff>180975</xdr:rowOff>
    </xdr:to>
    <xdr:sp macro="" textlink="">
      <xdr:nvSpPr>
        <xdr:cNvPr id="40525" name="Drop Down 589" hidden="1">
          <a:extLst>
            <a:ext uri="{63B3BB69-23CF-44E3-9099-C40C66FF867C}">
              <a14:compatExt xmlns:a14="http://schemas.microsoft.com/office/drawing/2010/main" spid="_x0000_s40525"/>
            </a:ext>
            <a:ext uri="{FF2B5EF4-FFF2-40B4-BE49-F238E27FC236}">
              <a16:creationId xmlns:a16="http://schemas.microsoft.com/office/drawing/2014/main" id="{00000000-0008-0000-0500-00004D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92</xdr:row>
      <xdr:rowOff>83820</xdr:rowOff>
    </xdr:from>
    <xdr:to>
      <xdr:col>6</xdr:col>
      <xdr:colOff>1249680</xdr:colOff>
      <xdr:row>92</xdr:row>
      <xdr:rowOff>304800</xdr:rowOff>
    </xdr:to>
    <xdr:sp macro="" textlink="">
      <xdr:nvSpPr>
        <xdr:cNvPr id="40526" name="Drop Down 590" hidden="1">
          <a:extLst>
            <a:ext uri="{63B3BB69-23CF-44E3-9099-C40C66FF867C}">
              <a14:compatExt xmlns:a14="http://schemas.microsoft.com/office/drawing/2010/main" spid="_x0000_s40526"/>
            </a:ext>
            <a:ext uri="{FF2B5EF4-FFF2-40B4-BE49-F238E27FC236}">
              <a16:creationId xmlns:a16="http://schemas.microsoft.com/office/drawing/2014/main" id="{00000000-0008-0000-0500-00004E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93</xdr:row>
      <xdr:rowOff>83820</xdr:rowOff>
    </xdr:from>
    <xdr:to>
      <xdr:col>6</xdr:col>
      <xdr:colOff>1249680</xdr:colOff>
      <xdr:row>93</xdr:row>
      <xdr:rowOff>304800</xdr:rowOff>
    </xdr:to>
    <xdr:sp macro="" textlink="">
      <xdr:nvSpPr>
        <xdr:cNvPr id="40527" name="Drop Down 591" hidden="1">
          <a:extLst>
            <a:ext uri="{63B3BB69-23CF-44E3-9099-C40C66FF867C}">
              <a14:compatExt xmlns:a14="http://schemas.microsoft.com/office/drawing/2010/main" spid="_x0000_s40527"/>
            </a:ext>
            <a:ext uri="{FF2B5EF4-FFF2-40B4-BE49-F238E27FC236}">
              <a16:creationId xmlns:a16="http://schemas.microsoft.com/office/drawing/2014/main" id="{00000000-0008-0000-0500-00004F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94</xdr:row>
      <xdr:rowOff>83820</xdr:rowOff>
    </xdr:from>
    <xdr:to>
      <xdr:col>6</xdr:col>
      <xdr:colOff>1249680</xdr:colOff>
      <xdr:row>94</xdr:row>
      <xdr:rowOff>304800</xdr:rowOff>
    </xdr:to>
    <xdr:sp macro="" textlink="">
      <xdr:nvSpPr>
        <xdr:cNvPr id="40528" name="Drop Down 592" hidden="1">
          <a:extLst>
            <a:ext uri="{63B3BB69-23CF-44E3-9099-C40C66FF867C}">
              <a14:compatExt xmlns:a14="http://schemas.microsoft.com/office/drawing/2010/main" spid="_x0000_s40528"/>
            </a:ext>
            <a:ext uri="{FF2B5EF4-FFF2-40B4-BE49-F238E27FC236}">
              <a16:creationId xmlns:a16="http://schemas.microsoft.com/office/drawing/2014/main" id="{00000000-0008-0000-0500-000050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96</xdr:row>
      <xdr:rowOff>83820</xdr:rowOff>
    </xdr:from>
    <xdr:to>
      <xdr:col>6</xdr:col>
      <xdr:colOff>1249680</xdr:colOff>
      <xdr:row>96</xdr:row>
      <xdr:rowOff>304800</xdr:rowOff>
    </xdr:to>
    <xdr:sp macro="" textlink="">
      <xdr:nvSpPr>
        <xdr:cNvPr id="40529" name="Drop Down 593" hidden="1">
          <a:extLst>
            <a:ext uri="{63B3BB69-23CF-44E3-9099-C40C66FF867C}">
              <a14:compatExt xmlns:a14="http://schemas.microsoft.com/office/drawing/2010/main" spid="_x0000_s40529"/>
            </a:ext>
            <a:ext uri="{FF2B5EF4-FFF2-40B4-BE49-F238E27FC236}">
              <a16:creationId xmlns:a16="http://schemas.microsoft.com/office/drawing/2014/main" id="{00000000-0008-0000-0500-000051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97</xdr:row>
      <xdr:rowOff>83820</xdr:rowOff>
    </xdr:from>
    <xdr:to>
      <xdr:col>6</xdr:col>
      <xdr:colOff>1249680</xdr:colOff>
      <xdr:row>97</xdr:row>
      <xdr:rowOff>180975</xdr:rowOff>
    </xdr:to>
    <xdr:sp macro="" textlink="">
      <xdr:nvSpPr>
        <xdr:cNvPr id="40530" name="Drop Down 594" hidden="1">
          <a:extLst>
            <a:ext uri="{63B3BB69-23CF-44E3-9099-C40C66FF867C}">
              <a14:compatExt xmlns:a14="http://schemas.microsoft.com/office/drawing/2010/main" spid="_x0000_s40530"/>
            </a:ext>
            <a:ext uri="{FF2B5EF4-FFF2-40B4-BE49-F238E27FC236}">
              <a16:creationId xmlns:a16="http://schemas.microsoft.com/office/drawing/2014/main" id="{00000000-0008-0000-0500-000052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98</xdr:row>
      <xdr:rowOff>83820</xdr:rowOff>
    </xdr:from>
    <xdr:to>
      <xdr:col>6</xdr:col>
      <xdr:colOff>1249680</xdr:colOff>
      <xdr:row>98</xdr:row>
      <xdr:rowOff>304800</xdr:rowOff>
    </xdr:to>
    <xdr:sp macro="" textlink="">
      <xdr:nvSpPr>
        <xdr:cNvPr id="40531" name="Drop Down 595" hidden="1">
          <a:extLst>
            <a:ext uri="{63B3BB69-23CF-44E3-9099-C40C66FF867C}">
              <a14:compatExt xmlns:a14="http://schemas.microsoft.com/office/drawing/2010/main" spid="_x0000_s40531"/>
            </a:ext>
            <a:ext uri="{FF2B5EF4-FFF2-40B4-BE49-F238E27FC236}">
              <a16:creationId xmlns:a16="http://schemas.microsoft.com/office/drawing/2014/main" id="{00000000-0008-0000-0500-000053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100</xdr:row>
      <xdr:rowOff>83820</xdr:rowOff>
    </xdr:from>
    <xdr:to>
      <xdr:col>6</xdr:col>
      <xdr:colOff>1249680</xdr:colOff>
      <xdr:row>100</xdr:row>
      <xdr:rowOff>304800</xdr:rowOff>
    </xdr:to>
    <xdr:sp macro="" textlink="">
      <xdr:nvSpPr>
        <xdr:cNvPr id="40532" name="Drop Down 596" hidden="1">
          <a:extLst>
            <a:ext uri="{63B3BB69-23CF-44E3-9099-C40C66FF867C}">
              <a14:compatExt xmlns:a14="http://schemas.microsoft.com/office/drawing/2010/main" spid="_x0000_s40532"/>
            </a:ext>
            <a:ext uri="{FF2B5EF4-FFF2-40B4-BE49-F238E27FC236}">
              <a16:creationId xmlns:a16="http://schemas.microsoft.com/office/drawing/2014/main" id="{00000000-0008-0000-0500-000054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101</xdr:row>
      <xdr:rowOff>83820</xdr:rowOff>
    </xdr:from>
    <xdr:to>
      <xdr:col>6</xdr:col>
      <xdr:colOff>1249680</xdr:colOff>
      <xdr:row>101</xdr:row>
      <xdr:rowOff>304800</xdr:rowOff>
    </xdr:to>
    <xdr:sp macro="" textlink="">
      <xdr:nvSpPr>
        <xdr:cNvPr id="40533" name="Drop Down 597" hidden="1">
          <a:extLst>
            <a:ext uri="{63B3BB69-23CF-44E3-9099-C40C66FF867C}">
              <a14:compatExt xmlns:a14="http://schemas.microsoft.com/office/drawing/2010/main" spid="_x0000_s40533"/>
            </a:ext>
            <a:ext uri="{FF2B5EF4-FFF2-40B4-BE49-F238E27FC236}">
              <a16:creationId xmlns:a16="http://schemas.microsoft.com/office/drawing/2014/main" id="{00000000-0008-0000-0500-000055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103</xdr:row>
      <xdr:rowOff>83820</xdr:rowOff>
    </xdr:from>
    <xdr:to>
      <xdr:col>6</xdr:col>
      <xdr:colOff>1249680</xdr:colOff>
      <xdr:row>103</xdr:row>
      <xdr:rowOff>304800</xdr:rowOff>
    </xdr:to>
    <xdr:sp macro="" textlink="">
      <xdr:nvSpPr>
        <xdr:cNvPr id="40534" name="Drop Down 598" hidden="1">
          <a:extLst>
            <a:ext uri="{63B3BB69-23CF-44E3-9099-C40C66FF867C}">
              <a14:compatExt xmlns:a14="http://schemas.microsoft.com/office/drawing/2010/main" spid="_x0000_s40534"/>
            </a:ext>
            <a:ext uri="{FF2B5EF4-FFF2-40B4-BE49-F238E27FC236}">
              <a16:creationId xmlns:a16="http://schemas.microsoft.com/office/drawing/2014/main" id="{00000000-0008-0000-0500-000056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104</xdr:row>
      <xdr:rowOff>83820</xdr:rowOff>
    </xdr:from>
    <xdr:to>
      <xdr:col>6</xdr:col>
      <xdr:colOff>1249680</xdr:colOff>
      <xdr:row>104</xdr:row>
      <xdr:rowOff>304800</xdr:rowOff>
    </xdr:to>
    <xdr:sp macro="" textlink="">
      <xdr:nvSpPr>
        <xdr:cNvPr id="40535" name="Drop Down 599" hidden="1">
          <a:extLst>
            <a:ext uri="{63B3BB69-23CF-44E3-9099-C40C66FF867C}">
              <a14:compatExt xmlns:a14="http://schemas.microsoft.com/office/drawing/2010/main" spid="_x0000_s40535"/>
            </a:ext>
            <a:ext uri="{FF2B5EF4-FFF2-40B4-BE49-F238E27FC236}">
              <a16:creationId xmlns:a16="http://schemas.microsoft.com/office/drawing/2014/main" id="{00000000-0008-0000-0500-000057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105</xdr:row>
      <xdr:rowOff>83820</xdr:rowOff>
    </xdr:from>
    <xdr:to>
      <xdr:col>6</xdr:col>
      <xdr:colOff>1249680</xdr:colOff>
      <xdr:row>105</xdr:row>
      <xdr:rowOff>304800</xdr:rowOff>
    </xdr:to>
    <xdr:sp macro="" textlink="">
      <xdr:nvSpPr>
        <xdr:cNvPr id="40536" name="Drop Down 600" hidden="1">
          <a:extLst>
            <a:ext uri="{63B3BB69-23CF-44E3-9099-C40C66FF867C}">
              <a14:compatExt xmlns:a14="http://schemas.microsoft.com/office/drawing/2010/main" spid="_x0000_s40536"/>
            </a:ext>
            <a:ext uri="{FF2B5EF4-FFF2-40B4-BE49-F238E27FC236}">
              <a16:creationId xmlns:a16="http://schemas.microsoft.com/office/drawing/2014/main" id="{00000000-0008-0000-0500-000058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111</xdr:row>
      <xdr:rowOff>83820</xdr:rowOff>
    </xdr:from>
    <xdr:to>
      <xdr:col>6</xdr:col>
      <xdr:colOff>1249680</xdr:colOff>
      <xdr:row>111</xdr:row>
      <xdr:rowOff>304800</xdr:rowOff>
    </xdr:to>
    <xdr:sp macro="" textlink="">
      <xdr:nvSpPr>
        <xdr:cNvPr id="40537" name="Drop Down 601" hidden="1">
          <a:extLst>
            <a:ext uri="{63B3BB69-23CF-44E3-9099-C40C66FF867C}">
              <a14:compatExt xmlns:a14="http://schemas.microsoft.com/office/drawing/2010/main" spid="_x0000_s40537"/>
            </a:ext>
            <a:ext uri="{FF2B5EF4-FFF2-40B4-BE49-F238E27FC236}">
              <a16:creationId xmlns:a16="http://schemas.microsoft.com/office/drawing/2014/main" id="{00000000-0008-0000-0500-000059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112</xdr:row>
      <xdr:rowOff>83820</xdr:rowOff>
    </xdr:from>
    <xdr:to>
      <xdr:col>6</xdr:col>
      <xdr:colOff>1249680</xdr:colOff>
      <xdr:row>112</xdr:row>
      <xdr:rowOff>304800</xdr:rowOff>
    </xdr:to>
    <xdr:sp macro="" textlink="">
      <xdr:nvSpPr>
        <xdr:cNvPr id="40538" name="Drop Down 602" hidden="1">
          <a:extLst>
            <a:ext uri="{63B3BB69-23CF-44E3-9099-C40C66FF867C}">
              <a14:compatExt xmlns:a14="http://schemas.microsoft.com/office/drawing/2010/main" spid="_x0000_s40538"/>
            </a:ext>
            <a:ext uri="{FF2B5EF4-FFF2-40B4-BE49-F238E27FC236}">
              <a16:creationId xmlns:a16="http://schemas.microsoft.com/office/drawing/2014/main" id="{00000000-0008-0000-0500-00005A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114</xdr:row>
      <xdr:rowOff>83820</xdr:rowOff>
    </xdr:from>
    <xdr:to>
      <xdr:col>6</xdr:col>
      <xdr:colOff>1249680</xdr:colOff>
      <xdr:row>114</xdr:row>
      <xdr:rowOff>304800</xdr:rowOff>
    </xdr:to>
    <xdr:sp macro="" textlink="">
      <xdr:nvSpPr>
        <xdr:cNvPr id="40539" name="Drop Down 603" hidden="1">
          <a:extLst>
            <a:ext uri="{63B3BB69-23CF-44E3-9099-C40C66FF867C}">
              <a14:compatExt xmlns:a14="http://schemas.microsoft.com/office/drawing/2010/main" spid="_x0000_s40539"/>
            </a:ext>
            <a:ext uri="{FF2B5EF4-FFF2-40B4-BE49-F238E27FC236}">
              <a16:creationId xmlns:a16="http://schemas.microsoft.com/office/drawing/2014/main" id="{00000000-0008-0000-0500-00005B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115</xdr:row>
      <xdr:rowOff>83820</xdr:rowOff>
    </xdr:from>
    <xdr:to>
      <xdr:col>6</xdr:col>
      <xdr:colOff>1249680</xdr:colOff>
      <xdr:row>116</xdr:row>
      <xdr:rowOff>114300</xdr:rowOff>
    </xdr:to>
    <xdr:sp macro="" textlink="">
      <xdr:nvSpPr>
        <xdr:cNvPr id="40540" name="Drop Down 604" hidden="1">
          <a:extLst>
            <a:ext uri="{63B3BB69-23CF-44E3-9099-C40C66FF867C}">
              <a14:compatExt xmlns:a14="http://schemas.microsoft.com/office/drawing/2010/main" spid="_x0000_s40540"/>
            </a:ext>
            <a:ext uri="{FF2B5EF4-FFF2-40B4-BE49-F238E27FC236}">
              <a16:creationId xmlns:a16="http://schemas.microsoft.com/office/drawing/2014/main" id="{00000000-0008-0000-0500-00005C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116</xdr:row>
      <xdr:rowOff>83820</xdr:rowOff>
    </xdr:from>
    <xdr:to>
      <xdr:col>6</xdr:col>
      <xdr:colOff>1249680</xdr:colOff>
      <xdr:row>116</xdr:row>
      <xdr:rowOff>180975</xdr:rowOff>
    </xdr:to>
    <xdr:sp macro="" textlink="">
      <xdr:nvSpPr>
        <xdr:cNvPr id="40541" name="Drop Down 605" hidden="1">
          <a:extLst>
            <a:ext uri="{63B3BB69-23CF-44E3-9099-C40C66FF867C}">
              <a14:compatExt xmlns:a14="http://schemas.microsoft.com/office/drawing/2010/main" spid="_x0000_s40541"/>
            </a:ext>
            <a:ext uri="{FF2B5EF4-FFF2-40B4-BE49-F238E27FC236}">
              <a16:creationId xmlns:a16="http://schemas.microsoft.com/office/drawing/2014/main" id="{00000000-0008-0000-0500-00005D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117</xdr:row>
      <xdr:rowOff>83820</xdr:rowOff>
    </xdr:from>
    <xdr:to>
      <xdr:col>6</xdr:col>
      <xdr:colOff>1249680</xdr:colOff>
      <xdr:row>118</xdr:row>
      <xdr:rowOff>114300</xdr:rowOff>
    </xdr:to>
    <xdr:sp macro="" textlink="">
      <xdr:nvSpPr>
        <xdr:cNvPr id="40542" name="Drop Down 606" hidden="1">
          <a:extLst>
            <a:ext uri="{63B3BB69-23CF-44E3-9099-C40C66FF867C}">
              <a14:compatExt xmlns:a14="http://schemas.microsoft.com/office/drawing/2010/main" spid="_x0000_s40542"/>
            </a:ext>
            <a:ext uri="{FF2B5EF4-FFF2-40B4-BE49-F238E27FC236}">
              <a16:creationId xmlns:a16="http://schemas.microsoft.com/office/drawing/2014/main" id="{00000000-0008-0000-0500-00005E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118</xdr:row>
      <xdr:rowOff>83820</xdr:rowOff>
    </xdr:from>
    <xdr:to>
      <xdr:col>6</xdr:col>
      <xdr:colOff>1249680</xdr:colOff>
      <xdr:row>118</xdr:row>
      <xdr:rowOff>180975</xdr:rowOff>
    </xdr:to>
    <xdr:sp macro="" textlink="">
      <xdr:nvSpPr>
        <xdr:cNvPr id="40543" name="Drop Down 607" hidden="1">
          <a:extLst>
            <a:ext uri="{63B3BB69-23CF-44E3-9099-C40C66FF867C}">
              <a14:compatExt xmlns:a14="http://schemas.microsoft.com/office/drawing/2010/main" spid="_x0000_s40543"/>
            </a:ext>
            <a:ext uri="{FF2B5EF4-FFF2-40B4-BE49-F238E27FC236}">
              <a16:creationId xmlns:a16="http://schemas.microsoft.com/office/drawing/2014/main" id="{00000000-0008-0000-0500-00005F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119</xdr:row>
      <xdr:rowOff>83820</xdr:rowOff>
    </xdr:from>
    <xdr:to>
      <xdr:col>6</xdr:col>
      <xdr:colOff>1249680</xdr:colOff>
      <xdr:row>119</xdr:row>
      <xdr:rowOff>304800</xdr:rowOff>
    </xdr:to>
    <xdr:sp macro="" textlink="">
      <xdr:nvSpPr>
        <xdr:cNvPr id="40544" name="Drop Down 608" hidden="1">
          <a:extLst>
            <a:ext uri="{63B3BB69-23CF-44E3-9099-C40C66FF867C}">
              <a14:compatExt xmlns:a14="http://schemas.microsoft.com/office/drawing/2010/main" spid="_x0000_s40544"/>
            </a:ext>
            <a:ext uri="{FF2B5EF4-FFF2-40B4-BE49-F238E27FC236}">
              <a16:creationId xmlns:a16="http://schemas.microsoft.com/office/drawing/2014/main" id="{00000000-0008-0000-0500-000060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124</xdr:row>
      <xdr:rowOff>83820</xdr:rowOff>
    </xdr:from>
    <xdr:to>
      <xdr:col>6</xdr:col>
      <xdr:colOff>1249680</xdr:colOff>
      <xdr:row>125</xdr:row>
      <xdr:rowOff>114300</xdr:rowOff>
    </xdr:to>
    <xdr:sp macro="" textlink="">
      <xdr:nvSpPr>
        <xdr:cNvPr id="40545" name="Drop Down 609" hidden="1">
          <a:extLst>
            <a:ext uri="{63B3BB69-23CF-44E3-9099-C40C66FF867C}">
              <a14:compatExt xmlns:a14="http://schemas.microsoft.com/office/drawing/2010/main" spid="_x0000_s40545"/>
            </a:ext>
            <a:ext uri="{FF2B5EF4-FFF2-40B4-BE49-F238E27FC236}">
              <a16:creationId xmlns:a16="http://schemas.microsoft.com/office/drawing/2014/main" id="{00000000-0008-0000-0500-000061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125</xdr:row>
      <xdr:rowOff>83820</xdr:rowOff>
    </xdr:from>
    <xdr:to>
      <xdr:col>6</xdr:col>
      <xdr:colOff>1249680</xdr:colOff>
      <xdr:row>125</xdr:row>
      <xdr:rowOff>180975</xdr:rowOff>
    </xdr:to>
    <xdr:sp macro="" textlink="">
      <xdr:nvSpPr>
        <xdr:cNvPr id="40546" name="Drop Down 610" hidden="1">
          <a:extLst>
            <a:ext uri="{63B3BB69-23CF-44E3-9099-C40C66FF867C}">
              <a14:compatExt xmlns:a14="http://schemas.microsoft.com/office/drawing/2010/main" spid="_x0000_s40546"/>
            </a:ext>
            <a:ext uri="{FF2B5EF4-FFF2-40B4-BE49-F238E27FC236}">
              <a16:creationId xmlns:a16="http://schemas.microsoft.com/office/drawing/2014/main" id="{00000000-0008-0000-0500-000062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126</xdr:row>
      <xdr:rowOff>83820</xdr:rowOff>
    </xdr:from>
    <xdr:to>
      <xdr:col>6</xdr:col>
      <xdr:colOff>1249680</xdr:colOff>
      <xdr:row>126</xdr:row>
      <xdr:rowOff>304800</xdr:rowOff>
    </xdr:to>
    <xdr:sp macro="" textlink="">
      <xdr:nvSpPr>
        <xdr:cNvPr id="40547" name="Drop Down 611" hidden="1">
          <a:extLst>
            <a:ext uri="{63B3BB69-23CF-44E3-9099-C40C66FF867C}">
              <a14:compatExt xmlns:a14="http://schemas.microsoft.com/office/drawing/2010/main" spid="_x0000_s40547"/>
            </a:ext>
            <a:ext uri="{FF2B5EF4-FFF2-40B4-BE49-F238E27FC236}">
              <a16:creationId xmlns:a16="http://schemas.microsoft.com/office/drawing/2014/main" id="{00000000-0008-0000-0500-000063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127</xdr:row>
      <xdr:rowOff>83820</xdr:rowOff>
    </xdr:from>
    <xdr:to>
      <xdr:col>6</xdr:col>
      <xdr:colOff>1249680</xdr:colOff>
      <xdr:row>128</xdr:row>
      <xdr:rowOff>114300</xdr:rowOff>
    </xdr:to>
    <xdr:sp macro="" textlink="">
      <xdr:nvSpPr>
        <xdr:cNvPr id="40548" name="Drop Down 612" hidden="1">
          <a:extLst>
            <a:ext uri="{63B3BB69-23CF-44E3-9099-C40C66FF867C}">
              <a14:compatExt xmlns:a14="http://schemas.microsoft.com/office/drawing/2010/main" spid="_x0000_s40548"/>
            </a:ext>
            <a:ext uri="{FF2B5EF4-FFF2-40B4-BE49-F238E27FC236}">
              <a16:creationId xmlns:a16="http://schemas.microsoft.com/office/drawing/2014/main" id="{00000000-0008-0000-0500-000064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129</xdr:row>
      <xdr:rowOff>83820</xdr:rowOff>
    </xdr:from>
    <xdr:to>
      <xdr:col>6</xdr:col>
      <xdr:colOff>1249680</xdr:colOff>
      <xdr:row>129</xdr:row>
      <xdr:rowOff>304800</xdr:rowOff>
    </xdr:to>
    <xdr:sp macro="" textlink="">
      <xdr:nvSpPr>
        <xdr:cNvPr id="40549" name="Drop Down 613" hidden="1">
          <a:extLst>
            <a:ext uri="{63B3BB69-23CF-44E3-9099-C40C66FF867C}">
              <a14:compatExt xmlns:a14="http://schemas.microsoft.com/office/drawing/2010/main" spid="_x0000_s40549"/>
            </a:ext>
            <a:ext uri="{FF2B5EF4-FFF2-40B4-BE49-F238E27FC236}">
              <a16:creationId xmlns:a16="http://schemas.microsoft.com/office/drawing/2014/main" id="{00000000-0008-0000-0500-000065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130</xdr:row>
      <xdr:rowOff>83820</xdr:rowOff>
    </xdr:from>
    <xdr:to>
      <xdr:col>6</xdr:col>
      <xdr:colOff>1249680</xdr:colOff>
      <xdr:row>130</xdr:row>
      <xdr:rowOff>304800</xdr:rowOff>
    </xdr:to>
    <xdr:sp macro="" textlink="">
      <xdr:nvSpPr>
        <xdr:cNvPr id="40550" name="Drop Down 614" hidden="1">
          <a:extLst>
            <a:ext uri="{63B3BB69-23CF-44E3-9099-C40C66FF867C}">
              <a14:compatExt xmlns:a14="http://schemas.microsoft.com/office/drawing/2010/main" spid="_x0000_s40550"/>
            </a:ext>
            <a:ext uri="{FF2B5EF4-FFF2-40B4-BE49-F238E27FC236}">
              <a16:creationId xmlns:a16="http://schemas.microsoft.com/office/drawing/2014/main" id="{00000000-0008-0000-0500-000066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131</xdr:row>
      <xdr:rowOff>83820</xdr:rowOff>
    </xdr:from>
    <xdr:to>
      <xdr:col>6</xdr:col>
      <xdr:colOff>1249680</xdr:colOff>
      <xdr:row>131</xdr:row>
      <xdr:rowOff>304800</xdr:rowOff>
    </xdr:to>
    <xdr:sp macro="" textlink="">
      <xdr:nvSpPr>
        <xdr:cNvPr id="40551" name="Drop Down 615" hidden="1">
          <a:extLst>
            <a:ext uri="{63B3BB69-23CF-44E3-9099-C40C66FF867C}">
              <a14:compatExt xmlns:a14="http://schemas.microsoft.com/office/drawing/2010/main" spid="_x0000_s40551"/>
            </a:ext>
            <a:ext uri="{FF2B5EF4-FFF2-40B4-BE49-F238E27FC236}">
              <a16:creationId xmlns:a16="http://schemas.microsoft.com/office/drawing/2014/main" id="{00000000-0008-0000-0500-000067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132</xdr:row>
      <xdr:rowOff>83820</xdr:rowOff>
    </xdr:from>
    <xdr:to>
      <xdr:col>6</xdr:col>
      <xdr:colOff>1249680</xdr:colOff>
      <xdr:row>132</xdr:row>
      <xdr:rowOff>304800</xdr:rowOff>
    </xdr:to>
    <xdr:sp macro="" textlink="">
      <xdr:nvSpPr>
        <xdr:cNvPr id="40552" name="Drop Down 616" hidden="1">
          <a:extLst>
            <a:ext uri="{63B3BB69-23CF-44E3-9099-C40C66FF867C}">
              <a14:compatExt xmlns:a14="http://schemas.microsoft.com/office/drawing/2010/main" spid="_x0000_s40552"/>
            </a:ext>
            <a:ext uri="{FF2B5EF4-FFF2-40B4-BE49-F238E27FC236}">
              <a16:creationId xmlns:a16="http://schemas.microsoft.com/office/drawing/2014/main" id="{00000000-0008-0000-0500-000068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134</xdr:row>
      <xdr:rowOff>83820</xdr:rowOff>
    </xdr:from>
    <xdr:to>
      <xdr:col>6</xdr:col>
      <xdr:colOff>1249680</xdr:colOff>
      <xdr:row>135</xdr:row>
      <xdr:rowOff>114300</xdr:rowOff>
    </xdr:to>
    <xdr:sp macro="" textlink="">
      <xdr:nvSpPr>
        <xdr:cNvPr id="40553" name="Drop Down 617" hidden="1">
          <a:extLst>
            <a:ext uri="{63B3BB69-23CF-44E3-9099-C40C66FF867C}">
              <a14:compatExt xmlns:a14="http://schemas.microsoft.com/office/drawing/2010/main" spid="_x0000_s40553"/>
            </a:ext>
            <a:ext uri="{FF2B5EF4-FFF2-40B4-BE49-F238E27FC236}">
              <a16:creationId xmlns:a16="http://schemas.microsoft.com/office/drawing/2014/main" id="{00000000-0008-0000-0500-000069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135</xdr:row>
      <xdr:rowOff>83820</xdr:rowOff>
    </xdr:from>
    <xdr:to>
      <xdr:col>6</xdr:col>
      <xdr:colOff>1249680</xdr:colOff>
      <xdr:row>136</xdr:row>
      <xdr:rowOff>114300</xdr:rowOff>
    </xdr:to>
    <xdr:sp macro="" textlink="">
      <xdr:nvSpPr>
        <xdr:cNvPr id="40554" name="Drop Down 618" hidden="1">
          <a:extLst>
            <a:ext uri="{63B3BB69-23CF-44E3-9099-C40C66FF867C}">
              <a14:compatExt xmlns:a14="http://schemas.microsoft.com/office/drawing/2010/main" spid="_x0000_s40554"/>
            </a:ext>
            <a:ext uri="{FF2B5EF4-FFF2-40B4-BE49-F238E27FC236}">
              <a16:creationId xmlns:a16="http://schemas.microsoft.com/office/drawing/2014/main" id="{00000000-0008-0000-0500-00006A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136</xdr:row>
      <xdr:rowOff>83820</xdr:rowOff>
    </xdr:from>
    <xdr:to>
      <xdr:col>6</xdr:col>
      <xdr:colOff>1249680</xdr:colOff>
      <xdr:row>137</xdr:row>
      <xdr:rowOff>114300</xdr:rowOff>
    </xdr:to>
    <xdr:sp macro="" textlink="">
      <xdr:nvSpPr>
        <xdr:cNvPr id="40555" name="Drop Down 619" hidden="1">
          <a:extLst>
            <a:ext uri="{63B3BB69-23CF-44E3-9099-C40C66FF867C}">
              <a14:compatExt xmlns:a14="http://schemas.microsoft.com/office/drawing/2010/main" spid="_x0000_s40555"/>
            </a:ext>
            <a:ext uri="{FF2B5EF4-FFF2-40B4-BE49-F238E27FC236}">
              <a16:creationId xmlns:a16="http://schemas.microsoft.com/office/drawing/2014/main" id="{00000000-0008-0000-0500-00006B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140</xdr:row>
      <xdr:rowOff>83820</xdr:rowOff>
    </xdr:from>
    <xdr:to>
      <xdr:col>6</xdr:col>
      <xdr:colOff>1249680</xdr:colOff>
      <xdr:row>140</xdr:row>
      <xdr:rowOff>304800</xdr:rowOff>
    </xdr:to>
    <xdr:sp macro="" textlink="">
      <xdr:nvSpPr>
        <xdr:cNvPr id="40556" name="Drop Down 620" hidden="1">
          <a:extLst>
            <a:ext uri="{63B3BB69-23CF-44E3-9099-C40C66FF867C}">
              <a14:compatExt xmlns:a14="http://schemas.microsoft.com/office/drawing/2010/main" spid="_x0000_s40556"/>
            </a:ext>
            <a:ext uri="{FF2B5EF4-FFF2-40B4-BE49-F238E27FC236}">
              <a16:creationId xmlns:a16="http://schemas.microsoft.com/office/drawing/2014/main" id="{00000000-0008-0000-0500-00006C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141</xdr:row>
      <xdr:rowOff>83820</xdr:rowOff>
    </xdr:from>
    <xdr:to>
      <xdr:col>6</xdr:col>
      <xdr:colOff>1249680</xdr:colOff>
      <xdr:row>141</xdr:row>
      <xdr:rowOff>304800</xdr:rowOff>
    </xdr:to>
    <xdr:sp macro="" textlink="">
      <xdr:nvSpPr>
        <xdr:cNvPr id="40557" name="Drop Down 621" hidden="1">
          <a:extLst>
            <a:ext uri="{63B3BB69-23CF-44E3-9099-C40C66FF867C}">
              <a14:compatExt xmlns:a14="http://schemas.microsoft.com/office/drawing/2010/main" spid="_x0000_s40557"/>
            </a:ext>
            <a:ext uri="{FF2B5EF4-FFF2-40B4-BE49-F238E27FC236}">
              <a16:creationId xmlns:a16="http://schemas.microsoft.com/office/drawing/2014/main" id="{00000000-0008-0000-0500-00006D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142</xdr:row>
      <xdr:rowOff>83820</xdr:rowOff>
    </xdr:from>
    <xdr:to>
      <xdr:col>6</xdr:col>
      <xdr:colOff>1249680</xdr:colOff>
      <xdr:row>142</xdr:row>
      <xdr:rowOff>304800</xdr:rowOff>
    </xdr:to>
    <xdr:sp macro="" textlink="">
      <xdr:nvSpPr>
        <xdr:cNvPr id="40558" name="Drop Down 622" hidden="1">
          <a:extLst>
            <a:ext uri="{63B3BB69-23CF-44E3-9099-C40C66FF867C}">
              <a14:compatExt xmlns:a14="http://schemas.microsoft.com/office/drawing/2010/main" spid="_x0000_s40558"/>
            </a:ext>
            <a:ext uri="{FF2B5EF4-FFF2-40B4-BE49-F238E27FC236}">
              <a16:creationId xmlns:a16="http://schemas.microsoft.com/office/drawing/2014/main" id="{00000000-0008-0000-0500-00006E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143</xdr:row>
      <xdr:rowOff>83820</xdr:rowOff>
    </xdr:from>
    <xdr:to>
      <xdr:col>6</xdr:col>
      <xdr:colOff>1249680</xdr:colOff>
      <xdr:row>143</xdr:row>
      <xdr:rowOff>304800</xdr:rowOff>
    </xdr:to>
    <xdr:sp macro="" textlink="">
      <xdr:nvSpPr>
        <xdr:cNvPr id="40559" name="Drop Down 623" hidden="1">
          <a:extLst>
            <a:ext uri="{63B3BB69-23CF-44E3-9099-C40C66FF867C}">
              <a14:compatExt xmlns:a14="http://schemas.microsoft.com/office/drawing/2010/main" spid="_x0000_s40559"/>
            </a:ext>
            <a:ext uri="{FF2B5EF4-FFF2-40B4-BE49-F238E27FC236}">
              <a16:creationId xmlns:a16="http://schemas.microsoft.com/office/drawing/2014/main" id="{00000000-0008-0000-0500-00006F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144</xdr:row>
      <xdr:rowOff>83820</xdr:rowOff>
    </xdr:from>
    <xdr:to>
      <xdr:col>6</xdr:col>
      <xdr:colOff>1249680</xdr:colOff>
      <xdr:row>144</xdr:row>
      <xdr:rowOff>304800</xdr:rowOff>
    </xdr:to>
    <xdr:sp macro="" textlink="">
      <xdr:nvSpPr>
        <xdr:cNvPr id="40560" name="Drop Down 624" hidden="1">
          <a:extLst>
            <a:ext uri="{63B3BB69-23CF-44E3-9099-C40C66FF867C}">
              <a14:compatExt xmlns:a14="http://schemas.microsoft.com/office/drawing/2010/main" spid="_x0000_s40560"/>
            </a:ext>
            <a:ext uri="{FF2B5EF4-FFF2-40B4-BE49-F238E27FC236}">
              <a16:creationId xmlns:a16="http://schemas.microsoft.com/office/drawing/2014/main" id="{00000000-0008-0000-0500-000070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145</xdr:row>
      <xdr:rowOff>83820</xdr:rowOff>
    </xdr:from>
    <xdr:to>
      <xdr:col>6</xdr:col>
      <xdr:colOff>1249680</xdr:colOff>
      <xdr:row>145</xdr:row>
      <xdr:rowOff>304800</xdr:rowOff>
    </xdr:to>
    <xdr:sp macro="" textlink="">
      <xdr:nvSpPr>
        <xdr:cNvPr id="40561" name="Drop Down 625" hidden="1">
          <a:extLst>
            <a:ext uri="{63B3BB69-23CF-44E3-9099-C40C66FF867C}">
              <a14:compatExt xmlns:a14="http://schemas.microsoft.com/office/drawing/2010/main" spid="_x0000_s40561"/>
            </a:ext>
            <a:ext uri="{FF2B5EF4-FFF2-40B4-BE49-F238E27FC236}">
              <a16:creationId xmlns:a16="http://schemas.microsoft.com/office/drawing/2014/main" id="{00000000-0008-0000-0500-000071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146</xdr:row>
      <xdr:rowOff>83820</xdr:rowOff>
    </xdr:from>
    <xdr:to>
      <xdr:col>6</xdr:col>
      <xdr:colOff>1249680</xdr:colOff>
      <xdr:row>146</xdr:row>
      <xdr:rowOff>304800</xdr:rowOff>
    </xdr:to>
    <xdr:sp macro="" textlink="">
      <xdr:nvSpPr>
        <xdr:cNvPr id="40562" name="Drop Down 626" hidden="1">
          <a:extLst>
            <a:ext uri="{63B3BB69-23CF-44E3-9099-C40C66FF867C}">
              <a14:compatExt xmlns:a14="http://schemas.microsoft.com/office/drawing/2010/main" spid="_x0000_s40562"/>
            </a:ext>
            <a:ext uri="{FF2B5EF4-FFF2-40B4-BE49-F238E27FC236}">
              <a16:creationId xmlns:a16="http://schemas.microsoft.com/office/drawing/2014/main" id="{00000000-0008-0000-0500-000072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148</xdr:row>
      <xdr:rowOff>83820</xdr:rowOff>
    </xdr:from>
    <xdr:to>
      <xdr:col>6</xdr:col>
      <xdr:colOff>1249680</xdr:colOff>
      <xdr:row>149</xdr:row>
      <xdr:rowOff>114300</xdr:rowOff>
    </xdr:to>
    <xdr:sp macro="" textlink="">
      <xdr:nvSpPr>
        <xdr:cNvPr id="40563" name="Drop Down 627" hidden="1">
          <a:extLst>
            <a:ext uri="{63B3BB69-23CF-44E3-9099-C40C66FF867C}">
              <a14:compatExt xmlns:a14="http://schemas.microsoft.com/office/drawing/2010/main" spid="_x0000_s40563"/>
            </a:ext>
            <a:ext uri="{FF2B5EF4-FFF2-40B4-BE49-F238E27FC236}">
              <a16:creationId xmlns:a16="http://schemas.microsoft.com/office/drawing/2014/main" id="{00000000-0008-0000-0500-000073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149</xdr:row>
      <xdr:rowOff>83820</xdr:rowOff>
    </xdr:from>
    <xdr:to>
      <xdr:col>6</xdr:col>
      <xdr:colOff>1249680</xdr:colOff>
      <xdr:row>149</xdr:row>
      <xdr:rowOff>304800</xdr:rowOff>
    </xdr:to>
    <xdr:sp macro="" textlink="">
      <xdr:nvSpPr>
        <xdr:cNvPr id="40564" name="Drop Down 628" hidden="1">
          <a:extLst>
            <a:ext uri="{63B3BB69-23CF-44E3-9099-C40C66FF867C}">
              <a14:compatExt xmlns:a14="http://schemas.microsoft.com/office/drawing/2010/main" spid="_x0000_s40564"/>
            </a:ext>
            <a:ext uri="{FF2B5EF4-FFF2-40B4-BE49-F238E27FC236}">
              <a16:creationId xmlns:a16="http://schemas.microsoft.com/office/drawing/2014/main" id="{00000000-0008-0000-0500-000074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150</xdr:row>
      <xdr:rowOff>83820</xdr:rowOff>
    </xdr:from>
    <xdr:to>
      <xdr:col>6</xdr:col>
      <xdr:colOff>1249680</xdr:colOff>
      <xdr:row>150</xdr:row>
      <xdr:rowOff>304800</xdr:rowOff>
    </xdr:to>
    <xdr:sp macro="" textlink="">
      <xdr:nvSpPr>
        <xdr:cNvPr id="40565" name="Drop Down 629" hidden="1">
          <a:extLst>
            <a:ext uri="{63B3BB69-23CF-44E3-9099-C40C66FF867C}">
              <a14:compatExt xmlns:a14="http://schemas.microsoft.com/office/drawing/2010/main" spid="_x0000_s40565"/>
            </a:ext>
            <a:ext uri="{FF2B5EF4-FFF2-40B4-BE49-F238E27FC236}">
              <a16:creationId xmlns:a16="http://schemas.microsoft.com/office/drawing/2014/main" id="{00000000-0008-0000-0500-000075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151</xdr:row>
      <xdr:rowOff>83820</xdr:rowOff>
    </xdr:from>
    <xdr:to>
      <xdr:col>6</xdr:col>
      <xdr:colOff>1249680</xdr:colOff>
      <xdr:row>151</xdr:row>
      <xdr:rowOff>304800</xdr:rowOff>
    </xdr:to>
    <xdr:sp macro="" textlink="">
      <xdr:nvSpPr>
        <xdr:cNvPr id="40566" name="Drop Down 630" hidden="1">
          <a:extLst>
            <a:ext uri="{63B3BB69-23CF-44E3-9099-C40C66FF867C}">
              <a14:compatExt xmlns:a14="http://schemas.microsoft.com/office/drawing/2010/main" spid="_x0000_s40566"/>
            </a:ext>
            <a:ext uri="{FF2B5EF4-FFF2-40B4-BE49-F238E27FC236}">
              <a16:creationId xmlns:a16="http://schemas.microsoft.com/office/drawing/2014/main" id="{00000000-0008-0000-0500-000076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152</xdr:row>
      <xdr:rowOff>83820</xdr:rowOff>
    </xdr:from>
    <xdr:to>
      <xdr:col>6</xdr:col>
      <xdr:colOff>1249680</xdr:colOff>
      <xdr:row>152</xdr:row>
      <xdr:rowOff>304800</xdr:rowOff>
    </xdr:to>
    <xdr:sp macro="" textlink="">
      <xdr:nvSpPr>
        <xdr:cNvPr id="40567" name="Drop Down 631" hidden="1">
          <a:extLst>
            <a:ext uri="{63B3BB69-23CF-44E3-9099-C40C66FF867C}">
              <a14:compatExt xmlns:a14="http://schemas.microsoft.com/office/drawing/2010/main" spid="_x0000_s40567"/>
            </a:ext>
            <a:ext uri="{FF2B5EF4-FFF2-40B4-BE49-F238E27FC236}">
              <a16:creationId xmlns:a16="http://schemas.microsoft.com/office/drawing/2014/main" id="{00000000-0008-0000-0500-000077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156</xdr:row>
      <xdr:rowOff>83820</xdr:rowOff>
    </xdr:from>
    <xdr:to>
      <xdr:col>6</xdr:col>
      <xdr:colOff>1249680</xdr:colOff>
      <xdr:row>156</xdr:row>
      <xdr:rowOff>304800</xdr:rowOff>
    </xdr:to>
    <xdr:sp macro="" textlink="">
      <xdr:nvSpPr>
        <xdr:cNvPr id="40568" name="Drop Down 632" hidden="1">
          <a:extLst>
            <a:ext uri="{63B3BB69-23CF-44E3-9099-C40C66FF867C}">
              <a14:compatExt xmlns:a14="http://schemas.microsoft.com/office/drawing/2010/main" spid="_x0000_s40568"/>
            </a:ext>
            <a:ext uri="{FF2B5EF4-FFF2-40B4-BE49-F238E27FC236}">
              <a16:creationId xmlns:a16="http://schemas.microsoft.com/office/drawing/2014/main" id="{00000000-0008-0000-0500-000078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157</xdr:row>
      <xdr:rowOff>83820</xdr:rowOff>
    </xdr:from>
    <xdr:to>
      <xdr:col>6</xdr:col>
      <xdr:colOff>1249680</xdr:colOff>
      <xdr:row>157</xdr:row>
      <xdr:rowOff>304800</xdr:rowOff>
    </xdr:to>
    <xdr:sp macro="" textlink="">
      <xdr:nvSpPr>
        <xdr:cNvPr id="40569" name="Drop Down 633" hidden="1">
          <a:extLst>
            <a:ext uri="{63B3BB69-23CF-44E3-9099-C40C66FF867C}">
              <a14:compatExt xmlns:a14="http://schemas.microsoft.com/office/drawing/2010/main" spid="_x0000_s40569"/>
            </a:ext>
            <a:ext uri="{FF2B5EF4-FFF2-40B4-BE49-F238E27FC236}">
              <a16:creationId xmlns:a16="http://schemas.microsoft.com/office/drawing/2014/main" id="{00000000-0008-0000-0500-000079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158</xdr:row>
      <xdr:rowOff>83820</xdr:rowOff>
    </xdr:from>
    <xdr:to>
      <xdr:col>6</xdr:col>
      <xdr:colOff>1249680</xdr:colOff>
      <xdr:row>158</xdr:row>
      <xdr:rowOff>304800</xdr:rowOff>
    </xdr:to>
    <xdr:sp macro="" textlink="">
      <xdr:nvSpPr>
        <xdr:cNvPr id="40570" name="Drop Down 634" hidden="1">
          <a:extLst>
            <a:ext uri="{63B3BB69-23CF-44E3-9099-C40C66FF867C}">
              <a14:compatExt xmlns:a14="http://schemas.microsoft.com/office/drawing/2010/main" spid="_x0000_s40570"/>
            </a:ext>
            <a:ext uri="{FF2B5EF4-FFF2-40B4-BE49-F238E27FC236}">
              <a16:creationId xmlns:a16="http://schemas.microsoft.com/office/drawing/2014/main" id="{00000000-0008-0000-0500-00007A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159</xdr:row>
      <xdr:rowOff>83820</xdr:rowOff>
    </xdr:from>
    <xdr:to>
      <xdr:col>6</xdr:col>
      <xdr:colOff>1249680</xdr:colOff>
      <xdr:row>159</xdr:row>
      <xdr:rowOff>304800</xdr:rowOff>
    </xdr:to>
    <xdr:sp macro="" textlink="">
      <xdr:nvSpPr>
        <xdr:cNvPr id="40571" name="Drop Down 635" hidden="1">
          <a:extLst>
            <a:ext uri="{63B3BB69-23CF-44E3-9099-C40C66FF867C}">
              <a14:compatExt xmlns:a14="http://schemas.microsoft.com/office/drawing/2010/main" spid="_x0000_s40571"/>
            </a:ext>
            <a:ext uri="{FF2B5EF4-FFF2-40B4-BE49-F238E27FC236}">
              <a16:creationId xmlns:a16="http://schemas.microsoft.com/office/drawing/2014/main" id="{00000000-0008-0000-0500-00007B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160</xdr:row>
      <xdr:rowOff>83820</xdr:rowOff>
    </xdr:from>
    <xdr:to>
      <xdr:col>6</xdr:col>
      <xdr:colOff>1249680</xdr:colOff>
      <xdr:row>160</xdr:row>
      <xdr:rowOff>304800</xdr:rowOff>
    </xdr:to>
    <xdr:sp macro="" textlink="">
      <xdr:nvSpPr>
        <xdr:cNvPr id="40572" name="Drop Down 636" hidden="1">
          <a:extLst>
            <a:ext uri="{63B3BB69-23CF-44E3-9099-C40C66FF867C}">
              <a14:compatExt xmlns:a14="http://schemas.microsoft.com/office/drawing/2010/main" spid="_x0000_s40572"/>
            </a:ext>
            <a:ext uri="{FF2B5EF4-FFF2-40B4-BE49-F238E27FC236}">
              <a16:creationId xmlns:a16="http://schemas.microsoft.com/office/drawing/2014/main" id="{00000000-0008-0000-0500-00007C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163</xdr:row>
      <xdr:rowOff>83820</xdr:rowOff>
    </xdr:from>
    <xdr:to>
      <xdr:col>6</xdr:col>
      <xdr:colOff>1249680</xdr:colOff>
      <xdr:row>164</xdr:row>
      <xdr:rowOff>114300</xdr:rowOff>
    </xdr:to>
    <xdr:sp macro="" textlink="">
      <xdr:nvSpPr>
        <xdr:cNvPr id="40573" name="Drop Down 637" hidden="1">
          <a:extLst>
            <a:ext uri="{63B3BB69-23CF-44E3-9099-C40C66FF867C}">
              <a14:compatExt xmlns:a14="http://schemas.microsoft.com/office/drawing/2010/main" spid="_x0000_s40573"/>
            </a:ext>
            <a:ext uri="{FF2B5EF4-FFF2-40B4-BE49-F238E27FC236}">
              <a16:creationId xmlns:a16="http://schemas.microsoft.com/office/drawing/2014/main" id="{00000000-0008-0000-0500-00007D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164</xdr:row>
      <xdr:rowOff>83820</xdr:rowOff>
    </xdr:from>
    <xdr:to>
      <xdr:col>6</xdr:col>
      <xdr:colOff>1249680</xdr:colOff>
      <xdr:row>165</xdr:row>
      <xdr:rowOff>114300</xdr:rowOff>
    </xdr:to>
    <xdr:sp macro="" textlink="">
      <xdr:nvSpPr>
        <xdr:cNvPr id="40574" name="Drop Down 638" hidden="1">
          <a:extLst>
            <a:ext uri="{63B3BB69-23CF-44E3-9099-C40C66FF867C}">
              <a14:compatExt xmlns:a14="http://schemas.microsoft.com/office/drawing/2010/main" spid="_x0000_s40574"/>
            </a:ext>
            <a:ext uri="{FF2B5EF4-FFF2-40B4-BE49-F238E27FC236}">
              <a16:creationId xmlns:a16="http://schemas.microsoft.com/office/drawing/2014/main" id="{00000000-0008-0000-0500-00007E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165</xdr:row>
      <xdr:rowOff>83820</xdr:rowOff>
    </xdr:from>
    <xdr:to>
      <xdr:col>6</xdr:col>
      <xdr:colOff>1249680</xdr:colOff>
      <xdr:row>166</xdr:row>
      <xdr:rowOff>114300</xdr:rowOff>
    </xdr:to>
    <xdr:sp macro="" textlink="">
      <xdr:nvSpPr>
        <xdr:cNvPr id="40575" name="Drop Down 639" hidden="1">
          <a:extLst>
            <a:ext uri="{63B3BB69-23CF-44E3-9099-C40C66FF867C}">
              <a14:compatExt xmlns:a14="http://schemas.microsoft.com/office/drawing/2010/main" spid="_x0000_s40575"/>
            </a:ext>
            <a:ext uri="{FF2B5EF4-FFF2-40B4-BE49-F238E27FC236}">
              <a16:creationId xmlns:a16="http://schemas.microsoft.com/office/drawing/2014/main" id="{00000000-0008-0000-0500-00007F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168</xdr:row>
      <xdr:rowOff>83820</xdr:rowOff>
    </xdr:from>
    <xdr:to>
      <xdr:col>6</xdr:col>
      <xdr:colOff>1249680</xdr:colOff>
      <xdr:row>168</xdr:row>
      <xdr:rowOff>304800</xdr:rowOff>
    </xdr:to>
    <xdr:sp macro="" textlink="">
      <xdr:nvSpPr>
        <xdr:cNvPr id="40576" name="Drop Down 640" hidden="1">
          <a:extLst>
            <a:ext uri="{63B3BB69-23CF-44E3-9099-C40C66FF867C}">
              <a14:compatExt xmlns:a14="http://schemas.microsoft.com/office/drawing/2010/main" spid="_x0000_s40576"/>
            </a:ext>
            <a:ext uri="{FF2B5EF4-FFF2-40B4-BE49-F238E27FC236}">
              <a16:creationId xmlns:a16="http://schemas.microsoft.com/office/drawing/2014/main" id="{00000000-0008-0000-0500-000080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169</xdr:row>
      <xdr:rowOff>83820</xdr:rowOff>
    </xdr:from>
    <xdr:to>
      <xdr:col>6</xdr:col>
      <xdr:colOff>1249680</xdr:colOff>
      <xdr:row>169</xdr:row>
      <xdr:rowOff>304800</xdr:rowOff>
    </xdr:to>
    <xdr:sp macro="" textlink="">
      <xdr:nvSpPr>
        <xdr:cNvPr id="40577" name="Drop Down 641" hidden="1">
          <a:extLst>
            <a:ext uri="{63B3BB69-23CF-44E3-9099-C40C66FF867C}">
              <a14:compatExt xmlns:a14="http://schemas.microsoft.com/office/drawing/2010/main" spid="_x0000_s40577"/>
            </a:ext>
            <a:ext uri="{FF2B5EF4-FFF2-40B4-BE49-F238E27FC236}">
              <a16:creationId xmlns:a16="http://schemas.microsoft.com/office/drawing/2014/main" id="{00000000-0008-0000-0500-000081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170</xdr:row>
      <xdr:rowOff>83820</xdr:rowOff>
    </xdr:from>
    <xdr:to>
      <xdr:col>6</xdr:col>
      <xdr:colOff>1249680</xdr:colOff>
      <xdr:row>170</xdr:row>
      <xdr:rowOff>304800</xdr:rowOff>
    </xdr:to>
    <xdr:sp macro="" textlink="">
      <xdr:nvSpPr>
        <xdr:cNvPr id="40578" name="Drop Down 642" hidden="1">
          <a:extLst>
            <a:ext uri="{63B3BB69-23CF-44E3-9099-C40C66FF867C}">
              <a14:compatExt xmlns:a14="http://schemas.microsoft.com/office/drawing/2010/main" spid="_x0000_s40578"/>
            </a:ext>
            <a:ext uri="{FF2B5EF4-FFF2-40B4-BE49-F238E27FC236}">
              <a16:creationId xmlns:a16="http://schemas.microsoft.com/office/drawing/2014/main" id="{00000000-0008-0000-0500-000082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171</xdr:row>
      <xdr:rowOff>83820</xdr:rowOff>
    </xdr:from>
    <xdr:to>
      <xdr:col>6</xdr:col>
      <xdr:colOff>1249680</xdr:colOff>
      <xdr:row>171</xdr:row>
      <xdr:rowOff>304800</xdr:rowOff>
    </xdr:to>
    <xdr:sp macro="" textlink="">
      <xdr:nvSpPr>
        <xdr:cNvPr id="40579" name="Drop Down 643" hidden="1">
          <a:extLst>
            <a:ext uri="{63B3BB69-23CF-44E3-9099-C40C66FF867C}">
              <a14:compatExt xmlns:a14="http://schemas.microsoft.com/office/drawing/2010/main" spid="_x0000_s40579"/>
            </a:ext>
            <a:ext uri="{FF2B5EF4-FFF2-40B4-BE49-F238E27FC236}">
              <a16:creationId xmlns:a16="http://schemas.microsoft.com/office/drawing/2014/main" id="{00000000-0008-0000-0500-000083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172</xdr:row>
      <xdr:rowOff>83820</xdr:rowOff>
    </xdr:from>
    <xdr:to>
      <xdr:col>6</xdr:col>
      <xdr:colOff>1249680</xdr:colOff>
      <xdr:row>172</xdr:row>
      <xdr:rowOff>304800</xdr:rowOff>
    </xdr:to>
    <xdr:sp macro="" textlink="">
      <xdr:nvSpPr>
        <xdr:cNvPr id="40580" name="Drop Down 644" hidden="1">
          <a:extLst>
            <a:ext uri="{63B3BB69-23CF-44E3-9099-C40C66FF867C}">
              <a14:compatExt xmlns:a14="http://schemas.microsoft.com/office/drawing/2010/main" spid="_x0000_s40580"/>
            </a:ext>
            <a:ext uri="{FF2B5EF4-FFF2-40B4-BE49-F238E27FC236}">
              <a16:creationId xmlns:a16="http://schemas.microsoft.com/office/drawing/2014/main" id="{00000000-0008-0000-0500-000084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173</xdr:row>
      <xdr:rowOff>83820</xdr:rowOff>
    </xdr:from>
    <xdr:to>
      <xdr:col>6</xdr:col>
      <xdr:colOff>1249680</xdr:colOff>
      <xdr:row>173</xdr:row>
      <xdr:rowOff>304800</xdr:rowOff>
    </xdr:to>
    <xdr:sp macro="" textlink="">
      <xdr:nvSpPr>
        <xdr:cNvPr id="40581" name="Drop Down 645" hidden="1">
          <a:extLst>
            <a:ext uri="{63B3BB69-23CF-44E3-9099-C40C66FF867C}">
              <a14:compatExt xmlns:a14="http://schemas.microsoft.com/office/drawing/2010/main" spid="_x0000_s40581"/>
            </a:ext>
            <a:ext uri="{FF2B5EF4-FFF2-40B4-BE49-F238E27FC236}">
              <a16:creationId xmlns:a16="http://schemas.microsoft.com/office/drawing/2014/main" id="{00000000-0008-0000-0500-000085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175</xdr:row>
      <xdr:rowOff>83820</xdr:rowOff>
    </xdr:from>
    <xdr:to>
      <xdr:col>6</xdr:col>
      <xdr:colOff>1249680</xdr:colOff>
      <xdr:row>175</xdr:row>
      <xdr:rowOff>304800</xdr:rowOff>
    </xdr:to>
    <xdr:sp macro="" textlink="">
      <xdr:nvSpPr>
        <xdr:cNvPr id="40582" name="Drop Down 646" hidden="1">
          <a:extLst>
            <a:ext uri="{63B3BB69-23CF-44E3-9099-C40C66FF867C}">
              <a14:compatExt xmlns:a14="http://schemas.microsoft.com/office/drawing/2010/main" spid="_x0000_s40582"/>
            </a:ext>
            <a:ext uri="{FF2B5EF4-FFF2-40B4-BE49-F238E27FC236}">
              <a16:creationId xmlns:a16="http://schemas.microsoft.com/office/drawing/2014/main" id="{00000000-0008-0000-0500-000086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176</xdr:row>
      <xdr:rowOff>83820</xdr:rowOff>
    </xdr:from>
    <xdr:to>
      <xdr:col>6</xdr:col>
      <xdr:colOff>1249680</xdr:colOff>
      <xdr:row>176</xdr:row>
      <xdr:rowOff>180975</xdr:rowOff>
    </xdr:to>
    <xdr:sp macro="" textlink="">
      <xdr:nvSpPr>
        <xdr:cNvPr id="40583" name="Drop Down 647" hidden="1">
          <a:extLst>
            <a:ext uri="{63B3BB69-23CF-44E3-9099-C40C66FF867C}">
              <a14:compatExt xmlns:a14="http://schemas.microsoft.com/office/drawing/2010/main" spid="_x0000_s40583"/>
            </a:ext>
            <a:ext uri="{FF2B5EF4-FFF2-40B4-BE49-F238E27FC236}">
              <a16:creationId xmlns:a16="http://schemas.microsoft.com/office/drawing/2014/main" id="{00000000-0008-0000-0500-000087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180</xdr:row>
      <xdr:rowOff>83820</xdr:rowOff>
    </xdr:from>
    <xdr:to>
      <xdr:col>6</xdr:col>
      <xdr:colOff>1249680</xdr:colOff>
      <xdr:row>181</xdr:row>
      <xdr:rowOff>114300</xdr:rowOff>
    </xdr:to>
    <xdr:sp macro="" textlink="">
      <xdr:nvSpPr>
        <xdr:cNvPr id="40584" name="Drop Down 648" hidden="1">
          <a:extLst>
            <a:ext uri="{63B3BB69-23CF-44E3-9099-C40C66FF867C}">
              <a14:compatExt xmlns:a14="http://schemas.microsoft.com/office/drawing/2010/main" spid="_x0000_s40584"/>
            </a:ext>
            <a:ext uri="{FF2B5EF4-FFF2-40B4-BE49-F238E27FC236}">
              <a16:creationId xmlns:a16="http://schemas.microsoft.com/office/drawing/2014/main" id="{00000000-0008-0000-0500-000088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181</xdr:row>
      <xdr:rowOff>83820</xdr:rowOff>
    </xdr:from>
    <xdr:to>
      <xdr:col>6</xdr:col>
      <xdr:colOff>1249680</xdr:colOff>
      <xdr:row>182</xdr:row>
      <xdr:rowOff>114300</xdr:rowOff>
    </xdr:to>
    <xdr:sp macro="" textlink="">
      <xdr:nvSpPr>
        <xdr:cNvPr id="40585" name="Drop Down 649" hidden="1">
          <a:extLst>
            <a:ext uri="{63B3BB69-23CF-44E3-9099-C40C66FF867C}">
              <a14:compatExt xmlns:a14="http://schemas.microsoft.com/office/drawing/2010/main" spid="_x0000_s40585"/>
            </a:ext>
            <a:ext uri="{FF2B5EF4-FFF2-40B4-BE49-F238E27FC236}">
              <a16:creationId xmlns:a16="http://schemas.microsoft.com/office/drawing/2014/main" id="{00000000-0008-0000-0500-000089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182</xdr:row>
      <xdr:rowOff>83820</xdr:rowOff>
    </xdr:from>
    <xdr:to>
      <xdr:col>6</xdr:col>
      <xdr:colOff>1249680</xdr:colOff>
      <xdr:row>183</xdr:row>
      <xdr:rowOff>114300</xdr:rowOff>
    </xdr:to>
    <xdr:sp macro="" textlink="">
      <xdr:nvSpPr>
        <xdr:cNvPr id="40586" name="Drop Down 650" hidden="1">
          <a:extLst>
            <a:ext uri="{63B3BB69-23CF-44E3-9099-C40C66FF867C}">
              <a14:compatExt xmlns:a14="http://schemas.microsoft.com/office/drawing/2010/main" spid="_x0000_s40586"/>
            </a:ext>
            <a:ext uri="{FF2B5EF4-FFF2-40B4-BE49-F238E27FC236}">
              <a16:creationId xmlns:a16="http://schemas.microsoft.com/office/drawing/2014/main" id="{00000000-0008-0000-0500-00008A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183</xdr:row>
      <xdr:rowOff>83820</xdr:rowOff>
    </xdr:from>
    <xdr:to>
      <xdr:col>6</xdr:col>
      <xdr:colOff>1249680</xdr:colOff>
      <xdr:row>184</xdr:row>
      <xdr:rowOff>114300</xdr:rowOff>
    </xdr:to>
    <xdr:sp macro="" textlink="">
      <xdr:nvSpPr>
        <xdr:cNvPr id="40587" name="Drop Down 651" hidden="1">
          <a:extLst>
            <a:ext uri="{63B3BB69-23CF-44E3-9099-C40C66FF867C}">
              <a14:compatExt xmlns:a14="http://schemas.microsoft.com/office/drawing/2010/main" spid="_x0000_s40587"/>
            </a:ext>
            <a:ext uri="{FF2B5EF4-FFF2-40B4-BE49-F238E27FC236}">
              <a16:creationId xmlns:a16="http://schemas.microsoft.com/office/drawing/2014/main" id="{00000000-0008-0000-0500-00008B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184</xdr:row>
      <xdr:rowOff>83820</xdr:rowOff>
    </xdr:from>
    <xdr:to>
      <xdr:col>6</xdr:col>
      <xdr:colOff>1249680</xdr:colOff>
      <xdr:row>185</xdr:row>
      <xdr:rowOff>114300</xdr:rowOff>
    </xdr:to>
    <xdr:sp macro="" textlink="">
      <xdr:nvSpPr>
        <xdr:cNvPr id="40588" name="Drop Down 652" hidden="1">
          <a:extLst>
            <a:ext uri="{63B3BB69-23CF-44E3-9099-C40C66FF867C}">
              <a14:compatExt xmlns:a14="http://schemas.microsoft.com/office/drawing/2010/main" spid="_x0000_s40588"/>
            </a:ext>
            <a:ext uri="{FF2B5EF4-FFF2-40B4-BE49-F238E27FC236}">
              <a16:creationId xmlns:a16="http://schemas.microsoft.com/office/drawing/2014/main" id="{00000000-0008-0000-0500-00008C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187</xdr:row>
      <xdr:rowOff>83820</xdr:rowOff>
    </xdr:from>
    <xdr:to>
      <xdr:col>6</xdr:col>
      <xdr:colOff>1249680</xdr:colOff>
      <xdr:row>188</xdr:row>
      <xdr:rowOff>114300</xdr:rowOff>
    </xdr:to>
    <xdr:sp macro="" textlink="">
      <xdr:nvSpPr>
        <xdr:cNvPr id="40589" name="Drop Down 653" hidden="1">
          <a:extLst>
            <a:ext uri="{63B3BB69-23CF-44E3-9099-C40C66FF867C}">
              <a14:compatExt xmlns:a14="http://schemas.microsoft.com/office/drawing/2010/main" spid="_x0000_s40589"/>
            </a:ext>
            <a:ext uri="{FF2B5EF4-FFF2-40B4-BE49-F238E27FC236}">
              <a16:creationId xmlns:a16="http://schemas.microsoft.com/office/drawing/2014/main" id="{00000000-0008-0000-0500-00008D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188</xdr:row>
      <xdr:rowOff>83820</xdr:rowOff>
    </xdr:from>
    <xdr:to>
      <xdr:col>6</xdr:col>
      <xdr:colOff>1249680</xdr:colOff>
      <xdr:row>189</xdr:row>
      <xdr:rowOff>114300</xdr:rowOff>
    </xdr:to>
    <xdr:sp macro="" textlink="">
      <xdr:nvSpPr>
        <xdr:cNvPr id="40590" name="Drop Down 654" hidden="1">
          <a:extLst>
            <a:ext uri="{63B3BB69-23CF-44E3-9099-C40C66FF867C}">
              <a14:compatExt xmlns:a14="http://schemas.microsoft.com/office/drawing/2010/main" spid="_x0000_s40590"/>
            </a:ext>
            <a:ext uri="{FF2B5EF4-FFF2-40B4-BE49-F238E27FC236}">
              <a16:creationId xmlns:a16="http://schemas.microsoft.com/office/drawing/2014/main" id="{00000000-0008-0000-0500-00008E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189</xdr:row>
      <xdr:rowOff>83820</xdr:rowOff>
    </xdr:from>
    <xdr:to>
      <xdr:col>6</xdr:col>
      <xdr:colOff>1249680</xdr:colOff>
      <xdr:row>190</xdr:row>
      <xdr:rowOff>114300</xdr:rowOff>
    </xdr:to>
    <xdr:sp macro="" textlink="">
      <xdr:nvSpPr>
        <xdr:cNvPr id="40591" name="Drop Down 655" hidden="1">
          <a:extLst>
            <a:ext uri="{63B3BB69-23CF-44E3-9099-C40C66FF867C}">
              <a14:compatExt xmlns:a14="http://schemas.microsoft.com/office/drawing/2010/main" spid="_x0000_s40591"/>
            </a:ext>
            <a:ext uri="{FF2B5EF4-FFF2-40B4-BE49-F238E27FC236}">
              <a16:creationId xmlns:a16="http://schemas.microsoft.com/office/drawing/2014/main" id="{00000000-0008-0000-0500-00008F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190</xdr:row>
      <xdr:rowOff>83820</xdr:rowOff>
    </xdr:from>
    <xdr:to>
      <xdr:col>6</xdr:col>
      <xdr:colOff>1249680</xdr:colOff>
      <xdr:row>190</xdr:row>
      <xdr:rowOff>304800</xdr:rowOff>
    </xdr:to>
    <xdr:sp macro="" textlink="">
      <xdr:nvSpPr>
        <xdr:cNvPr id="40592" name="Drop Down 656" hidden="1">
          <a:extLst>
            <a:ext uri="{63B3BB69-23CF-44E3-9099-C40C66FF867C}">
              <a14:compatExt xmlns:a14="http://schemas.microsoft.com/office/drawing/2010/main" spid="_x0000_s40592"/>
            </a:ext>
            <a:ext uri="{FF2B5EF4-FFF2-40B4-BE49-F238E27FC236}">
              <a16:creationId xmlns:a16="http://schemas.microsoft.com/office/drawing/2014/main" id="{00000000-0008-0000-0500-000090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191</xdr:row>
      <xdr:rowOff>83820</xdr:rowOff>
    </xdr:from>
    <xdr:to>
      <xdr:col>6</xdr:col>
      <xdr:colOff>1249680</xdr:colOff>
      <xdr:row>192</xdr:row>
      <xdr:rowOff>114300</xdr:rowOff>
    </xdr:to>
    <xdr:sp macro="" textlink="">
      <xdr:nvSpPr>
        <xdr:cNvPr id="40593" name="Drop Down 657" hidden="1">
          <a:extLst>
            <a:ext uri="{63B3BB69-23CF-44E3-9099-C40C66FF867C}">
              <a14:compatExt xmlns:a14="http://schemas.microsoft.com/office/drawing/2010/main" spid="_x0000_s40593"/>
            </a:ext>
            <a:ext uri="{FF2B5EF4-FFF2-40B4-BE49-F238E27FC236}">
              <a16:creationId xmlns:a16="http://schemas.microsoft.com/office/drawing/2014/main" id="{00000000-0008-0000-0500-000091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194</xdr:row>
      <xdr:rowOff>83820</xdr:rowOff>
    </xdr:from>
    <xdr:to>
      <xdr:col>6</xdr:col>
      <xdr:colOff>1249680</xdr:colOff>
      <xdr:row>195</xdr:row>
      <xdr:rowOff>114300</xdr:rowOff>
    </xdr:to>
    <xdr:sp macro="" textlink="">
      <xdr:nvSpPr>
        <xdr:cNvPr id="40594" name="Drop Down 658" hidden="1">
          <a:extLst>
            <a:ext uri="{63B3BB69-23CF-44E3-9099-C40C66FF867C}">
              <a14:compatExt xmlns:a14="http://schemas.microsoft.com/office/drawing/2010/main" spid="_x0000_s40594"/>
            </a:ext>
            <a:ext uri="{FF2B5EF4-FFF2-40B4-BE49-F238E27FC236}">
              <a16:creationId xmlns:a16="http://schemas.microsoft.com/office/drawing/2014/main" id="{00000000-0008-0000-0500-000092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195</xdr:row>
      <xdr:rowOff>83820</xdr:rowOff>
    </xdr:from>
    <xdr:to>
      <xdr:col>6</xdr:col>
      <xdr:colOff>1249680</xdr:colOff>
      <xdr:row>196</xdr:row>
      <xdr:rowOff>114300</xdr:rowOff>
    </xdr:to>
    <xdr:sp macro="" textlink="">
      <xdr:nvSpPr>
        <xdr:cNvPr id="40595" name="Drop Down 659" hidden="1">
          <a:extLst>
            <a:ext uri="{63B3BB69-23CF-44E3-9099-C40C66FF867C}">
              <a14:compatExt xmlns:a14="http://schemas.microsoft.com/office/drawing/2010/main" spid="_x0000_s40595"/>
            </a:ext>
            <a:ext uri="{FF2B5EF4-FFF2-40B4-BE49-F238E27FC236}">
              <a16:creationId xmlns:a16="http://schemas.microsoft.com/office/drawing/2014/main" id="{00000000-0008-0000-0500-000093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196</xdr:row>
      <xdr:rowOff>83820</xdr:rowOff>
    </xdr:from>
    <xdr:to>
      <xdr:col>6</xdr:col>
      <xdr:colOff>1249680</xdr:colOff>
      <xdr:row>197</xdr:row>
      <xdr:rowOff>114300</xdr:rowOff>
    </xdr:to>
    <xdr:sp macro="" textlink="">
      <xdr:nvSpPr>
        <xdr:cNvPr id="40596" name="Drop Down 660" hidden="1">
          <a:extLst>
            <a:ext uri="{63B3BB69-23CF-44E3-9099-C40C66FF867C}">
              <a14:compatExt xmlns:a14="http://schemas.microsoft.com/office/drawing/2010/main" spid="_x0000_s40596"/>
            </a:ext>
            <a:ext uri="{FF2B5EF4-FFF2-40B4-BE49-F238E27FC236}">
              <a16:creationId xmlns:a16="http://schemas.microsoft.com/office/drawing/2014/main" id="{00000000-0008-0000-0500-000094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200</xdr:row>
      <xdr:rowOff>83820</xdr:rowOff>
    </xdr:from>
    <xdr:to>
      <xdr:col>6</xdr:col>
      <xdr:colOff>1249680</xdr:colOff>
      <xdr:row>201</xdr:row>
      <xdr:rowOff>114300</xdr:rowOff>
    </xdr:to>
    <xdr:sp macro="" textlink="">
      <xdr:nvSpPr>
        <xdr:cNvPr id="40597" name="Drop Down 661" hidden="1">
          <a:extLst>
            <a:ext uri="{63B3BB69-23CF-44E3-9099-C40C66FF867C}">
              <a14:compatExt xmlns:a14="http://schemas.microsoft.com/office/drawing/2010/main" spid="_x0000_s40597"/>
            </a:ext>
            <a:ext uri="{FF2B5EF4-FFF2-40B4-BE49-F238E27FC236}">
              <a16:creationId xmlns:a16="http://schemas.microsoft.com/office/drawing/2014/main" id="{00000000-0008-0000-0500-000095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201</xdr:row>
      <xdr:rowOff>83820</xdr:rowOff>
    </xdr:from>
    <xdr:to>
      <xdr:col>6</xdr:col>
      <xdr:colOff>1249680</xdr:colOff>
      <xdr:row>202</xdr:row>
      <xdr:rowOff>114300</xdr:rowOff>
    </xdr:to>
    <xdr:sp macro="" textlink="">
      <xdr:nvSpPr>
        <xdr:cNvPr id="40598" name="Drop Down 662" hidden="1">
          <a:extLst>
            <a:ext uri="{63B3BB69-23CF-44E3-9099-C40C66FF867C}">
              <a14:compatExt xmlns:a14="http://schemas.microsoft.com/office/drawing/2010/main" spid="_x0000_s40598"/>
            </a:ext>
            <a:ext uri="{FF2B5EF4-FFF2-40B4-BE49-F238E27FC236}">
              <a16:creationId xmlns:a16="http://schemas.microsoft.com/office/drawing/2014/main" id="{00000000-0008-0000-0500-000096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202</xdr:row>
      <xdr:rowOff>83820</xdr:rowOff>
    </xdr:from>
    <xdr:to>
      <xdr:col>6</xdr:col>
      <xdr:colOff>1249680</xdr:colOff>
      <xdr:row>203</xdr:row>
      <xdr:rowOff>114300</xdr:rowOff>
    </xdr:to>
    <xdr:sp macro="" textlink="">
      <xdr:nvSpPr>
        <xdr:cNvPr id="40599" name="Drop Down 663" hidden="1">
          <a:extLst>
            <a:ext uri="{63B3BB69-23CF-44E3-9099-C40C66FF867C}">
              <a14:compatExt xmlns:a14="http://schemas.microsoft.com/office/drawing/2010/main" spid="_x0000_s40599"/>
            </a:ext>
            <a:ext uri="{FF2B5EF4-FFF2-40B4-BE49-F238E27FC236}">
              <a16:creationId xmlns:a16="http://schemas.microsoft.com/office/drawing/2014/main" id="{00000000-0008-0000-0500-000097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203</xdr:row>
      <xdr:rowOff>83820</xdr:rowOff>
    </xdr:from>
    <xdr:to>
      <xdr:col>6</xdr:col>
      <xdr:colOff>1249680</xdr:colOff>
      <xdr:row>204</xdr:row>
      <xdr:rowOff>114300</xdr:rowOff>
    </xdr:to>
    <xdr:sp macro="" textlink="">
      <xdr:nvSpPr>
        <xdr:cNvPr id="40600" name="Drop Down 664" hidden="1">
          <a:extLst>
            <a:ext uri="{63B3BB69-23CF-44E3-9099-C40C66FF867C}">
              <a14:compatExt xmlns:a14="http://schemas.microsoft.com/office/drawing/2010/main" spid="_x0000_s40600"/>
            </a:ext>
            <a:ext uri="{FF2B5EF4-FFF2-40B4-BE49-F238E27FC236}">
              <a16:creationId xmlns:a16="http://schemas.microsoft.com/office/drawing/2014/main" id="{00000000-0008-0000-0500-000098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204</xdr:row>
      <xdr:rowOff>83820</xdr:rowOff>
    </xdr:from>
    <xdr:to>
      <xdr:col>6</xdr:col>
      <xdr:colOff>1249680</xdr:colOff>
      <xdr:row>204</xdr:row>
      <xdr:rowOff>304800</xdr:rowOff>
    </xdr:to>
    <xdr:sp macro="" textlink="">
      <xdr:nvSpPr>
        <xdr:cNvPr id="40601" name="Drop Down 665" hidden="1">
          <a:extLst>
            <a:ext uri="{63B3BB69-23CF-44E3-9099-C40C66FF867C}">
              <a14:compatExt xmlns:a14="http://schemas.microsoft.com/office/drawing/2010/main" spid="_x0000_s40601"/>
            </a:ext>
            <a:ext uri="{FF2B5EF4-FFF2-40B4-BE49-F238E27FC236}">
              <a16:creationId xmlns:a16="http://schemas.microsoft.com/office/drawing/2014/main" id="{00000000-0008-0000-0500-000099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205</xdr:row>
      <xdr:rowOff>83820</xdr:rowOff>
    </xdr:from>
    <xdr:to>
      <xdr:col>6</xdr:col>
      <xdr:colOff>1249680</xdr:colOff>
      <xdr:row>206</xdr:row>
      <xdr:rowOff>114300</xdr:rowOff>
    </xdr:to>
    <xdr:sp macro="" textlink="">
      <xdr:nvSpPr>
        <xdr:cNvPr id="40602" name="Drop Down 666" hidden="1">
          <a:extLst>
            <a:ext uri="{63B3BB69-23CF-44E3-9099-C40C66FF867C}">
              <a14:compatExt xmlns:a14="http://schemas.microsoft.com/office/drawing/2010/main" spid="_x0000_s40602"/>
            </a:ext>
            <a:ext uri="{FF2B5EF4-FFF2-40B4-BE49-F238E27FC236}">
              <a16:creationId xmlns:a16="http://schemas.microsoft.com/office/drawing/2014/main" id="{00000000-0008-0000-0500-00009A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207</xdr:row>
      <xdr:rowOff>83820</xdr:rowOff>
    </xdr:from>
    <xdr:to>
      <xdr:col>6</xdr:col>
      <xdr:colOff>1249680</xdr:colOff>
      <xdr:row>207</xdr:row>
      <xdr:rowOff>304800</xdr:rowOff>
    </xdr:to>
    <xdr:sp macro="" textlink="">
      <xdr:nvSpPr>
        <xdr:cNvPr id="40603" name="Drop Down 667" hidden="1">
          <a:extLst>
            <a:ext uri="{63B3BB69-23CF-44E3-9099-C40C66FF867C}">
              <a14:compatExt xmlns:a14="http://schemas.microsoft.com/office/drawing/2010/main" spid="_x0000_s40603"/>
            </a:ext>
            <a:ext uri="{FF2B5EF4-FFF2-40B4-BE49-F238E27FC236}">
              <a16:creationId xmlns:a16="http://schemas.microsoft.com/office/drawing/2014/main" id="{00000000-0008-0000-0500-00009B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208</xdr:row>
      <xdr:rowOff>83820</xdr:rowOff>
    </xdr:from>
    <xdr:to>
      <xdr:col>6</xdr:col>
      <xdr:colOff>1249680</xdr:colOff>
      <xdr:row>209</xdr:row>
      <xdr:rowOff>114300</xdr:rowOff>
    </xdr:to>
    <xdr:sp macro="" textlink="">
      <xdr:nvSpPr>
        <xdr:cNvPr id="40604" name="Drop Down 668" hidden="1">
          <a:extLst>
            <a:ext uri="{63B3BB69-23CF-44E3-9099-C40C66FF867C}">
              <a14:compatExt xmlns:a14="http://schemas.microsoft.com/office/drawing/2010/main" spid="_x0000_s40604"/>
            </a:ext>
            <a:ext uri="{FF2B5EF4-FFF2-40B4-BE49-F238E27FC236}">
              <a16:creationId xmlns:a16="http://schemas.microsoft.com/office/drawing/2014/main" id="{00000000-0008-0000-0500-00009C9E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wsDr>
</file>

<file path=xl/drawings/drawing2.xml><?xml version="1.0" encoding="utf-8"?>
<xdr:wsDr xmlns:xdr="http://schemas.openxmlformats.org/drawingml/2006/spreadsheetDrawing" xmlns:a="http://schemas.openxmlformats.org/drawingml/2006/main">
  <xdr:twoCellAnchor editAs="oneCell">
    <xdr:from>
      <xdr:col>6</xdr:col>
      <xdr:colOff>38100</xdr:colOff>
      <xdr:row>3</xdr:row>
      <xdr:rowOff>30480</xdr:rowOff>
    </xdr:from>
    <xdr:to>
      <xdr:col>6</xdr:col>
      <xdr:colOff>1318260</xdr:colOff>
      <xdr:row>4</xdr:row>
      <xdr:rowOff>76200</xdr:rowOff>
    </xdr:to>
    <xdr:sp macro="" textlink="">
      <xdr:nvSpPr>
        <xdr:cNvPr id="57345" name="Button 1" hidden="1">
          <a:extLst>
            <a:ext uri="{63B3BB69-23CF-44E3-9099-C40C66FF867C}">
              <a14:compatExt xmlns:a14="http://schemas.microsoft.com/office/drawing/2010/main"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IN" sz="1000" b="0" i="0" u="none" strike="noStrike" baseline="0">
              <a:solidFill>
                <a:srgbClr val="000000"/>
              </a:solidFill>
              <a:latin typeface="Verdana"/>
              <a:ea typeface="Verdana"/>
            </a:rPr>
            <a:t>Reset responses</a:t>
          </a:r>
        </a:p>
      </xdr:txBody>
    </xdr:sp>
    <xdr:clientData fPrintsWithSheet="0"/>
  </xdr:twoCellAnchor>
  <xdr:twoCellAnchor editAs="oneCell">
    <xdr:from>
      <xdr:col>10</xdr:col>
      <xdr:colOff>30480</xdr:colOff>
      <xdr:row>3</xdr:row>
      <xdr:rowOff>30480</xdr:rowOff>
    </xdr:from>
    <xdr:to>
      <xdr:col>10</xdr:col>
      <xdr:colOff>1303020</xdr:colOff>
      <xdr:row>4</xdr:row>
      <xdr:rowOff>76200</xdr:rowOff>
    </xdr:to>
    <xdr:sp macro="" textlink="">
      <xdr:nvSpPr>
        <xdr:cNvPr id="57346" name="Button 2" hidden="1">
          <a:extLst>
            <a:ext uri="{63B3BB69-23CF-44E3-9099-C40C66FF867C}">
              <a14:compatExt xmlns:a14="http://schemas.microsoft.com/office/drawing/2010/main" spid="_x0000_s57346"/>
            </a:ext>
            <a:ext uri="{FF2B5EF4-FFF2-40B4-BE49-F238E27FC236}">
              <a16:creationId xmlns:a16="http://schemas.microsoft.com/office/drawing/2014/main" id="{00000000-0008-0000-0600-000002E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IN" sz="1000" b="0" i="0" u="none" strike="noStrike" baseline="0">
              <a:solidFill>
                <a:srgbClr val="000000"/>
              </a:solidFill>
              <a:latin typeface="Verdana"/>
              <a:ea typeface="Verdana"/>
            </a:rPr>
            <a:t>Reset comments</a:t>
          </a:r>
        </a:p>
      </xdr:txBody>
    </xdr:sp>
    <xdr:clientData fPrintsWithSheet="0"/>
  </xdr:twoCellAnchor>
  <xdr:twoCellAnchor editAs="oneCell">
    <xdr:from>
      <xdr:col>6</xdr:col>
      <xdr:colOff>106680</xdr:colOff>
      <xdr:row>8</xdr:row>
      <xdr:rowOff>83820</xdr:rowOff>
    </xdr:from>
    <xdr:to>
      <xdr:col>6</xdr:col>
      <xdr:colOff>1249680</xdr:colOff>
      <xdr:row>8</xdr:row>
      <xdr:rowOff>304800</xdr:rowOff>
    </xdr:to>
    <xdr:sp macro="" textlink="">
      <xdr:nvSpPr>
        <xdr:cNvPr id="57718" name="Drop Down 374" hidden="1">
          <a:extLst>
            <a:ext uri="{63B3BB69-23CF-44E3-9099-C40C66FF867C}">
              <a14:compatExt xmlns:a14="http://schemas.microsoft.com/office/drawing/2010/main" spid="_x0000_s57718"/>
            </a:ext>
            <a:ext uri="{FF2B5EF4-FFF2-40B4-BE49-F238E27FC236}">
              <a16:creationId xmlns:a16="http://schemas.microsoft.com/office/drawing/2014/main" id="{00000000-0008-0000-0600-000076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xdr:row>
      <xdr:rowOff>83820</xdr:rowOff>
    </xdr:from>
    <xdr:to>
      <xdr:col>6</xdr:col>
      <xdr:colOff>1249680</xdr:colOff>
      <xdr:row>13</xdr:row>
      <xdr:rowOff>304800</xdr:rowOff>
    </xdr:to>
    <xdr:sp macro="" textlink="">
      <xdr:nvSpPr>
        <xdr:cNvPr id="57719" name="Drop Down 375" hidden="1">
          <a:extLst>
            <a:ext uri="{63B3BB69-23CF-44E3-9099-C40C66FF867C}">
              <a14:compatExt xmlns:a14="http://schemas.microsoft.com/office/drawing/2010/main" spid="_x0000_s57719"/>
            </a:ext>
            <a:ext uri="{FF2B5EF4-FFF2-40B4-BE49-F238E27FC236}">
              <a16:creationId xmlns:a16="http://schemas.microsoft.com/office/drawing/2014/main" id="{00000000-0008-0000-0600-000077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42</xdr:row>
      <xdr:rowOff>83820</xdr:rowOff>
    </xdr:from>
    <xdr:to>
      <xdr:col>6</xdr:col>
      <xdr:colOff>1249680</xdr:colOff>
      <xdr:row>43</xdr:row>
      <xdr:rowOff>114300</xdr:rowOff>
    </xdr:to>
    <xdr:sp macro="" textlink="">
      <xdr:nvSpPr>
        <xdr:cNvPr id="57720" name="Drop Down 376" hidden="1">
          <a:extLst>
            <a:ext uri="{63B3BB69-23CF-44E3-9099-C40C66FF867C}">
              <a14:compatExt xmlns:a14="http://schemas.microsoft.com/office/drawing/2010/main" spid="_x0000_s57720"/>
            </a:ext>
            <a:ext uri="{FF2B5EF4-FFF2-40B4-BE49-F238E27FC236}">
              <a16:creationId xmlns:a16="http://schemas.microsoft.com/office/drawing/2014/main" id="{00000000-0008-0000-0600-000078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49</xdr:row>
      <xdr:rowOff>83820</xdr:rowOff>
    </xdr:from>
    <xdr:to>
      <xdr:col>6</xdr:col>
      <xdr:colOff>1249680</xdr:colOff>
      <xdr:row>50</xdr:row>
      <xdr:rowOff>66675</xdr:rowOff>
    </xdr:to>
    <xdr:sp macro="" textlink="">
      <xdr:nvSpPr>
        <xdr:cNvPr id="57721" name="Drop Down 377" hidden="1">
          <a:extLst>
            <a:ext uri="{63B3BB69-23CF-44E3-9099-C40C66FF867C}">
              <a14:compatExt xmlns:a14="http://schemas.microsoft.com/office/drawing/2010/main" spid="_x0000_s57721"/>
            </a:ext>
            <a:ext uri="{FF2B5EF4-FFF2-40B4-BE49-F238E27FC236}">
              <a16:creationId xmlns:a16="http://schemas.microsoft.com/office/drawing/2014/main" id="{00000000-0008-0000-0600-000079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64</xdr:row>
      <xdr:rowOff>83820</xdr:rowOff>
    </xdr:from>
    <xdr:to>
      <xdr:col>6</xdr:col>
      <xdr:colOff>1249680</xdr:colOff>
      <xdr:row>65</xdr:row>
      <xdr:rowOff>114300</xdr:rowOff>
    </xdr:to>
    <xdr:sp macro="" textlink="">
      <xdr:nvSpPr>
        <xdr:cNvPr id="57722" name="Drop Down 378" hidden="1">
          <a:extLst>
            <a:ext uri="{63B3BB69-23CF-44E3-9099-C40C66FF867C}">
              <a14:compatExt xmlns:a14="http://schemas.microsoft.com/office/drawing/2010/main" spid="_x0000_s57722"/>
            </a:ext>
            <a:ext uri="{FF2B5EF4-FFF2-40B4-BE49-F238E27FC236}">
              <a16:creationId xmlns:a16="http://schemas.microsoft.com/office/drawing/2014/main" id="{00000000-0008-0000-0600-00007A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65</xdr:row>
      <xdr:rowOff>83820</xdr:rowOff>
    </xdr:from>
    <xdr:to>
      <xdr:col>6</xdr:col>
      <xdr:colOff>1249680</xdr:colOff>
      <xdr:row>65</xdr:row>
      <xdr:rowOff>304800</xdr:rowOff>
    </xdr:to>
    <xdr:sp macro="" textlink="">
      <xdr:nvSpPr>
        <xdr:cNvPr id="57723" name="Drop Down 379" hidden="1">
          <a:extLst>
            <a:ext uri="{63B3BB69-23CF-44E3-9099-C40C66FF867C}">
              <a14:compatExt xmlns:a14="http://schemas.microsoft.com/office/drawing/2010/main" spid="_x0000_s57723"/>
            </a:ext>
            <a:ext uri="{FF2B5EF4-FFF2-40B4-BE49-F238E27FC236}">
              <a16:creationId xmlns:a16="http://schemas.microsoft.com/office/drawing/2014/main" id="{00000000-0008-0000-0600-00007B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71</xdr:row>
      <xdr:rowOff>83820</xdr:rowOff>
    </xdr:from>
    <xdr:to>
      <xdr:col>6</xdr:col>
      <xdr:colOff>1249680</xdr:colOff>
      <xdr:row>72</xdr:row>
      <xdr:rowOff>66675</xdr:rowOff>
    </xdr:to>
    <xdr:sp macro="" textlink="">
      <xdr:nvSpPr>
        <xdr:cNvPr id="57724" name="Drop Down 380" hidden="1">
          <a:extLst>
            <a:ext uri="{63B3BB69-23CF-44E3-9099-C40C66FF867C}">
              <a14:compatExt xmlns:a14="http://schemas.microsoft.com/office/drawing/2010/main" spid="_x0000_s57724"/>
            </a:ext>
            <a:ext uri="{FF2B5EF4-FFF2-40B4-BE49-F238E27FC236}">
              <a16:creationId xmlns:a16="http://schemas.microsoft.com/office/drawing/2014/main" id="{00000000-0008-0000-0600-00007C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77</xdr:row>
      <xdr:rowOff>83820</xdr:rowOff>
    </xdr:from>
    <xdr:to>
      <xdr:col>6</xdr:col>
      <xdr:colOff>1249680</xdr:colOff>
      <xdr:row>78</xdr:row>
      <xdr:rowOff>66675</xdr:rowOff>
    </xdr:to>
    <xdr:sp macro="" textlink="">
      <xdr:nvSpPr>
        <xdr:cNvPr id="57725" name="Drop Down 381" hidden="1">
          <a:extLst>
            <a:ext uri="{63B3BB69-23CF-44E3-9099-C40C66FF867C}">
              <a14:compatExt xmlns:a14="http://schemas.microsoft.com/office/drawing/2010/main" spid="_x0000_s57725"/>
            </a:ext>
            <a:ext uri="{FF2B5EF4-FFF2-40B4-BE49-F238E27FC236}">
              <a16:creationId xmlns:a16="http://schemas.microsoft.com/office/drawing/2014/main" id="{00000000-0008-0000-0600-00007D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85</xdr:row>
      <xdr:rowOff>83820</xdr:rowOff>
    </xdr:from>
    <xdr:to>
      <xdr:col>6</xdr:col>
      <xdr:colOff>1249680</xdr:colOff>
      <xdr:row>85</xdr:row>
      <xdr:rowOff>304800</xdr:rowOff>
    </xdr:to>
    <xdr:sp macro="" textlink="">
      <xdr:nvSpPr>
        <xdr:cNvPr id="57726" name="Drop Down 382" hidden="1">
          <a:extLst>
            <a:ext uri="{63B3BB69-23CF-44E3-9099-C40C66FF867C}">
              <a14:compatExt xmlns:a14="http://schemas.microsoft.com/office/drawing/2010/main" spid="_x0000_s57726"/>
            </a:ext>
            <a:ext uri="{FF2B5EF4-FFF2-40B4-BE49-F238E27FC236}">
              <a16:creationId xmlns:a16="http://schemas.microsoft.com/office/drawing/2014/main" id="{00000000-0008-0000-0600-00007E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86</xdr:row>
      <xdr:rowOff>83820</xdr:rowOff>
    </xdr:from>
    <xdr:to>
      <xdr:col>6</xdr:col>
      <xdr:colOff>1249680</xdr:colOff>
      <xdr:row>87</xdr:row>
      <xdr:rowOff>114300</xdr:rowOff>
    </xdr:to>
    <xdr:sp macro="" textlink="">
      <xdr:nvSpPr>
        <xdr:cNvPr id="57727" name="Drop Down 383" hidden="1">
          <a:extLst>
            <a:ext uri="{63B3BB69-23CF-44E3-9099-C40C66FF867C}">
              <a14:compatExt xmlns:a14="http://schemas.microsoft.com/office/drawing/2010/main" spid="_x0000_s57727"/>
            </a:ext>
            <a:ext uri="{FF2B5EF4-FFF2-40B4-BE49-F238E27FC236}">
              <a16:creationId xmlns:a16="http://schemas.microsoft.com/office/drawing/2014/main" id="{00000000-0008-0000-0600-00007F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92</xdr:row>
      <xdr:rowOff>83820</xdr:rowOff>
    </xdr:from>
    <xdr:to>
      <xdr:col>6</xdr:col>
      <xdr:colOff>1249680</xdr:colOff>
      <xdr:row>92</xdr:row>
      <xdr:rowOff>180975</xdr:rowOff>
    </xdr:to>
    <xdr:sp macro="" textlink="">
      <xdr:nvSpPr>
        <xdr:cNvPr id="57728" name="Drop Down 384" hidden="1">
          <a:extLst>
            <a:ext uri="{63B3BB69-23CF-44E3-9099-C40C66FF867C}">
              <a14:compatExt xmlns:a14="http://schemas.microsoft.com/office/drawing/2010/main" spid="_x0000_s57728"/>
            </a:ext>
            <a:ext uri="{FF2B5EF4-FFF2-40B4-BE49-F238E27FC236}">
              <a16:creationId xmlns:a16="http://schemas.microsoft.com/office/drawing/2014/main" id="{00000000-0008-0000-0600-000080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110</xdr:row>
      <xdr:rowOff>83820</xdr:rowOff>
    </xdr:from>
    <xdr:to>
      <xdr:col>6</xdr:col>
      <xdr:colOff>1249680</xdr:colOff>
      <xdr:row>111</xdr:row>
      <xdr:rowOff>66675</xdr:rowOff>
    </xdr:to>
    <xdr:sp macro="" textlink="">
      <xdr:nvSpPr>
        <xdr:cNvPr id="57729" name="Drop Down 385" hidden="1">
          <a:extLst>
            <a:ext uri="{63B3BB69-23CF-44E3-9099-C40C66FF867C}">
              <a14:compatExt xmlns:a14="http://schemas.microsoft.com/office/drawing/2010/main" spid="_x0000_s57729"/>
            </a:ext>
            <a:ext uri="{FF2B5EF4-FFF2-40B4-BE49-F238E27FC236}">
              <a16:creationId xmlns:a16="http://schemas.microsoft.com/office/drawing/2014/main" id="{00000000-0008-0000-0600-000081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116</xdr:row>
      <xdr:rowOff>83820</xdr:rowOff>
    </xdr:from>
    <xdr:to>
      <xdr:col>6</xdr:col>
      <xdr:colOff>1249680</xdr:colOff>
      <xdr:row>117</xdr:row>
      <xdr:rowOff>66675</xdr:rowOff>
    </xdr:to>
    <xdr:sp macro="" textlink="">
      <xdr:nvSpPr>
        <xdr:cNvPr id="57730" name="Drop Down 386" hidden="1">
          <a:extLst>
            <a:ext uri="{63B3BB69-23CF-44E3-9099-C40C66FF867C}">
              <a14:compatExt xmlns:a14="http://schemas.microsoft.com/office/drawing/2010/main" spid="_x0000_s57730"/>
            </a:ext>
            <a:ext uri="{FF2B5EF4-FFF2-40B4-BE49-F238E27FC236}">
              <a16:creationId xmlns:a16="http://schemas.microsoft.com/office/drawing/2014/main" id="{00000000-0008-0000-0600-000082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127</xdr:row>
      <xdr:rowOff>83820</xdr:rowOff>
    </xdr:from>
    <xdr:to>
      <xdr:col>6</xdr:col>
      <xdr:colOff>1249680</xdr:colOff>
      <xdr:row>127</xdr:row>
      <xdr:rowOff>304800</xdr:rowOff>
    </xdr:to>
    <xdr:sp macro="" textlink="">
      <xdr:nvSpPr>
        <xdr:cNvPr id="57731" name="Drop Down 387" hidden="1">
          <a:extLst>
            <a:ext uri="{63B3BB69-23CF-44E3-9099-C40C66FF867C}">
              <a14:compatExt xmlns:a14="http://schemas.microsoft.com/office/drawing/2010/main" spid="_x0000_s57731"/>
            </a:ext>
            <a:ext uri="{FF2B5EF4-FFF2-40B4-BE49-F238E27FC236}">
              <a16:creationId xmlns:a16="http://schemas.microsoft.com/office/drawing/2014/main" id="{00000000-0008-0000-0600-000083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128</xdr:row>
      <xdr:rowOff>83820</xdr:rowOff>
    </xdr:from>
    <xdr:to>
      <xdr:col>6</xdr:col>
      <xdr:colOff>1249680</xdr:colOff>
      <xdr:row>128</xdr:row>
      <xdr:rowOff>180975</xdr:rowOff>
    </xdr:to>
    <xdr:sp macro="" textlink="">
      <xdr:nvSpPr>
        <xdr:cNvPr id="57732" name="Drop Down 388" hidden="1">
          <a:extLst>
            <a:ext uri="{63B3BB69-23CF-44E3-9099-C40C66FF867C}">
              <a14:compatExt xmlns:a14="http://schemas.microsoft.com/office/drawing/2010/main" spid="_x0000_s57732"/>
            </a:ext>
            <a:ext uri="{FF2B5EF4-FFF2-40B4-BE49-F238E27FC236}">
              <a16:creationId xmlns:a16="http://schemas.microsoft.com/office/drawing/2014/main" id="{00000000-0008-0000-0600-000084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140</xdr:row>
      <xdr:rowOff>83820</xdr:rowOff>
    </xdr:from>
    <xdr:to>
      <xdr:col>6</xdr:col>
      <xdr:colOff>1249680</xdr:colOff>
      <xdr:row>140</xdr:row>
      <xdr:rowOff>304800</xdr:rowOff>
    </xdr:to>
    <xdr:sp macro="" textlink="">
      <xdr:nvSpPr>
        <xdr:cNvPr id="57733" name="Drop Down 389" hidden="1">
          <a:extLst>
            <a:ext uri="{63B3BB69-23CF-44E3-9099-C40C66FF867C}">
              <a14:compatExt xmlns:a14="http://schemas.microsoft.com/office/drawing/2010/main" spid="_x0000_s57733"/>
            </a:ext>
            <a:ext uri="{FF2B5EF4-FFF2-40B4-BE49-F238E27FC236}">
              <a16:creationId xmlns:a16="http://schemas.microsoft.com/office/drawing/2014/main" id="{00000000-0008-0000-0600-000085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159</xdr:row>
      <xdr:rowOff>83820</xdr:rowOff>
    </xdr:from>
    <xdr:to>
      <xdr:col>6</xdr:col>
      <xdr:colOff>1249680</xdr:colOff>
      <xdr:row>160</xdr:row>
      <xdr:rowOff>66675</xdr:rowOff>
    </xdr:to>
    <xdr:sp macro="" textlink="">
      <xdr:nvSpPr>
        <xdr:cNvPr id="57734" name="Drop Down 390" hidden="1">
          <a:extLst>
            <a:ext uri="{63B3BB69-23CF-44E3-9099-C40C66FF867C}">
              <a14:compatExt xmlns:a14="http://schemas.microsoft.com/office/drawing/2010/main" spid="_x0000_s57734"/>
            </a:ext>
            <a:ext uri="{FF2B5EF4-FFF2-40B4-BE49-F238E27FC236}">
              <a16:creationId xmlns:a16="http://schemas.microsoft.com/office/drawing/2014/main" id="{00000000-0008-0000-0600-000086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173</xdr:row>
      <xdr:rowOff>83820</xdr:rowOff>
    </xdr:from>
    <xdr:to>
      <xdr:col>6</xdr:col>
      <xdr:colOff>1249680</xdr:colOff>
      <xdr:row>174</xdr:row>
      <xdr:rowOff>114300</xdr:rowOff>
    </xdr:to>
    <xdr:sp macro="" textlink="">
      <xdr:nvSpPr>
        <xdr:cNvPr id="57735" name="Drop Down 391" hidden="1">
          <a:extLst>
            <a:ext uri="{63B3BB69-23CF-44E3-9099-C40C66FF867C}">
              <a14:compatExt xmlns:a14="http://schemas.microsoft.com/office/drawing/2010/main" spid="_x0000_s57735"/>
            </a:ext>
            <a:ext uri="{FF2B5EF4-FFF2-40B4-BE49-F238E27FC236}">
              <a16:creationId xmlns:a16="http://schemas.microsoft.com/office/drawing/2014/main" id="{00000000-0008-0000-0600-000087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174</xdr:row>
      <xdr:rowOff>83820</xdr:rowOff>
    </xdr:from>
    <xdr:to>
      <xdr:col>6</xdr:col>
      <xdr:colOff>1249680</xdr:colOff>
      <xdr:row>174</xdr:row>
      <xdr:rowOff>304800</xdr:rowOff>
    </xdr:to>
    <xdr:sp macro="" textlink="">
      <xdr:nvSpPr>
        <xdr:cNvPr id="57736" name="Drop Down 392" hidden="1">
          <a:extLst>
            <a:ext uri="{63B3BB69-23CF-44E3-9099-C40C66FF867C}">
              <a14:compatExt xmlns:a14="http://schemas.microsoft.com/office/drawing/2010/main" spid="_x0000_s57736"/>
            </a:ext>
            <a:ext uri="{FF2B5EF4-FFF2-40B4-BE49-F238E27FC236}">
              <a16:creationId xmlns:a16="http://schemas.microsoft.com/office/drawing/2014/main" id="{00000000-0008-0000-0600-000088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181</xdr:row>
      <xdr:rowOff>83820</xdr:rowOff>
    </xdr:from>
    <xdr:to>
      <xdr:col>6</xdr:col>
      <xdr:colOff>1249680</xdr:colOff>
      <xdr:row>181</xdr:row>
      <xdr:rowOff>180975</xdr:rowOff>
    </xdr:to>
    <xdr:sp macro="" textlink="">
      <xdr:nvSpPr>
        <xdr:cNvPr id="57737" name="Drop Down 393" hidden="1">
          <a:extLst>
            <a:ext uri="{63B3BB69-23CF-44E3-9099-C40C66FF867C}">
              <a14:compatExt xmlns:a14="http://schemas.microsoft.com/office/drawing/2010/main" spid="_x0000_s57737"/>
            </a:ext>
            <a:ext uri="{FF2B5EF4-FFF2-40B4-BE49-F238E27FC236}">
              <a16:creationId xmlns:a16="http://schemas.microsoft.com/office/drawing/2014/main" id="{00000000-0008-0000-0600-000089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182</xdr:row>
      <xdr:rowOff>83820</xdr:rowOff>
    </xdr:from>
    <xdr:to>
      <xdr:col>6</xdr:col>
      <xdr:colOff>1249680</xdr:colOff>
      <xdr:row>183</xdr:row>
      <xdr:rowOff>114300</xdr:rowOff>
    </xdr:to>
    <xdr:sp macro="" textlink="">
      <xdr:nvSpPr>
        <xdr:cNvPr id="57738" name="Drop Down 394" hidden="1">
          <a:extLst>
            <a:ext uri="{63B3BB69-23CF-44E3-9099-C40C66FF867C}">
              <a14:compatExt xmlns:a14="http://schemas.microsoft.com/office/drawing/2010/main" spid="_x0000_s57738"/>
            </a:ext>
            <a:ext uri="{FF2B5EF4-FFF2-40B4-BE49-F238E27FC236}">
              <a16:creationId xmlns:a16="http://schemas.microsoft.com/office/drawing/2014/main" id="{00000000-0008-0000-0600-00008A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196</xdr:row>
      <xdr:rowOff>83820</xdr:rowOff>
    </xdr:from>
    <xdr:to>
      <xdr:col>6</xdr:col>
      <xdr:colOff>1249680</xdr:colOff>
      <xdr:row>196</xdr:row>
      <xdr:rowOff>304800</xdr:rowOff>
    </xdr:to>
    <xdr:sp macro="" textlink="">
      <xdr:nvSpPr>
        <xdr:cNvPr id="57739" name="Drop Down 395" hidden="1">
          <a:extLst>
            <a:ext uri="{63B3BB69-23CF-44E3-9099-C40C66FF867C}">
              <a14:compatExt xmlns:a14="http://schemas.microsoft.com/office/drawing/2010/main" spid="_x0000_s57739"/>
            </a:ext>
            <a:ext uri="{FF2B5EF4-FFF2-40B4-BE49-F238E27FC236}">
              <a16:creationId xmlns:a16="http://schemas.microsoft.com/office/drawing/2014/main" id="{00000000-0008-0000-0600-00008B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215</xdr:row>
      <xdr:rowOff>83820</xdr:rowOff>
    </xdr:from>
    <xdr:to>
      <xdr:col>6</xdr:col>
      <xdr:colOff>1249680</xdr:colOff>
      <xdr:row>216</xdr:row>
      <xdr:rowOff>66675</xdr:rowOff>
    </xdr:to>
    <xdr:sp macro="" textlink="">
      <xdr:nvSpPr>
        <xdr:cNvPr id="57740" name="Drop Down 396" hidden="1">
          <a:extLst>
            <a:ext uri="{63B3BB69-23CF-44E3-9099-C40C66FF867C}">
              <a14:compatExt xmlns:a14="http://schemas.microsoft.com/office/drawing/2010/main" spid="_x0000_s57740"/>
            </a:ext>
            <a:ext uri="{FF2B5EF4-FFF2-40B4-BE49-F238E27FC236}">
              <a16:creationId xmlns:a16="http://schemas.microsoft.com/office/drawing/2014/main" id="{00000000-0008-0000-0600-00008C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233</xdr:row>
      <xdr:rowOff>83820</xdr:rowOff>
    </xdr:from>
    <xdr:to>
      <xdr:col>6</xdr:col>
      <xdr:colOff>1249680</xdr:colOff>
      <xdr:row>234</xdr:row>
      <xdr:rowOff>66675</xdr:rowOff>
    </xdr:to>
    <xdr:sp macro="" textlink="">
      <xdr:nvSpPr>
        <xdr:cNvPr id="57741" name="Drop Down 397" hidden="1">
          <a:extLst>
            <a:ext uri="{63B3BB69-23CF-44E3-9099-C40C66FF867C}">
              <a14:compatExt xmlns:a14="http://schemas.microsoft.com/office/drawing/2010/main" spid="_x0000_s57741"/>
            </a:ext>
            <a:ext uri="{FF2B5EF4-FFF2-40B4-BE49-F238E27FC236}">
              <a16:creationId xmlns:a16="http://schemas.microsoft.com/office/drawing/2014/main" id="{00000000-0008-0000-0600-00008D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xdr:row>
      <xdr:rowOff>83820</xdr:rowOff>
    </xdr:from>
    <xdr:to>
      <xdr:col>6</xdr:col>
      <xdr:colOff>1249680</xdr:colOff>
      <xdr:row>10</xdr:row>
      <xdr:rowOff>304800</xdr:rowOff>
    </xdr:to>
    <xdr:sp macro="" textlink="">
      <xdr:nvSpPr>
        <xdr:cNvPr id="57742" name="Drop Down 398" hidden="1">
          <a:extLst>
            <a:ext uri="{63B3BB69-23CF-44E3-9099-C40C66FF867C}">
              <a14:compatExt xmlns:a14="http://schemas.microsoft.com/office/drawing/2010/main" spid="_x0000_s57742"/>
            </a:ext>
            <a:ext uri="{FF2B5EF4-FFF2-40B4-BE49-F238E27FC236}">
              <a16:creationId xmlns:a16="http://schemas.microsoft.com/office/drawing/2014/main" id="{00000000-0008-0000-0600-00008E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xdr:row>
      <xdr:rowOff>83820</xdr:rowOff>
    </xdr:from>
    <xdr:to>
      <xdr:col>6</xdr:col>
      <xdr:colOff>1249680</xdr:colOff>
      <xdr:row>11</xdr:row>
      <xdr:rowOff>304800</xdr:rowOff>
    </xdr:to>
    <xdr:sp macro="" textlink="">
      <xdr:nvSpPr>
        <xdr:cNvPr id="57743" name="Drop Down 399" hidden="1">
          <a:extLst>
            <a:ext uri="{63B3BB69-23CF-44E3-9099-C40C66FF867C}">
              <a14:compatExt xmlns:a14="http://schemas.microsoft.com/office/drawing/2010/main" spid="_x0000_s57743"/>
            </a:ext>
            <a:ext uri="{FF2B5EF4-FFF2-40B4-BE49-F238E27FC236}">
              <a16:creationId xmlns:a16="http://schemas.microsoft.com/office/drawing/2014/main" id="{00000000-0008-0000-0600-00008F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xdr:row>
      <xdr:rowOff>83820</xdr:rowOff>
    </xdr:from>
    <xdr:to>
      <xdr:col>6</xdr:col>
      <xdr:colOff>1249680</xdr:colOff>
      <xdr:row>12</xdr:row>
      <xdr:rowOff>304800</xdr:rowOff>
    </xdr:to>
    <xdr:sp macro="" textlink="">
      <xdr:nvSpPr>
        <xdr:cNvPr id="57744" name="Drop Down 400" hidden="1">
          <a:extLst>
            <a:ext uri="{63B3BB69-23CF-44E3-9099-C40C66FF867C}">
              <a14:compatExt xmlns:a14="http://schemas.microsoft.com/office/drawing/2010/main" spid="_x0000_s57744"/>
            </a:ext>
            <a:ext uri="{FF2B5EF4-FFF2-40B4-BE49-F238E27FC236}">
              <a16:creationId xmlns:a16="http://schemas.microsoft.com/office/drawing/2014/main" id="{00000000-0008-0000-0600-000090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xdr:row>
      <xdr:rowOff>83820</xdr:rowOff>
    </xdr:from>
    <xdr:to>
      <xdr:col>6</xdr:col>
      <xdr:colOff>1249680</xdr:colOff>
      <xdr:row>15</xdr:row>
      <xdr:rowOff>304800</xdr:rowOff>
    </xdr:to>
    <xdr:sp macro="" textlink="">
      <xdr:nvSpPr>
        <xdr:cNvPr id="57745" name="Drop Down 401" hidden="1">
          <a:extLst>
            <a:ext uri="{63B3BB69-23CF-44E3-9099-C40C66FF867C}">
              <a14:compatExt xmlns:a14="http://schemas.microsoft.com/office/drawing/2010/main" spid="_x0000_s57745"/>
            </a:ext>
            <a:ext uri="{FF2B5EF4-FFF2-40B4-BE49-F238E27FC236}">
              <a16:creationId xmlns:a16="http://schemas.microsoft.com/office/drawing/2014/main" id="{00000000-0008-0000-0600-000091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xdr:row>
      <xdr:rowOff>83820</xdr:rowOff>
    </xdr:from>
    <xdr:to>
      <xdr:col>6</xdr:col>
      <xdr:colOff>1249680</xdr:colOff>
      <xdr:row>16</xdr:row>
      <xdr:rowOff>304800</xdr:rowOff>
    </xdr:to>
    <xdr:sp macro="" textlink="">
      <xdr:nvSpPr>
        <xdr:cNvPr id="57746" name="Drop Down 402" hidden="1">
          <a:extLst>
            <a:ext uri="{63B3BB69-23CF-44E3-9099-C40C66FF867C}">
              <a14:compatExt xmlns:a14="http://schemas.microsoft.com/office/drawing/2010/main" spid="_x0000_s57746"/>
            </a:ext>
            <a:ext uri="{FF2B5EF4-FFF2-40B4-BE49-F238E27FC236}">
              <a16:creationId xmlns:a16="http://schemas.microsoft.com/office/drawing/2014/main" id="{00000000-0008-0000-0600-000092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xdr:row>
      <xdr:rowOff>83820</xdr:rowOff>
    </xdr:from>
    <xdr:to>
      <xdr:col>6</xdr:col>
      <xdr:colOff>1249680</xdr:colOff>
      <xdr:row>18</xdr:row>
      <xdr:rowOff>304800</xdr:rowOff>
    </xdr:to>
    <xdr:sp macro="" textlink="">
      <xdr:nvSpPr>
        <xdr:cNvPr id="57747" name="Drop Down 403" hidden="1">
          <a:extLst>
            <a:ext uri="{63B3BB69-23CF-44E3-9099-C40C66FF867C}">
              <a14:compatExt xmlns:a14="http://schemas.microsoft.com/office/drawing/2010/main" spid="_x0000_s57747"/>
            </a:ext>
            <a:ext uri="{FF2B5EF4-FFF2-40B4-BE49-F238E27FC236}">
              <a16:creationId xmlns:a16="http://schemas.microsoft.com/office/drawing/2014/main" id="{00000000-0008-0000-0600-000093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xdr:row>
      <xdr:rowOff>83820</xdr:rowOff>
    </xdr:from>
    <xdr:to>
      <xdr:col>6</xdr:col>
      <xdr:colOff>1249680</xdr:colOff>
      <xdr:row>19</xdr:row>
      <xdr:rowOff>304800</xdr:rowOff>
    </xdr:to>
    <xdr:sp macro="" textlink="">
      <xdr:nvSpPr>
        <xdr:cNvPr id="57748" name="Drop Down 404" hidden="1">
          <a:extLst>
            <a:ext uri="{63B3BB69-23CF-44E3-9099-C40C66FF867C}">
              <a14:compatExt xmlns:a14="http://schemas.microsoft.com/office/drawing/2010/main" spid="_x0000_s57748"/>
            </a:ext>
            <a:ext uri="{FF2B5EF4-FFF2-40B4-BE49-F238E27FC236}">
              <a16:creationId xmlns:a16="http://schemas.microsoft.com/office/drawing/2014/main" id="{00000000-0008-0000-0600-000094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xdr:row>
      <xdr:rowOff>83820</xdr:rowOff>
    </xdr:from>
    <xdr:to>
      <xdr:col>6</xdr:col>
      <xdr:colOff>1249680</xdr:colOff>
      <xdr:row>21</xdr:row>
      <xdr:rowOff>304800</xdr:rowOff>
    </xdr:to>
    <xdr:sp macro="" textlink="">
      <xdr:nvSpPr>
        <xdr:cNvPr id="57749" name="Drop Down 405" hidden="1">
          <a:extLst>
            <a:ext uri="{63B3BB69-23CF-44E3-9099-C40C66FF867C}">
              <a14:compatExt xmlns:a14="http://schemas.microsoft.com/office/drawing/2010/main" spid="_x0000_s57749"/>
            </a:ext>
            <a:ext uri="{FF2B5EF4-FFF2-40B4-BE49-F238E27FC236}">
              <a16:creationId xmlns:a16="http://schemas.microsoft.com/office/drawing/2014/main" id="{00000000-0008-0000-0600-000095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83820</xdr:rowOff>
    </xdr:from>
    <xdr:to>
      <xdr:col>6</xdr:col>
      <xdr:colOff>1249680</xdr:colOff>
      <xdr:row>21</xdr:row>
      <xdr:rowOff>304800</xdr:rowOff>
    </xdr:to>
    <xdr:sp macro="" textlink="">
      <xdr:nvSpPr>
        <xdr:cNvPr id="57750" name="Drop Down 406" hidden="1">
          <a:extLst>
            <a:ext uri="{63B3BB69-23CF-44E3-9099-C40C66FF867C}">
              <a14:compatExt xmlns:a14="http://schemas.microsoft.com/office/drawing/2010/main" spid="_x0000_s57750"/>
            </a:ext>
            <a:ext uri="{FF2B5EF4-FFF2-40B4-BE49-F238E27FC236}">
              <a16:creationId xmlns:a16="http://schemas.microsoft.com/office/drawing/2014/main" id="{00000000-0008-0000-0600-000096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22</xdr:row>
      <xdr:rowOff>83820</xdr:rowOff>
    </xdr:from>
    <xdr:to>
      <xdr:col>6</xdr:col>
      <xdr:colOff>1249680</xdr:colOff>
      <xdr:row>22</xdr:row>
      <xdr:rowOff>304800</xdr:rowOff>
    </xdr:to>
    <xdr:sp macro="" textlink="">
      <xdr:nvSpPr>
        <xdr:cNvPr id="57751" name="Drop Down 407" hidden="1">
          <a:extLst>
            <a:ext uri="{63B3BB69-23CF-44E3-9099-C40C66FF867C}">
              <a14:compatExt xmlns:a14="http://schemas.microsoft.com/office/drawing/2010/main" spid="_x0000_s57751"/>
            </a:ext>
            <a:ext uri="{FF2B5EF4-FFF2-40B4-BE49-F238E27FC236}">
              <a16:creationId xmlns:a16="http://schemas.microsoft.com/office/drawing/2014/main" id="{00000000-0008-0000-0600-000097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23</xdr:row>
      <xdr:rowOff>83820</xdr:rowOff>
    </xdr:from>
    <xdr:to>
      <xdr:col>6</xdr:col>
      <xdr:colOff>1249680</xdr:colOff>
      <xdr:row>23</xdr:row>
      <xdr:rowOff>304800</xdr:rowOff>
    </xdr:to>
    <xdr:sp macro="" textlink="">
      <xdr:nvSpPr>
        <xdr:cNvPr id="57752" name="Drop Down 408" hidden="1">
          <a:extLst>
            <a:ext uri="{63B3BB69-23CF-44E3-9099-C40C66FF867C}">
              <a14:compatExt xmlns:a14="http://schemas.microsoft.com/office/drawing/2010/main" spid="_x0000_s57752"/>
            </a:ext>
            <a:ext uri="{FF2B5EF4-FFF2-40B4-BE49-F238E27FC236}">
              <a16:creationId xmlns:a16="http://schemas.microsoft.com/office/drawing/2014/main" id="{00000000-0008-0000-0600-000098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24</xdr:row>
      <xdr:rowOff>83820</xdr:rowOff>
    </xdr:from>
    <xdr:to>
      <xdr:col>6</xdr:col>
      <xdr:colOff>1249680</xdr:colOff>
      <xdr:row>24</xdr:row>
      <xdr:rowOff>304800</xdr:rowOff>
    </xdr:to>
    <xdr:sp macro="" textlink="">
      <xdr:nvSpPr>
        <xdr:cNvPr id="57753" name="Drop Down 409" hidden="1">
          <a:extLst>
            <a:ext uri="{63B3BB69-23CF-44E3-9099-C40C66FF867C}">
              <a14:compatExt xmlns:a14="http://schemas.microsoft.com/office/drawing/2010/main" spid="_x0000_s57753"/>
            </a:ext>
            <a:ext uri="{FF2B5EF4-FFF2-40B4-BE49-F238E27FC236}">
              <a16:creationId xmlns:a16="http://schemas.microsoft.com/office/drawing/2014/main" id="{00000000-0008-0000-0600-000099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26</xdr:row>
      <xdr:rowOff>83820</xdr:rowOff>
    </xdr:from>
    <xdr:to>
      <xdr:col>6</xdr:col>
      <xdr:colOff>1249680</xdr:colOff>
      <xdr:row>26</xdr:row>
      <xdr:rowOff>180975</xdr:rowOff>
    </xdr:to>
    <xdr:sp macro="" textlink="">
      <xdr:nvSpPr>
        <xdr:cNvPr id="57754" name="Drop Down 410" hidden="1">
          <a:extLst>
            <a:ext uri="{63B3BB69-23CF-44E3-9099-C40C66FF867C}">
              <a14:compatExt xmlns:a14="http://schemas.microsoft.com/office/drawing/2010/main" spid="_x0000_s57754"/>
            </a:ext>
            <a:ext uri="{FF2B5EF4-FFF2-40B4-BE49-F238E27FC236}">
              <a16:creationId xmlns:a16="http://schemas.microsoft.com/office/drawing/2014/main" id="{00000000-0008-0000-0600-00009A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27</xdr:row>
      <xdr:rowOff>83820</xdr:rowOff>
    </xdr:from>
    <xdr:to>
      <xdr:col>6</xdr:col>
      <xdr:colOff>1249680</xdr:colOff>
      <xdr:row>27</xdr:row>
      <xdr:rowOff>304800</xdr:rowOff>
    </xdr:to>
    <xdr:sp macro="" textlink="">
      <xdr:nvSpPr>
        <xdr:cNvPr id="57755" name="Drop Down 411" hidden="1">
          <a:extLst>
            <a:ext uri="{63B3BB69-23CF-44E3-9099-C40C66FF867C}">
              <a14:compatExt xmlns:a14="http://schemas.microsoft.com/office/drawing/2010/main" spid="_x0000_s57755"/>
            </a:ext>
            <a:ext uri="{FF2B5EF4-FFF2-40B4-BE49-F238E27FC236}">
              <a16:creationId xmlns:a16="http://schemas.microsoft.com/office/drawing/2014/main" id="{00000000-0008-0000-0600-00009B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28</xdr:row>
      <xdr:rowOff>83820</xdr:rowOff>
    </xdr:from>
    <xdr:to>
      <xdr:col>6</xdr:col>
      <xdr:colOff>1249680</xdr:colOff>
      <xdr:row>28</xdr:row>
      <xdr:rowOff>304800</xdr:rowOff>
    </xdr:to>
    <xdr:sp macro="" textlink="">
      <xdr:nvSpPr>
        <xdr:cNvPr id="57756" name="Drop Down 412" hidden="1">
          <a:extLst>
            <a:ext uri="{63B3BB69-23CF-44E3-9099-C40C66FF867C}">
              <a14:compatExt xmlns:a14="http://schemas.microsoft.com/office/drawing/2010/main" spid="_x0000_s57756"/>
            </a:ext>
            <a:ext uri="{FF2B5EF4-FFF2-40B4-BE49-F238E27FC236}">
              <a16:creationId xmlns:a16="http://schemas.microsoft.com/office/drawing/2014/main" id="{00000000-0008-0000-0600-00009C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83820</xdr:rowOff>
    </xdr:from>
    <xdr:to>
      <xdr:col>6</xdr:col>
      <xdr:colOff>1249680</xdr:colOff>
      <xdr:row>30</xdr:row>
      <xdr:rowOff>114300</xdr:rowOff>
    </xdr:to>
    <xdr:sp macro="" textlink="">
      <xdr:nvSpPr>
        <xdr:cNvPr id="57757" name="Drop Down 413" hidden="1">
          <a:extLst>
            <a:ext uri="{63B3BB69-23CF-44E3-9099-C40C66FF867C}">
              <a14:compatExt xmlns:a14="http://schemas.microsoft.com/office/drawing/2010/main" spid="_x0000_s57757"/>
            </a:ext>
            <a:ext uri="{FF2B5EF4-FFF2-40B4-BE49-F238E27FC236}">
              <a16:creationId xmlns:a16="http://schemas.microsoft.com/office/drawing/2014/main" id="{00000000-0008-0000-0600-00009D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31</xdr:row>
      <xdr:rowOff>83820</xdr:rowOff>
    </xdr:from>
    <xdr:to>
      <xdr:col>6</xdr:col>
      <xdr:colOff>1249680</xdr:colOff>
      <xdr:row>31</xdr:row>
      <xdr:rowOff>304800</xdr:rowOff>
    </xdr:to>
    <xdr:sp macro="" textlink="">
      <xdr:nvSpPr>
        <xdr:cNvPr id="57758" name="Drop Down 414" hidden="1">
          <a:extLst>
            <a:ext uri="{63B3BB69-23CF-44E3-9099-C40C66FF867C}">
              <a14:compatExt xmlns:a14="http://schemas.microsoft.com/office/drawing/2010/main" spid="_x0000_s57758"/>
            </a:ext>
            <a:ext uri="{FF2B5EF4-FFF2-40B4-BE49-F238E27FC236}">
              <a16:creationId xmlns:a16="http://schemas.microsoft.com/office/drawing/2014/main" id="{00000000-0008-0000-0600-00009E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32</xdr:row>
      <xdr:rowOff>83820</xdr:rowOff>
    </xdr:from>
    <xdr:to>
      <xdr:col>6</xdr:col>
      <xdr:colOff>1249680</xdr:colOff>
      <xdr:row>32</xdr:row>
      <xdr:rowOff>304800</xdr:rowOff>
    </xdr:to>
    <xdr:sp macro="" textlink="">
      <xdr:nvSpPr>
        <xdr:cNvPr id="57759" name="Drop Down 415" hidden="1">
          <a:extLst>
            <a:ext uri="{63B3BB69-23CF-44E3-9099-C40C66FF867C}">
              <a14:compatExt xmlns:a14="http://schemas.microsoft.com/office/drawing/2010/main" spid="_x0000_s57759"/>
            </a:ext>
            <a:ext uri="{FF2B5EF4-FFF2-40B4-BE49-F238E27FC236}">
              <a16:creationId xmlns:a16="http://schemas.microsoft.com/office/drawing/2014/main" id="{00000000-0008-0000-0600-00009F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33</xdr:row>
      <xdr:rowOff>83820</xdr:rowOff>
    </xdr:from>
    <xdr:to>
      <xdr:col>6</xdr:col>
      <xdr:colOff>1249680</xdr:colOff>
      <xdr:row>34</xdr:row>
      <xdr:rowOff>114300</xdr:rowOff>
    </xdr:to>
    <xdr:sp macro="" textlink="">
      <xdr:nvSpPr>
        <xdr:cNvPr id="57760" name="Drop Down 416" hidden="1">
          <a:extLst>
            <a:ext uri="{63B3BB69-23CF-44E3-9099-C40C66FF867C}">
              <a14:compatExt xmlns:a14="http://schemas.microsoft.com/office/drawing/2010/main" spid="_x0000_s57760"/>
            </a:ext>
            <a:ext uri="{FF2B5EF4-FFF2-40B4-BE49-F238E27FC236}">
              <a16:creationId xmlns:a16="http://schemas.microsoft.com/office/drawing/2014/main" id="{00000000-0008-0000-0600-0000A0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34</xdr:row>
      <xdr:rowOff>83820</xdr:rowOff>
    </xdr:from>
    <xdr:to>
      <xdr:col>6</xdr:col>
      <xdr:colOff>1249680</xdr:colOff>
      <xdr:row>34</xdr:row>
      <xdr:rowOff>304800</xdr:rowOff>
    </xdr:to>
    <xdr:sp macro="" textlink="">
      <xdr:nvSpPr>
        <xdr:cNvPr id="57761" name="Drop Down 417" hidden="1">
          <a:extLst>
            <a:ext uri="{63B3BB69-23CF-44E3-9099-C40C66FF867C}">
              <a14:compatExt xmlns:a14="http://schemas.microsoft.com/office/drawing/2010/main" spid="_x0000_s57761"/>
            </a:ext>
            <a:ext uri="{FF2B5EF4-FFF2-40B4-BE49-F238E27FC236}">
              <a16:creationId xmlns:a16="http://schemas.microsoft.com/office/drawing/2014/main" id="{00000000-0008-0000-0600-0000A1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35</xdr:row>
      <xdr:rowOff>83820</xdr:rowOff>
    </xdr:from>
    <xdr:to>
      <xdr:col>6</xdr:col>
      <xdr:colOff>1249680</xdr:colOff>
      <xdr:row>36</xdr:row>
      <xdr:rowOff>114300</xdr:rowOff>
    </xdr:to>
    <xdr:sp macro="" textlink="">
      <xdr:nvSpPr>
        <xdr:cNvPr id="57762" name="Drop Down 418" hidden="1">
          <a:extLst>
            <a:ext uri="{63B3BB69-23CF-44E3-9099-C40C66FF867C}">
              <a14:compatExt xmlns:a14="http://schemas.microsoft.com/office/drawing/2010/main" spid="_x0000_s57762"/>
            </a:ext>
            <a:ext uri="{FF2B5EF4-FFF2-40B4-BE49-F238E27FC236}">
              <a16:creationId xmlns:a16="http://schemas.microsoft.com/office/drawing/2014/main" id="{00000000-0008-0000-0600-0000A2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37</xdr:row>
      <xdr:rowOff>83820</xdr:rowOff>
    </xdr:from>
    <xdr:to>
      <xdr:col>6</xdr:col>
      <xdr:colOff>1249680</xdr:colOff>
      <xdr:row>37</xdr:row>
      <xdr:rowOff>180975</xdr:rowOff>
    </xdr:to>
    <xdr:sp macro="" textlink="">
      <xdr:nvSpPr>
        <xdr:cNvPr id="57763" name="Drop Down 419" hidden="1">
          <a:extLst>
            <a:ext uri="{63B3BB69-23CF-44E3-9099-C40C66FF867C}">
              <a14:compatExt xmlns:a14="http://schemas.microsoft.com/office/drawing/2010/main" spid="_x0000_s57763"/>
            </a:ext>
            <a:ext uri="{FF2B5EF4-FFF2-40B4-BE49-F238E27FC236}">
              <a16:creationId xmlns:a16="http://schemas.microsoft.com/office/drawing/2014/main" id="{00000000-0008-0000-0600-0000A3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38</xdr:row>
      <xdr:rowOff>83820</xdr:rowOff>
    </xdr:from>
    <xdr:to>
      <xdr:col>6</xdr:col>
      <xdr:colOff>1249680</xdr:colOff>
      <xdr:row>40</xdr:row>
      <xdr:rowOff>114300</xdr:rowOff>
    </xdr:to>
    <xdr:sp macro="" textlink="">
      <xdr:nvSpPr>
        <xdr:cNvPr id="57764" name="Drop Down 420" hidden="1">
          <a:extLst>
            <a:ext uri="{63B3BB69-23CF-44E3-9099-C40C66FF867C}">
              <a14:compatExt xmlns:a14="http://schemas.microsoft.com/office/drawing/2010/main" spid="_x0000_s57764"/>
            </a:ext>
            <a:ext uri="{FF2B5EF4-FFF2-40B4-BE49-F238E27FC236}">
              <a16:creationId xmlns:a16="http://schemas.microsoft.com/office/drawing/2014/main" id="{00000000-0008-0000-0600-0000A4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39</xdr:row>
      <xdr:rowOff>0</xdr:rowOff>
    </xdr:from>
    <xdr:to>
      <xdr:col>6</xdr:col>
      <xdr:colOff>1249680</xdr:colOff>
      <xdr:row>40</xdr:row>
      <xdr:rowOff>30480</xdr:rowOff>
    </xdr:to>
    <xdr:sp macro="" textlink="">
      <xdr:nvSpPr>
        <xdr:cNvPr id="57765" name="Drop Down 421" hidden="1">
          <a:extLst>
            <a:ext uri="{63B3BB69-23CF-44E3-9099-C40C66FF867C}">
              <a14:compatExt xmlns:a14="http://schemas.microsoft.com/office/drawing/2010/main" spid="_x0000_s57765"/>
            </a:ext>
            <a:ext uri="{FF2B5EF4-FFF2-40B4-BE49-F238E27FC236}">
              <a16:creationId xmlns:a16="http://schemas.microsoft.com/office/drawing/2014/main" id="{00000000-0008-0000-0600-0000A5E10000}"/>
            </a:ext>
            <a:ext uri="{147F2762-F138-4A5C-976F-8EAC2B608ADB}">
              <a16:predDERef xmlns:a16="http://schemas.microsoft.com/office/drawing/2014/main" pred="{00000000-0008-0000-0600-0000A4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39</xdr:row>
      <xdr:rowOff>83820</xdr:rowOff>
    </xdr:from>
    <xdr:to>
      <xdr:col>6</xdr:col>
      <xdr:colOff>1249680</xdr:colOff>
      <xdr:row>40</xdr:row>
      <xdr:rowOff>114300</xdr:rowOff>
    </xdr:to>
    <xdr:sp macro="" textlink="">
      <xdr:nvSpPr>
        <xdr:cNvPr id="57766" name="Drop Down 422" hidden="1">
          <a:extLst>
            <a:ext uri="{63B3BB69-23CF-44E3-9099-C40C66FF867C}">
              <a14:compatExt xmlns:a14="http://schemas.microsoft.com/office/drawing/2010/main" spid="_x0000_s57766"/>
            </a:ext>
            <a:ext uri="{FF2B5EF4-FFF2-40B4-BE49-F238E27FC236}">
              <a16:creationId xmlns:a16="http://schemas.microsoft.com/office/drawing/2014/main" id="{00000000-0008-0000-0600-0000A6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40</xdr:row>
      <xdr:rowOff>83820</xdr:rowOff>
    </xdr:from>
    <xdr:to>
      <xdr:col>6</xdr:col>
      <xdr:colOff>1249680</xdr:colOff>
      <xdr:row>41</xdr:row>
      <xdr:rowOff>114300</xdr:rowOff>
    </xdr:to>
    <xdr:sp macro="" textlink="">
      <xdr:nvSpPr>
        <xdr:cNvPr id="57767" name="Drop Down 423" hidden="1">
          <a:extLst>
            <a:ext uri="{63B3BB69-23CF-44E3-9099-C40C66FF867C}">
              <a14:compatExt xmlns:a14="http://schemas.microsoft.com/office/drawing/2010/main" spid="_x0000_s57767"/>
            </a:ext>
            <a:ext uri="{FF2B5EF4-FFF2-40B4-BE49-F238E27FC236}">
              <a16:creationId xmlns:a16="http://schemas.microsoft.com/office/drawing/2014/main" id="{00000000-0008-0000-0600-0000A7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41</xdr:row>
      <xdr:rowOff>83820</xdr:rowOff>
    </xdr:from>
    <xdr:to>
      <xdr:col>6</xdr:col>
      <xdr:colOff>1249680</xdr:colOff>
      <xdr:row>41</xdr:row>
      <xdr:rowOff>304800</xdr:rowOff>
    </xdr:to>
    <xdr:sp macro="" textlink="">
      <xdr:nvSpPr>
        <xdr:cNvPr id="57768" name="Drop Down 424" hidden="1">
          <a:extLst>
            <a:ext uri="{63B3BB69-23CF-44E3-9099-C40C66FF867C}">
              <a14:compatExt xmlns:a14="http://schemas.microsoft.com/office/drawing/2010/main" spid="_x0000_s57768"/>
            </a:ext>
            <a:ext uri="{FF2B5EF4-FFF2-40B4-BE49-F238E27FC236}">
              <a16:creationId xmlns:a16="http://schemas.microsoft.com/office/drawing/2014/main" id="{00000000-0008-0000-0600-0000A8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44</xdr:row>
      <xdr:rowOff>83820</xdr:rowOff>
    </xdr:from>
    <xdr:to>
      <xdr:col>6</xdr:col>
      <xdr:colOff>1249680</xdr:colOff>
      <xdr:row>44</xdr:row>
      <xdr:rowOff>304800</xdr:rowOff>
    </xdr:to>
    <xdr:sp macro="" textlink="">
      <xdr:nvSpPr>
        <xdr:cNvPr id="57769" name="Drop Down 425" hidden="1">
          <a:extLst>
            <a:ext uri="{63B3BB69-23CF-44E3-9099-C40C66FF867C}">
              <a14:compatExt xmlns:a14="http://schemas.microsoft.com/office/drawing/2010/main" spid="_x0000_s57769"/>
            </a:ext>
            <a:ext uri="{FF2B5EF4-FFF2-40B4-BE49-F238E27FC236}">
              <a16:creationId xmlns:a16="http://schemas.microsoft.com/office/drawing/2014/main" id="{00000000-0008-0000-0600-0000A9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45</xdr:row>
      <xdr:rowOff>83820</xdr:rowOff>
    </xdr:from>
    <xdr:to>
      <xdr:col>6</xdr:col>
      <xdr:colOff>1249680</xdr:colOff>
      <xdr:row>46</xdr:row>
      <xdr:rowOff>114300</xdr:rowOff>
    </xdr:to>
    <xdr:sp macro="" textlink="">
      <xdr:nvSpPr>
        <xdr:cNvPr id="57770" name="Drop Down 426" hidden="1">
          <a:extLst>
            <a:ext uri="{63B3BB69-23CF-44E3-9099-C40C66FF867C}">
              <a14:compatExt xmlns:a14="http://schemas.microsoft.com/office/drawing/2010/main" spid="_x0000_s57770"/>
            </a:ext>
            <a:ext uri="{FF2B5EF4-FFF2-40B4-BE49-F238E27FC236}">
              <a16:creationId xmlns:a16="http://schemas.microsoft.com/office/drawing/2014/main" id="{00000000-0008-0000-0600-0000AA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46</xdr:row>
      <xdr:rowOff>83820</xdr:rowOff>
    </xdr:from>
    <xdr:to>
      <xdr:col>6</xdr:col>
      <xdr:colOff>1249680</xdr:colOff>
      <xdr:row>46</xdr:row>
      <xdr:rowOff>304800</xdr:rowOff>
    </xdr:to>
    <xdr:sp macro="" textlink="">
      <xdr:nvSpPr>
        <xdr:cNvPr id="57771" name="Drop Down 427" hidden="1">
          <a:extLst>
            <a:ext uri="{63B3BB69-23CF-44E3-9099-C40C66FF867C}">
              <a14:compatExt xmlns:a14="http://schemas.microsoft.com/office/drawing/2010/main" spid="_x0000_s57771"/>
            </a:ext>
            <a:ext uri="{FF2B5EF4-FFF2-40B4-BE49-F238E27FC236}">
              <a16:creationId xmlns:a16="http://schemas.microsoft.com/office/drawing/2014/main" id="{00000000-0008-0000-0600-0000AB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51</xdr:row>
      <xdr:rowOff>83820</xdr:rowOff>
    </xdr:from>
    <xdr:to>
      <xdr:col>6</xdr:col>
      <xdr:colOff>1249680</xdr:colOff>
      <xdr:row>51</xdr:row>
      <xdr:rowOff>304800</xdr:rowOff>
    </xdr:to>
    <xdr:sp macro="" textlink="">
      <xdr:nvSpPr>
        <xdr:cNvPr id="57772" name="Drop Down 428" hidden="1">
          <a:extLst>
            <a:ext uri="{63B3BB69-23CF-44E3-9099-C40C66FF867C}">
              <a14:compatExt xmlns:a14="http://schemas.microsoft.com/office/drawing/2010/main" spid="_x0000_s57772"/>
            </a:ext>
            <a:ext uri="{FF2B5EF4-FFF2-40B4-BE49-F238E27FC236}">
              <a16:creationId xmlns:a16="http://schemas.microsoft.com/office/drawing/2014/main" id="{00000000-0008-0000-0600-0000AC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52</xdr:row>
      <xdr:rowOff>83820</xdr:rowOff>
    </xdr:from>
    <xdr:to>
      <xdr:col>6</xdr:col>
      <xdr:colOff>1249680</xdr:colOff>
      <xdr:row>52</xdr:row>
      <xdr:rowOff>304800</xdr:rowOff>
    </xdr:to>
    <xdr:sp macro="" textlink="">
      <xdr:nvSpPr>
        <xdr:cNvPr id="57773" name="Drop Down 429" hidden="1">
          <a:extLst>
            <a:ext uri="{63B3BB69-23CF-44E3-9099-C40C66FF867C}">
              <a14:compatExt xmlns:a14="http://schemas.microsoft.com/office/drawing/2010/main" spid="_x0000_s57773"/>
            </a:ext>
            <a:ext uri="{FF2B5EF4-FFF2-40B4-BE49-F238E27FC236}">
              <a16:creationId xmlns:a16="http://schemas.microsoft.com/office/drawing/2014/main" id="{00000000-0008-0000-0600-0000AD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53</xdr:row>
      <xdr:rowOff>83820</xdr:rowOff>
    </xdr:from>
    <xdr:to>
      <xdr:col>6</xdr:col>
      <xdr:colOff>1249680</xdr:colOff>
      <xdr:row>53</xdr:row>
      <xdr:rowOff>304800</xdr:rowOff>
    </xdr:to>
    <xdr:sp macro="" textlink="">
      <xdr:nvSpPr>
        <xdr:cNvPr id="57774" name="Drop Down 430" hidden="1">
          <a:extLst>
            <a:ext uri="{63B3BB69-23CF-44E3-9099-C40C66FF867C}">
              <a14:compatExt xmlns:a14="http://schemas.microsoft.com/office/drawing/2010/main" spid="_x0000_s57774"/>
            </a:ext>
            <a:ext uri="{FF2B5EF4-FFF2-40B4-BE49-F238E27FC236}">
              <a16:creationId xmlns:a16="http://schemas.microsoft.com/office/drawing/2014/main" id="{00000000-0008-0000-0600-0000AE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55</xdr:row>
      <xdr:rowOff>83820</xdr:rowOff>
    </xdr:from>
    <xdr:to>
      <xdr:col>6</xdr:col>
      <xdr:colOff>1249680</xdr:colOff>
      <xdr:row>55</xdr:row>
      <xdr:rowOff>304800</xdr:rowOff>
    </xdr:to>
    <xdr:sp macro="" textlink="">
      <xdr:nvSpPr>
        <xdr:cNvPr id="57775" name="Drop Down 431" hidden="1">
          <a:extLst>
            <a:ext uri="{63B3BB69-23CF-44E3-9099-C40C66FF867C}">
              <a14:compatExt xmlns:a14="http://schemas.microsoft.com/office/drawing/2010/main" spid="_x0000_s57775"/>
            </a:ext>
            <a:ext uri="{FF2B5EF4-FFF2-40B4-BE49-F238E27FC236}">
              <a16:creationId xmlns:a16="http://schemas.microsoft.com/office/drawing/2014/main" id="{00000000-0008-0000-0600-0000AF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56</xdr:row>
      <xdr:rowOff>83820</xdr:rowOff>
    </xdr:from>
    <xdr:to>
      <xdr:col>6</xdr:col>
      <xdr:colOff>1249680</xdr:colOff>
      <xdr:row>57</xdr:row>
      <xdr:rowOff>114300</xdr:rowOff>
    </xdr:to>
    <xdr:sp macro="" textlink="">
      <xdr:nvSpPr>
        <xdr:cNvPr id="57776" name="Drop Down 432" hidden="1">
          <a:extLst>
            <a:ext uri="{63B3BB69-23CF-44E3-9099-C40C66FF867C}">
              <a14:compatExt xmlns:a14="http://schemas.microsoft.com/office/drawing/2010/main" spid="_x0000_s57776"/>
            </a:ext>
            <a:ext uri="{FF2B5EF4-FFF2-40B4-BE49-F238E27FC236}">
              <a16:creationId xmlns:a16="http://schemas.microsoft.com/office/drawing/2014/main" id="{00000000-0008-0000-0600-0000B0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57</xdr:row>
      <xdr:rowOff>83820</xdr:rowOff>
    </xdr:from>
    <xdr:to>
      <xdr:col>6</xdr:col>
      <xdr:colOff>1249680</xdr:colOff>
      <xdr:row>58</xdr:row>
      <xdr:rowOff>114300</xdr:rowOff>
    </xdr:to>
    <xdr:sp macro="" textlink="">
      <xdr:nvSpPr>
        <xdr:cNvPr id="57777" name="Drop Down 433" hidden="1">
          <a:extLst>
            <a:ext uri="{63B3BB69-23CF-44E3-9099-C40C66FF867C}">
              <a14:compatExt xmlns:a14="http://schemas.microsoft.com/office/drawing/2010/main" spid="_x0000_s57777"/>
            </a:ext>
            <a:ext uri="{FF2B5EF4-FFF2-40B4-BE49-F238E27FC236}">
              <a16:creationId xmlns:a16="http://schemas.microsoft.com/office/drawing/2014/main" id="{00000000-0008-0000-0600-0000B1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58</xdr:row>
      <xdr:rowOff>83820</xdr:rowOff>
    </xdr:from>
    <xdr:to>
      <xdr:col>6</xdr:col>
      <xdr:colOff>1249680</xdr:colOff>
      <xdr:row>59</xdr:row>
      <xdr:rowOff>114300</xdr:rowOff>
    </xdr:to>
    <xdr:sp macro="" textlink="">
      <xdr:nvSpPr>
        <xdr:cNvPr id="57778" name="Drop Down 434" hidden="1">
          <a:extLst>
            <a:ext uri="{63B3BB69-23CF-44E3-9099-C40C66FF867C}">
              <a14:compatExt xmlns:a14="http://schemas.microsoft.com/office/drawing/2010/main" spid="_x0000_s57778"/>
            </a:ext>
            <a:ext uri="{FF2B5EF4-FFF2-40B4-BE49-F238E27FC236}">
              <a16:creationId xmlns:a16="http://schemas.microsoft.com/office/drawing/2014/main" id="{00000000-0008-0000-0600-0000B2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59</xdr:row>
      <xdr:rowOff>83820</xdr:rowOff>
    </xdr:from>
    <xdr:to>
      <xdr:col>6</xdr:col>
      <xdr:colOff>1249680</xdr:colOff>
      <xdr:row>59</xdr:row>
      <xdr:rowOff>304800</xdr:rowOff>
    </xdr:to>
    <xdr:sp macro="" textlink="">
      <xdr:nvSpPr>
        <xdr:cNvPr id="57779" name="Drop Down 435" hidden="1">
          <a:extLst>
            <a:ext uri="{63B3BB69-23CF-44E3-9099-C40C66FF867C}">
              <a14:compatExt xmlns:a14="http://schemas.microsoft.com/office/drawing/2010/main" spid="_x0000_s57779"/>
            </a:ext>
            <a:ext uri="{FF2B5EF4-FFF2-40B4-BE49-F238E27FC236}">
              <a16:creationId xmlns:a16="http://schemas.microsoft.com/office/drawing/2014/main" id="{00000000-0008-0000-0600-0000B3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60</xdr:row>
      <xdr:rowOff>83820</xdr:rowOff>
    </xdr:from>
    <xdr:to>
      <xdr:col>6</xdr:col>
      <xdr:colOff>1249680</xdr:colOff>
      <xdr:row>60</xdr:row>
      <xdr:rowOff>180975</xdr:rowOff>
    </xdr:to>
    <xdr:sp macro="" textlink="">
      <xdr:nvSpPr>
        <xdr:cNvPr id="57780" name="Drop Down 436" hidden="1">
          <a:extLst>
            <a:ext uri="{63B3BB69-23CF-44E3-9099-C40C66FF867C}">
              <a14:compatExt xmlns:a14="http://schemas.microsoft.com/office/drawing/2010/main" spid="_x0000_s57780"/>
            </a:ext>
            <a:ext uri="{FF2B5EF4-FFF2-40B4-BE49-F238E27FC236}">
              <a16:creationId xmlns:a16="http://schemas.microsoft.com/office/drawing/2014/main" id="{00000000-0008-0000-0600-0000B4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62</xdr:row>
      <xdr:rowOff>83820</xdr:rowOff>
    </xdr:from>
    <xdr:to>
      <xdr:col>6</xdr:col>
      <xdr:colOff>1249680</xdr:colOff>
      <xdr:row>62</xdr:row>
      <xdr:rowOff>304800</xdr:rowOff>
    </xdr:to>
    <xdr:sp macro="" textlink="">
      <xdr:nvSpPr>
        <xdr:cNvPr id="57781" name="Drop Down 437" hidden="1">
          <a:extLst>
            <a:ext uri="{63B3BB69-23CF-44E3-9099-C40C66FF867C}">
              <a14:compatExt xmlns:a14="http://schemas.microsoft.com/office/drawing/2010/main" spid="_x0000_s57781"/>
            </a:ext>
            <a:ext uri="{FF2B5EF4-FFF2-40B4-BE49-F238E27FC236}">
              <a16:creationId xmlns:a16="http://schemas.microsoft.com/office/drawing/2014/main" id="{00000000-0008-0000-0600-0000B5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63</xdr:row>
      <xdr:rowOff>83820</xdr:rowOff>
    </xdr:from>
    <xdr:to>
      <xdr:col>6</xdr:col>
      <xdr:colOff>1249680</xdr:colOff>
      <xdr:row>63</xdr:row>
      <xdr:rowOff>304800</xdr:rowOff>
    </xdr:to>
    <xdr:sp macro="" textlink="">
      <xdr:nvSpPr>
        <xdr:cNvPr id="57782" name="Drop Down 438" hidden="1">
          <a:extLst>
            <a:ext uri="{63B3BB69-23CF-44E3-9099-C40C66FF867C}">
              <a14:compatExt xmlns:a14="http://schemas.microsoft.com/office/drawing/2010/main" spid="_x0000_s57782"/>
            </a:ext>
            <a:ext uri="{FF2B5EF4-FFF2-40B4-BE49-F238E27FC236}">
              <a16:creationId xmlns:a16="http://schemas.microsoft.com/office/drawing/2014/main" id="{00000000-0008-0000-0600-0000B6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67</xdr:row>
      <xdr:rowOff>83820</xdr:rowOff>
    </xdr:from>
    <xdr:to>
      <xdr:col>6</xdr:col>
      <xdr:colOff>1249680</xdr:colOff>
      <xdr:row>68</xdr:row>
      <xdr:rowOff>114300</xdr:rowOff>
    </xdr:to>
    <xdr:sp macro="" textlink="">
      <xdr:nvSpPr>
        <xdr:cNvPr id="57783" name="Drop Down 439" hidden="1">
          <a:extLst>
            <a:ext uri="{63B3BB69-23CF-44E3-9099-C40C66FF867C}">
              <a14:compatExt xmlns:a14="http://schemas.microsoft.com/office/drawing/2010/main" spid="_x0000_s57783"/>
            </a:ext>
            <a:ext uri="{FF2B5EF4-FFF2-40B4-BE49-F238E27FC236}">
              <a16:creationId xmlns:a16="http://schemas.microsoft.com/office/drawing/2014/main" id="{00000000-0008-0000-0600-0000B7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68</xdr:row>
      <xdr:rowOff>83820</xdr:rowOff>
    </xdr:from>
    <xdr:to>
      <xdr:col>6</xdr:col>
      <xdr:colOff>1249680</xdr:colOff>
      <xdr:row>68</xdr:row>
      <xdr:rowOff>304800</xdr:rowOff>
    </xdr:to>
    <xdr:sp macro="" textlink="">
      <xdr:nvSpPr>
        <xdr:cNvPr id="57784" name="Drop Down 440" hidden="1">
          <a:extLst>
            <a:ext uri="{63B3BB69-23CF-44E3-9099-C40C66FF867C}">
              <a14:compatExt xmlns:a14="http://schemas.microsoft.com/office/drawing/2010/main" spid="_x0000_s57784"/>
            </a:ext>
            <a:ext uri="{FF2B5EF4-FFF2-40B4-BE49-F238E27FC236}">
              <a16:creationId xmlns:a16="http://schemas.microsoft.com/office/drawing/2014/main" id="{00000000-0008-0000-0600-0000B8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69</xdr:row>
      <xdr:rowOff>83820</xdr:rowOff>
    </xdr:from>
    <xdr:to>
      <xdr:col>6</xdr:col>
      <xdr:colOff>1249680</xdr:colOff>
      <xdr:row>69</xdr:row>
      <xdr:rowOff>304800</xdr:rowOff>
    </xdr:to>
    <xdr:sp macro="" textlink="">
      <xdr:nvSpPr>
        <xdr:cNvPr id="57785" name="Drop Down 441" hidden="1">
          <a:extLst>
            <a:ext uri="{63B3BB69-23CF-44E3-9099-C40C66FF867C}">
              <a14:compatExt xmlns:a14="http://schemas.microsoft.com/office/drawing/2010/main" spid="_x0000_s57785"/>
            </a:ext>
            <a:ext uri="{FF2B5EF4-FFF2-40B4-BE49-F238E27FC236}">
              <a16:creationId xmlns:a16="http://schemas.microsoft.com/office/drawing/2014/main" id="{00000000-0008-0000-0600-0000B9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73</xdr:row>
      <xdr:rowOff>83820</xdr:rowOff>
    </xdr:from>
    <xdr:to>
      <xdr:col>6</xdr:col>
      <xdr:colOff>1249680</xdr:colOff>
      <xdr:row>73</xdr:row>
      <xdr:rowOff>304800</xdr:rowOff>
    </xdr:to>
    <xdr:sp macro="" textlink="">
      <xdr:nvSpPr>
        <xdr:cNvPr id="57786" name="Drop Down 442" hidden="1">
          <a:extLst>
            <a:ext uri="{63B3BB69-23CF-44E3-9099-C40C66FF867C}">
              <a14:compatExt xmlns:a14="http://schemas.microsoft.com/office/drawing/2010/main" spid="_x0000_s57786"/>
            </a:ext>
            <a:ext uri="{FF2B5EF4-FFF2-40B4-BE49-F238E27FC236}">
              <a16:creationId xmlns:a16="http://schemas.microsoft.com/office/drawing/2014/main" id="{00000000-0008-0000-0600-0000BA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74</xdr:row>
      <xdr:rowOff>83820</xdr:rowOff>
    </xdr:from>
    <xdr:to>
      <xdr:col>6</xdr:col>
      <xdr:colOff>1249680</xdr:colOff>
      <xdr:row>75</xdr:row>
      <xdr:rowOff>114300</xdr:rowOff>
    </xdr:to>
    <xdr:sp macro="" textlink="">
      <xdr:nvSpPr>
        <xdr:cNvPr id="57787" name="Drop Down 443" hidden="1">
          <a:extLst>
            <a:ext uri="{63B3BB69-23CF-44E3-9099-C40C66FF867C}">
              <a14:compatExt xmlns:a14="http://schemas.microsoft.com/office/drawing/2010/main" spid="_x0000_s57787"/>
            </a:ext>
            <a:ext uri="{FF2B5EF4-FFF2-40B4-BE49-F238E27FC236}">
              <a16:creationId xmlns:a16="http://schemas.microsoft.com/office/drawing/2014/main" id="{00000000-0008-0000-0600-0000BB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75</xdr:row>
      <xdr:rowOff>83820</xdr:rowOff>
    </xdr:from>
    <xdr:to>
      <xdr:col>6</xdr:col>
      <xdr:colOff>1249680</xdr:colOff>
      <xdr:row>75</xdr:row>
      <xdr:rowOff>304800</xdr:rowOff>
    </xdr:to>
    <xdr:sp macro="" textlink="">
      <xdr:nvSpPr>
        <xdr:cNvPr id="57788" name="Drop Down 444" hidden="1">
          <a:extLst>
            <a:ext uri="{63B3BB69-23CF-44E3-9099-C40C66FF867C}">
              <a14:compatExt xmlns:a14="http://schemas.microsoft.com/office/drawing/2010/main" spid="_x0000_s57788"/>
            </a:ext>
            <a:ext uri="{FF2B5EF4-FFF2-40B4-BE49-F238E27FC236}">
              <a16:creationId xmlns:a16="http://schemas.microsoft.com/office/drawing/2014/main" id="{00000000-0008-0000-0600-0000BC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79</xdr:row>
      <xdr:rowOff>83820</xdr:rowOff>
    </xdr:from>
    <xdr:to>
      <xdr:col>6</xdr:col>
      <xdr:colOff>1249680</xdr:colOff>
      <xdr:row>79</xdr:row>
      <xdr:rowOff>304800</xdr:rowOff>
    </xdr:to>
    <xdr:sp macro="" textlink="">
      <xdr:nvSpPr>
        <xdr:cNvPr id="57789" name="Drop Down 445" hidden="1">
          <a:extLst>
            <a:ext uri="{63B3BB69-23CF-44E3-9099-C40C66FF867C}">
              <a14:compatExt xmlns:a14="http://schemas.microsoft.com/office/drawing/2010/main" spid="_x0000_s57789"/>
            </a:ext>
            <a:ext uri="{FF2B5EF4-FFF2-40B4-BE49-F238E27FC236}">
              <a16:creationId xmlns:a16="http://schemas.microsoft.com/office/drawing/2014/main" id="{00000000-0008-0000-0600-0000BD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80</xdr:row>
      <xdr:rowOff>83820</xdr:rowOff>
    </xdr:from>
    <xdr:to>
      <xdr:col>6</xdr:col>
      <xdr:colOff>1249680</xdr:colOff>
      <xdr:row>80</xdr:row>
      <xdr:rowOff>304800</xdr:rowOff>
    </xdr:to>
    <xdr:sp macro="" textlink="">
      <xdr:nvSpPr>
        <xdr:cNvPr id="57790" name="Drop Down 446" hidden="1">
          <a:extLst>
            <a:ext uri="{63B3BB69-23CF-44E3-9099-C40C66FF867C}">
              <a14:compatExt xmlns:a14="http://schemas.microsoft.com/office/drawing/2010/main" spid="_x0000_s57790"/>
            </a:ext>
            <a:ext uri="{FF2B5EF4-FFF2-40B4-BE49-F238E27FC236}">
              <a16:creationId xmlns:a16="http://schemas.microsoft.com/office/drawing/2014/main" id="{00000000-0008-0000-0600-0000BE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81</xdr:row>
      <xdr:rowOff>83820</xdr:rowOff>
    </xdr:from>
    <xdr:to>
      <xdr:col>6</xdr:col>
      <xdr:colOff>1249680</xdr:colOff>
      <xdr:row>82</xdr:row>
      <xdr:rowOff>114300</xdr:rowOff>
    </xdr:to>
    <xdr:sp macro="" textlink="">
      <xdr:nvSpPr>
        <xdr:cNvPr id="57791" name="Drop Down 447" hidden="1">
          <a:extLst>
            <a:ext uri="{63B3BB69-23CF-44E3-9099-C40C66FF867C}">
              <a14:compatExt xmlns:a14="http://schemas.microsoft.com/office/drawing/2010/main" spid="_x0000_s57791"/>
            </a:ext>
            <a:ext uri="{FF2B5EF4-FFF2-40B4-BE49-F238E27FC236}">
              <a16:creationId xmlns:a16="http://schemas.microsoft.com/office/drawing/2014/main" id="{00000000-0008-0000-0600-0000BF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83</xdr:row>
      <xdr:rowOff>83820</xdr:rowOff>
    </xdr:from>
    <xdr:to>
      <xdr:col>6</xdr:col>
      <xdr:colOff>1249680</xdr:colOff>
      <xdr:row>84</xdr:row>
      <xdr:rowOff>114300</xdr:rowOff>
    </xdr:to>
    <xdr:sp macro="" textlink="">
      <xdr:nvSpPr>
        <xdr:cNvPr id="57792" name="Drop Down 448" hidden="1">
          <a:extLst>
            <a:ext uri="{63B3BB69-23CF-44E3-9099-C40C66FF867C}">
              <a14:compatExt xmlns:a14="http://schemas.microsoft.com/office/drawing/2010/main" spid="_x0000_s57792"/>
            </a:ext>
            <a:ext uri="{FF2B5EF4-FFF2-40B4-BE49-F238E27FC236}">
              <a16:creationId xmlns:a16="http://schemas.microsoft.com/office/drawing/2014/main" id="{00000000-0008-0000-0600-0000C0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84</xdr:row>
      <xdr:rowOff>83820</xdr:rowOff>
    </xdr:from>
    <xdr:to>
      <xdr:col>6</xdr:col>
      <xdr:colOff>1249680</xdr:colOff>
      <xdr:row>84</xdr:row>
      <xdr:rowOff>304800</xdr:rowOff>
    </xdr:to>
    <xdr:sp macro="" textlink="">
      <xdr:nvSpPr>
        <xdr:cNvPr id="57793" name="Drop Down 449" hidden="1">
          <a:extLst>
            <a:ext uri="{63B3BB69-23CF-44E3-9099-C40C66FF867C}">
              <a14:compatExt xmlns:a14="http://schemas.microsoft.com/office/drawing/2010/main" spid="_x0000_s57793"/>
            </a:ext>
            <a:ext uri="{FF2B5EF4-FFF2-40B4-BE49-F238E27FC236}">
              <a16:creationId xmlns:a16="http://schemas.microsoft.com/office/drawing/2014/main" id="{00000000-0008-0000-0600-0000C1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88</xdr:row>
      <xdr:rowOff>83820</xdr:rowOff>
    </xdr:from>
    <xdr:to>
      <xdr:col>6</xdr:col>
      <xdr:colOff>1249680</xdr:colOff>
      <xdr:row>88</xdr:row>
      <xdr:rowOff>304800</xdr:rowOff>
    </xdr:to>
    <xdr:sp macro="" textlink="">
      <xdr:nvSpPr>
        <xdr:cNvPr id="57794" name="Drop Down 450" hidden="1">
          <a:extLst>
            <a:ext uri="{63B3BB69-23CF-44E3-9099-C40C66FF867C}">
              <a14:compatExt xmlns:a14="http://schemas.microsoft.com/office/drawing/2010/main" spid="_x0000_s57794"/>
            </a:ext>
            <a:ext uri="{FF2B5EF4-FFF2-40B4-BE49-F238E27FC236}">
              <a16:creationId xmlns:a16="http://schemas.microsoft.com/office/drawing/2014/main" id="{00000000-0008-0000-0600-0000C2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89</xdr:row>
      <xdr:rowOff>83820</xdr:rowOff>
    </xdr:from>
    <xdr:to>
      <xdr:col>6</xdr:col>
      <xdr:colOff>1249680</xdr:colOff>
      <xdr:row>89</xdr:row>
      <xdr:rowOff>304800</xdr:rowOff>
    </xdr:to>
    <xdr:sp macro="" textlink="">
      <xdr:nvSpPr>
        <xdr:cNvPr id="57795" name="Drop Down 451" hidden="1">
          <a:extLst>
            <a:ext uri="{63B3BB69-23CF-44E3-9099-C40C66FF867C}">
              <a14:compatExt xmlns:a14="http://schemas.microsoft.com/office/drawing/2010/main" spid="_x0000_s57795"/>
            </a:ext>
            <a:ext uri="{FF2B5EF4-FFF2-40B4-BE49-F238E27FC236}">
              <a16:creationId xmlns:a16="http://schemas.microsoft.com/office/drawing/2014/main" id="{00000000-0008-0000-0600-0000C3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90</xdr:row>
      <xdr:rowOff>83820</xdr:rowOff>
    </xdr:from>
    <xdr:to>
      <xdr:col>6</xdr:col>
      <xdr:colOff>1249680</xdr:colOff>
      <xdr:row>90</xdr:row>
      <xdr:rowOff>180975</xdr:rowOff>
    </xdr:to>
    <xdr:sp macro="" textlink="">
      <xdr:nvSpPr>
        <xdr:cNvPr id="57796" name="Drop Down 452" hidden="1">
          <a:extLst>
            <a:ext uri="{63B3BB69-23CF-44E3-9099-C40C66FF867C}">
              <a14:compatExt xmlns:a14="http://schemas.microsoft.com/office/drawing/2010/main" spid="_x0000_s57796"/>
            </a:ext>
            <a:ext uri="{FF2B5EF4-FFF2-40B4-BE49-F238E27FC236}">
              <a16:creationId xmlns:a16="http://schemas.microsoft.com/office/drawing/2014/main" id="{00000000-0008-0000-0600-0000C4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94</xdr:row>
      <xdr:rowOff>83820</xdr:rowOff>
    </xdr:from>
    <xdr:to>
      <xdr:col>6</xdr:col>
      <xdr:colOff>1249680</xdr:colOff>
      <xdr:row>94</xdr:row>
      <xdr:rowOff>304800</xdr:rowOff>
    </xdr:to>
    <xdr:sp macro="" textlink="">
      <xdr:nvSpPr>
        <xdr:cNvPr id="57797" name="Drop Down 453" hidden="1">
          <a:extLst>
            <a:ext uri="{63B3BB69-23CF-44E3-9099-C40C66FF867C}">
              <a14:compatExt xmlns:a14="http://schemas.microsoft.com/office/drawing/2010/main" spid="_x0000_s57797"/>
            </a:ext>
            <a:ext uri="{FF2B5EF4-FFF2-40B4-BE49-F238E27FC236}">
              <a16:creationId xmlns:a16="http://schemas.microsoft.com/office/drawing/2014/main" id="{00000000-0008-0000-0600-0000C5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95</xdr:row>
      <xdr:rowOff>83820</xdr:rowOff>
    </xdr:from>
    <xdr:to>
      <xdr:col>6</xdr:col>
      <xdr:colOff>1249680</xdr:colOff>
      <xdr:row>96</xdr:row>
      <xdr:rowOff>114300</xdr:rowOff>
    </xdr:to>
    <xdr:sp macro="" textlink="">
      <xdr:nvSpPr>
        <xdr:cNvPr id="57798" name="Drop Down 454" hidden="1">
          <a:extLst>
            <a:ext uri="{63B3BB69-23CF-44E3-9099-C40C66FF867C}">
              <a14:compatExt xmlns:a14="http://schemas.microsoft.com/office/drawing/2010/main" spid="_x0000_s57798"/>
            </a:ext>
            <a:ext uri="{FF2B5EF4-FFF2-40B4-BE49-F238E27FC236}">
              <a16:creationId xmlns:a16="http://schemas.microsoft.com/office/drawing/2014/main" id="{00000000-0008-0000-0600-0000C6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97</xdr:row>
      <xdr:rowOff>83820</xdr:rowOff>
    </xdr:from>
    <xdr:to>
      <xdr:col>6</xdr:col>
      <xdr:colOff>1249680</xdr:colOff>
      <xdr:row>97</xdr:row>
      <xdr:rowOff>304800</xdr:rowOff>
    </xdr:to>
    <xdr:sp macro="" textlink="">
      <xdr:nvSpPr>
        <xdr:cNvPr id="57799" name="Drop Down 455" hidden="1">
          <a:extLst>
            <a:ext uri="{63B3BB69-23CF-44E3-9099-C40C66FF867C}">
              <a14:compatExt xmlns:a14="http://schemas.microsoft.com/office/drawing/2010/main" spid="_x0000_s57799"/>
            </a:ext>
            <a:ext uri="{FF2B5EF4-FFF2-40B4-BE49-F238E27FC236}">
              <a16:creationId xmlns:a16="http://schemas.microsoft.com/office/drawing/2014/main" id="{00000000-0008-0000-0600-0000C7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98</xdr:row>
      <xdr:rowOff>83820</xdr:rowOff>
    </xdr:from>
    <xdr:to>
      <xdr:col>6</xdr:col>
      <xdr:colOff>1249680</xdr:colOff>
      <xdr:row>99</xdr:row>
      <xdr:rowOff>114300</xdr:rowOff>
    </xdr:to>
    <xdr:sp macro="" textlink="">
      <xdr:nvSpPr>
        <xdr:cNvPr id="57800" name="Drop Down 456" hidden="1">
          <a:extLst>
            <a:ext uri="{63B3BB69-23CF-44E3-9099-C40C66FF867C}">
              <a14:compatExt xmlns:a14="http://schemas.microsoft.com/office/drawing/2010/main" spid="_x0000_s57800"/>
            </a:ext>
            <a:ext uri="{FF2B5EF4-FFF2-40B4-BE49-F238E27FC236}">
              <a16:creationId xmlns:a16="http://schemas.microsoft.com/office/drawing/2014/main" id="{00000000-0008-0000-0600-0000C8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99</xdr:row>
      <xdr:rowOff>83820</xdr:rowOff>
    </xdr:from>
    <xdr:to>
      <xdr:col>6</xdr:col>
      <xdr:colOff>1249680</xdr:colOff>
      <xdr:row>100</xdr:row>
      <xdr:rowOff>114300</xdr:rowOff>
    </xdr:to>
    <xdr:sp macro="" textlink="">
      <xdr:nvSpPr>
        <xdr:cNvPr id="57801" name="Drop Down 457" hidden="1">
          <a:extLst>
            <a:ext uri="{63B3BB69-23CF-44E3-9099-C40C66FF867C}">
              <a14:compatExt xmlns:a14="http://schemas.microsoft.com/office/drawing/2010/main" spid="_x0000_s57801"/>
            </a:ext>
            <a:ext uri="{FF2B5EF4-FFF2-40B4-BE49-F238E27FC236}">
              <a16:creationId xmlns:a16="http://schemas.microsoft.com/office/drawing/2014/main" id="{00000000-0008-0000-0600-0000C9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100</xdr:row>
      <xdr:rowOff>83820</xdr:rowOff>
    </xdr:from>
    <xdr:to>
      <xdr:col>6</xdr:col>
      <xdr:colOff>1249680</xdr:colOff>
      <xdr:row>101</xdr:row>
      <xdr:rowOff>114300</xdr:rowOff>
    </xdr:to>
    <xdr:sp macro="" textlink="">
      <xdr:nvSpPr>
        <xdr:cNvPr id="57802" name="Drop Down 458" hidden="1">
          <a:extLst>
            <a:ext uri="{63B3BB69-23CF-44E3-9099-C40C66FF867C}">
              <a14:compatExt xmlns:a14="http://schemas.microsoft.com/office/drawing/2010/main" spid="_x0000_s57802"/>
            </a:ext>
            <a:ext uri="{FF2B5EF4-FFF2-40B4-BE49-F238E27FC236}">
              <a16:creationId xmlns:a16="http://schemas.microsoft.com/office/drawing/2014/main" id="{00000000-0008-0000-0600-0000CA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102</xdr:row>
      <xdr:rowOff>83820</xdr:rowOff>
    </xdr:from>
    <xdr:to>
      <xdr:col>6</xdr:col>
      <xdr:colOff>1249680</xdr:colOff>
      <xdr:row>102</xdr:row>
      <xdr:rowOff>304800</xdr:rowOff>
    </xdr:to>
    <xdr:sp macro="" textlink="">
      <xdr:nvSpPr>
        <xdr:cNvPr id="57803" name="Drop Down 459" hidden="1">
          <a:extLst>
            <a:ext uri="{63B3BB69-23CF-44E3-9099-C40C66FF867C}">
              <a14:compatExt xmlns:a14="http://schemas.microsoft.com/office/drawing/2010/main" spid="_x0000_s57803"/>
            </a:ext>
            <a:ext uri="{FF2B5EF4-FFF2-40B4-BE49-F238E27FC236}">
              <a16:creationId xmlns:a16="http://schemas.microsoft.com/office/drawing/2014/main" id="{00000000-0008-0000-0600-0000CB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103</xdr:row>
      <xdr:rowOff>83820</xdr:rowOff>
    </xdr:from>
    <xdr:to>
      <xdr:col>6</xdr:col>
      <xdr:colOff>1249680</xdr:colOff>
      <xdr:row>103</xdr:row>
      <xdr:rowOff>304800</xdr:rowOff>
    </xdr:to>
    <xdr:sp macro="" textlink="">
      <xdr:nvSpPr>
        <xdr:cNvPr id="57804" name="Drop Down 460" hidden="1">
          <a:extLst>
            <a:ext uri="{63B3BB69-23CF-44E3-9099-C40C66FF867C}">
              <a14:compatExt xmlns:a14="http://schemas.microsoft.com/office/drawing/2010/main" spid="_x0000_s57804"/>
            </a:ext>
            <a:ext uri="{FF2B5EF4-FFF2-40B4-BE49-F238E27FC236}">
              <a16:creationId xmlns:a16="http://schemas.microsoft.com/office/drawing/2014/main" id="{00000000-0008-0000-0600-0000CC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104</xdr:row>
      <xdr:rowOff>83820</xdr:rowOff>
    </xdr:from>
    <xdr:to>
      <xdr:col>6</xdr:col>
      <xdr:colOff>1249680</xdr:colOff>
      <xdr:row>104</xdr:row>
      <xdr:rowOff>304800</xdr:rowOff>
    </xdr:to>
    <xdr:sp macro="" textlink="">
      <xdr:nvSpPr>
        <xdr:cNvPr id="57805" name="Drop Down 461" hidden="1">
          <a:extLst>
            <a:ext uri="{63B3BB69-23CF-44E3-9099-C40C66FF867C}">
              <a14:compatExt xmlns:a14="http://schemas.microsoft.com/office/drawing/2010/main" spid="_x0000_s57805"/>
            </a:ext>
            <a:ext uri="{FF2B5EF4-FFF2-40B4-BE49-F238E27FC236}">
              <a16:creationId xmlns:a16="http://schemas.microsoft.com/office/drawing/2014/main" id="{00000000-0008-0000-0600-0000CD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105</xdr:row>
      <xdr:rowOff>83820</xdr:rowOff>
    </xdr:from>
    <xdr:to>
      <xdr:col>6</xdr:col>
      <xdr:colOff>1249680</xdr:colOff>
      <xdr:row>105</xdr:row>
      <xdr:rowOff>304800</xdr:rowOff>
    </xdr:to>
    <xdr:sp macro="" textlink="">
      <xdr:nvSpPr>
        <xdr:cNvPr id="57806" name="Drop Down 462" hidden="1">
          <a:extLst>
            <a:ext uri="{63B3BB69-23CF-44E3-9099-C40C66FF867C}">
              <a14:compatExt xmlns:a14="http://schemas.microsoft.com/office/drawing/2010/main" spid="_x0000_s57806"/>
            </a:ext>
            <a:ext uri="{FF2B5EF4-FFF2-40B4-BE49-F238E27FC236}">
              <a16:creationId xmlns:a16="http://schemas.microsoft.com/office/drawing/2014/main" id="{00000000-0008-0000-0600-0000CE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107</xdr:row>
      <xdr:rowOff>83820</xdr:rowOff>
    </xdr:from>
    <xdr:to>
      <xdr:col>6</xdr:col>
      <xdr:colOff>1249680</xdr:colOff>
      <xdr:row>107</xdr:row>
      <xdr:rowOff>304800</xdr:rowOff>
    </xdr:to>
    <xdr:sp macro="" textlink="">
      <xdr:nvSpPr>
        <xdr:cNvPr id="57807" name="Drop Down 463" hidden="1">
          <a:extLst>
            <a:ext uri="{63B3BB69-23CF-44E3-9099-C40C66FF867C}">
              <a14:compatExt xmlns:a14="http://schemas.microsoft.com/office/drawing/2010/main" spid="_x0000_s57807"/>
            </a:ext>
            <a:ext uri="{FF2B5EF4-FFF2-40B4-BE49-F238E27FC236}">
              <a16:creationId xmlns:a16="http://schemas.microsoft.com/office/drawing/2014/main" id="{00000000-0008-0000-0600-0000CF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108</xdr:row>
      <xdr:rowOff>83820</xdr:rowOff>
    </xdr:from>
    <xdr:to>
      <xdr:col>6</xdr:col>
      <xdr:colOff>1249680</xdr:colOff>
      <xdr:row>108</xdr:row>
      <xdr:rowOff>304800</xdr:rowOff>
    </xdr:to>
    <xdr:sp macro="" textlink="">
      <xdr:nvSpPr>
        <xdr:cNvPr id="57808" name="Drop Down 464" hidden="1">
          <a:extLst>
            <a:ext uri="{63B3BB69-23CF-44E3-9099-C40C66FF867C}">
              <a14:compatExt xmlns:a14="http://schemas.microsoft.com/office/drawing/2010/main" spid="_x0000_s57808"/>
            </a:ext>
            <a:ext uri="{FF2B5EF4-FFF2-40B4-BE49-F238E27FC236}">
              <a16:creationId xmlns:a16="http://schemas.microsoft.com/office/drawing/2014/main" id="{00000000-0008-0000-0600-0000D0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112</xdr:row>
      <xdr:rowOff>83820</xdr:rowOff>
    </xdr:from>
    <xdr:to>
      <xdr:col>6</xdr:col>
      <xdr:colOff>1249680</xdr:colOff>
      <xdr:row>112</xdr:row>
      <xdr:rowOff>304800</xdr:rowOff>
    </xdr:to>
    <xdr:sp macro="" textlink="">
      <xdr:nvSpPr>
        <xdr:cNvPr id="57809" name="Drop Down 465" hidden="1">
          <a:extLst>
            <a:ext uri="{63B3BB69-23CF-44E3-9099-C40C66FF867C}">
              <a14:compatExt xmlns:a14="http://schemas.microsoft.com/office/drawing/2010/main" spid="_x0000_s57809"/>
            </a:ext>
            <a:ext uri="{FF2B5EF4-FFF2-40B4-BE49-F238E27FC236}">
              <a16:creationId xmlns:a16="http://schemas.microsoft.com/office/drawing/2014/main" id="{00000000-0008-0000-0600-0000D1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113</xdr:row>
      <xdr:rowOff>83820</xdr:rowOff>
    </xdr:from>
    <xdr:to>
      <xdr:col>6</xdr:col>
      <xdr:colOff>1249680</xdr:colOff>
      <xdr:row>113</xdr:row>
      <xdr:rowOff>304800</xdr:rowOff>
    </xdr:to>
    <xdr:sp macro="" textlink="">
      <xdr:nvSpPr>
        <xdr:cNvPr id="57810" name="Drop Down 466" hidden="1">
          <a:extLst>
            <a:ext uri="{63B3BB69-23CF-44E3-9099-C40C66FF867C}">
              <a14:compatExt xmlns:a14="http://schemas.microsoft.com/office/drawing/2010/main" spid="_x0000_s57810"/>
            </a:ext>
            <a:ext uri="{FF2B5EF4-FFF2-40B4-BE49-F238E27FC236}">
              <a16:creationId xmlns:a16="http://schemas.microsoft.com/office/drawing/2014/main" id="{00000000-0008-0000-0600-0000D2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118</xdr:row>
      <xdr:rowOff>83820</xdr:rowOff>
    </xdr:from>
    <xdr:to>
      <xdr:col>6</xdr:col>
      <xdr:colOff>1249680</xdr:colOff>
      <xdr:row>118</xdr:row>
      <xdr:rowOff>304800</xdr:rowOff>
    </xdr:to>
    <xdr:sp macro="" textlink="">
      <xdr:nvSpPr>
        <xdr:cNvPr id="57811" name="Drop Down 467" hidden="1">
          <a:extLst>
            <a:ext uri="{63B3BB69-23CF-44E3-9099-C40C66FF867C}">
              <a14:compatExt xmlns:a14="http://schemas.microsoft.com/office/drawing/2010/main" spid="_x0000_s57811"/>
            </a:ext>
            <a:ext uri="{FF2B5EF4-FFF2-40B4-BE49-F238E27FC236}">
              <a16:creationId xmlns:a16="http://schemas.microsoft.com/office/drawing/2014/main" id="{00000000-0008-0000-0600-0000D3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119</xdr:row>
      <xdr:rowOff>83820</xdr:rowOff>
    </xdr:from>
    <xdr:to>
      <xdr:col>6</xdr:col>
      <xdr:colOff>1249680</xdr:colOff>
      <xdr:row>119</xdr:row>
      <xdr:rowOff>304800</xdr:rowOff>
    </xdr:to>
    <xdr:sp macro="" textlink="">
      <xdr:nvSpPr>
        <xdr:cNvPr id="57812" name="Drop Down 468" hidden="1">
          <a:extLst>
            <a:ext uri="{63B3BB69-23CF-44E3-9099-C40C66FF867C}">
              <a14:compatExt xmlns:a14="http://schemas.microsoft.com/office/drawing/2010/main" spid="_x0000_s57812"/>
            </a:ext>
            <a:ext uri="{FF2B5EF4-FFF2-40B4-BE49-F238E27FC236}">
              <a16:creationId xmlns:a16="http://schemas.microsoft.com/office/drawing/2014/main" id="{00000000-0008-0000-0600-0000D4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120</xdr:row>
      <xdr:rowOff>83820</xdr:rowOff>
    </xdr:from>
    <xdr:to>
      <xdr:col>6</xdr:col>
      <xdr:colOff>1249680</xdr:colOff>
      <xdr:row>120</xdr:row>
      <xdr:rowOff>304800</xdr:rowOff>
    </xdr:to>
    <xdr:sp macro="" textlink="">
      <xdr:nvSpPr>
        <xdr:cNvPr id="57813" name="Drop Down 469" hidden="1">
          <a:extLst>
            <a:ext uri="{63B3BB69-23CF-44E3-9099-C40C66FF867C}">
              <a14:compatExt xmlns:a14="http://schemas.microsoft.com/office/drawing/2010/main" spid="_x0000_s57813"/>
            </a:ext>
            <a:ext uri="{FF2B5EF4-FFF2-40B4-BE49-F238E27FC236}">
              <a16:creationId xmlns:a16="http://schemas.microsoft.com/office/drawing/2014/main" id="{00000000-0008-0000-0600-0000D5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121</xdr:row>
      <xdr:rowOff>83820</xdr:rowOff>
    </xdr:from>
    <xdr:to>
      <xdr:col>6</xdr:col>
      <xdr:colOff>1249680</xdr:colOff>
      <xdr:row>121</xdr:row>
      <xdr:rowOff>304800</xdr:rowOff>
    </xdr:to>
    <xdr:sp macro="" textlink="">
      <xdr:nvSpPr>
        <xdr:cNvPr id="57814" name="Drop Down 470" hidden="1">
          <a:extLst>
            <a:ext uri="{63B3BB69-23CF-44E3-9099-C40C66FF867C}">
              <a14:compatExt xmlns:a14="http://schemas.microsoft.com/office/drawing/2010/main" spid="_x0000_s57814"/>
            </a:ext>
            <a:ext uri="{FF2B5EF4-FFF2-40B4-BE49-F238E27FC236}">
              <a16:creationId xmlns:a16="http://schemas.microsoft.com/office/drawing/2014/main" id="{00000000-0008-0000-0600-0000D6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123</xdr:row>
      <xdr:rowOff>83820</xdr:rowOff>
    </xdr:from>
    <xdr:to>
      <xdr:col>6</xdr:col>
      <xdr:colOff>1249680</xdr:colOff>
      <xdr:row>123</xdr:row>
      <xdr:rowOff>304800</xdr:rowOff>
    </xdr:to>
    <xdr:sp macro="" textlink="">
      <xdr:nvSpPr>
        <xdr:cNvPr id="57815" name="Drop Down 471" hidden="1">
          <a:extLst>
            <a:ext uri="{63B3BB69-23CF-44E3-9099-C40C66FF867C}">
              <a14:compatExt xmlns:a14="http://schemas.microsoft.com/office/drawing/2010/main" spid="_x0000_s57815"/>
            </a:ext>
            <a:ext uri="{FF2B5EF4-FFF2-40B4-BE49-F238E27FC236}">
              <a16:creationId xmlns:a16="http://schemas.microsoft.com/office/drawing/2014/main" id="{00000000-0008-0000-0600-0000D7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124</xdr:row>
      <xdr:rowOff>83820</xdr:rowOff>
    </xdr:from>
    <xdr:to>
      <xdr:col>6</xdr:col>
      <xdr:colOff>1249680</xdr:colOff>
      <xdr:row>124</xdr:row>
      <xdr:rowOff>304800</xdr:rowOff>
    </xdr:to>
    <xdr:sp macro="" textlink="">
      <xdr:nvSpPr>
        <xdr:cNvPr id="57816" name="Drop Down 472" hidden="1">
          <a:extLst>
            <a:ext uri="{63B3BB69-23CF-44E3-9099-C40C66FF867C}">
              <a14:compatExt xmlns:a14="http://schemas.microsoft.com/office/drawing/2010/main" spid="_x0000_s57816"/>
            </a:ext>
            <a:ext uri="{FF2B5EF4-FFF2-40B4-BE49-F238E27FC236}">
              <a16:creationId xmlns:a16="http://schemas.microsoft.com/office/drawing/2014/main" id="{00000000-0008-0000-0600-0000D8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125</xdr:row>
      <xdr:rowOff>83820</xdr:rowOff>
    </xdr:from>
    <xdr:to>
      <xdr:col>6</xdr:col>
      <xdr:colOff>1249680</xdr:colOff>
      <xdr:row>125</xdr:row>
      <xdr:rowOff>304800</xdr:rowOff>
    </xdr:to>
    <xdr:sp macro="" textlink="">
      <xdr:nvSpPr>
        <xdr:cNvPr id="57817" name="Drop Down 473" hidden="1">
          <a:extLst>
            <a:ext uri="{63B3BB69-23CF-44E3-9099-C40C66FF867C}">
              <a14:compatExt xmlns:a14="http://schemas.microsoft.com/office/drawing/2010/main" spid="_x0000_s57817"/>
            </a:ext>
            <a:ext uri="{FF2B5EF4-FFF2-40B4-BE49-F238E27FC236}">
              <a16:creationId xmlns:a16="http://schemas.microsoft.com/office/drawing/2014/main" id="{00000000-0008-0000-0600-0000D9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126</xdr:row>
      <xdr:rowOff>83820</xdr:rowOff>
    </xdr:from>
    <xdr:to>
      <xdr:col>6</xdr:col>
      <xdr:colOff>1249680</xdr:colOff>
      <xdr:row>126</xdr:row>
      <xdr:rowOff>304800</xdr:rowOff>
    </xdr:to>
    <xdr:sp macro="" textlink="">
      <xdr:nvSpPr>
        <xdr:cNvPr id="57818" name="Drop Down 474" hidden="1">
          <a:extLst>
            <a:ext uri="{63B3BB69-23CF-44E3-9099-C40C66FF867C}">
              <a14:compatExt xmlns:a14="http://schemas.microsoft.com/office/drawing/2010/main" spid="_x0000_s57818"/>
            </a:ext>
            <a:ext uri="{FF2B5EF4-FFF2-40B4-BE49-F238E27FC236}">
              <a16:creationId xmlns:a16="http://schemas.microsoft.com/office/drawing/2014/main" id="{00000000-0008-0000-0600-0000DA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130</xdr:row>
      <xdr:rowOff>83820</xdr:rowOff>
    </xdr:from>
    <xdr:to>
      <xdr:col>6</xdr:col>
      <xdr:colOff>1249680</xdr:colOff>
      <xdr:row>130</xdr:row>
      <xdr:rowOff>304800</xdr:rowOff>
    </xdr:to>
    <xdr:sp macro="" textlink="">
      <xdr:nvSpPr>
        <xdr:cNvPr id="57819" name="Drop Down 475" hidden="1">
          <a:extLst>
            <a:ext uri="{63B3BB69-23CF-44E3-9099-C40C66FF867C}">
              <a14:compatExt xmlns:a14="http://schemas.microsoft.com/office/drawing/2010/main" spid="_x0000_s57819"/>
            </a:ext>
            <a:ext uri="{FF2B5EF4-FFF2-40B4-BE49-F238E27FC236}">
              <a16:creationId xmlns:a16="http://schemas.microsoft.com/office/drawing/2014/main" id="{00000000-0008-0000-0600-0000DB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131</xdr:row>
      <xdr:rowOff>83820</xdr:rowOff>
    </xdr:from>
    <xdr:to>
      <xdr:col>6</xdr:col>
      <xdr:colOff>1249680</xdr:colOff>
      <xdr:row>131</xdr:row>
      <xdr:rowOff>304800</xdr:rowOff>
    </xdr:to>
    <xdr:sp macro="" textlink="">
      <xdr:nvSpPr>
        <xdr:cNvPr id="57820" name="Drop Down 476" hidden="1">
          <a:extLst>
            <a:ext uri="{63B3BB69-23CF-44E3-9099-C40C66FF867C}">
              <a14:compatExt xmlns:a14="http://schemas.microsoft.com/office/drawing/2010/main" spid="_x0000_s57820"/>
            </a:ext>
            <a:ext uri="{FF2B5EF4-FFF2-40B4-BE49-F238E27FC236}">
              <a16:creationId xmlns:a16="http://schemas.microsoft.com/office/drawing/2014/main" id="{00000000-0008-0000-0600-0000DC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132</xdr:row>
      <xdr:rowOff>83820</xdr:rowOff>
    </xdr:from>
    <xdr:to>
      <xdr:col>6</xdr:col>
      <xdr:colOff>1249680</xdr:colOff>
      <xdr:row>132</xdr:row>
      <xdr:rowOff>304800</xdr:rowOff>
    </xdr:to>
    <xdr:sp macro="" textlink="">
      <xdr:nvSpPr>
        <xdr:cNvPr id="57821" name="Drop Down 477" hidden="1">
          <a:extLst>
            <a:ext uri="{63B3BB69-23CF-44E3-9099-C40C66FF867C}">
              <a14:compatExt xmlns:a14="http://schemas.microsoft.com/office/drawing/2010/main" spid="_x0000_s57821"/>
            </a:ext>
            <a:ext uri="{FF2B5EF4-FFF2-40B4-BE49-F238E27FC236}">
              <a16:creationId xmlns:a16="http://schemas.microsoft.com/office/drawing/2014/main" id="{00000000-0008-0000-0600-0000DD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133</xdr:row>
      <xdr:rowOff>83820</xdr:rowOff>
    </xdr:from>
    <xdr:to>
      <xdr:col>6</xdr:col>
      <xdr:colOff>1249680</xdr:colOff>
      <xdr:row>133</xdr:row>
      <xdr:rowOff>304800</xdr:rowOff>
    </xdr:to>
    <xdr:sp macro="" textlink="">
      <xdr:nvSpPr>
        <xdr:cNvPr id="57822" name="Drop Down 478" hidden="1">
          <a:extLst>
            <a:ext uri="{63B3BB69-23CF-44E3-9099-C40C66FF867C}">
              <a14:compatExt xmlns:a14="http://schemas.microsoft.com/office/drawing/2010/main" spid="_x0000_s57822"/>
            </a:ext>
            <a:ext uri="{FF2B5EF4-FFF2-40B4-BE49-F238E27FC236}">
              <a16:creationId xmlns:a16="http://schemas.microsoft.com/office/drawing/2014/main" id="{00000000-0008-0000-0600-0000DE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134</xdr:row>
      <xdr:rowOff>83820</xdr:rowOff>
    </xdr:from>
    <xdr:to>
      <xdr:col>6</xdr:col>
      <xdr:colOff>1249680</xdr:colOff>
      <xdr:row>134</xdr:row>
      <xdr:rowOff>304800</xdr:rowOff>
    </xdr:to>
    <xdr:sp macro="" textlink="">
      <xdr:nvSpPr>
        <xdr:cNvPr id="57823" name="Drop Down 479" hidden="1">
          <a:extLst>
            <a:ext uri="{63B3BB69-23CF-44E3-9099-C40C66FF867C}">
              <a14:compatExt xmlns:a14="http://schemas.microsoft.com/office/drawing/2010/main" spid="_x0000_s57823"/>
            </a:ext>
            <a:ext uri="{FF2B5EF4-FFF2-40B4-BE49-F238E27FC236}">
              <a16:creationId xmlns:a16="http://schemas.microsoft.com/office/drawing/2014/main" id="{00000000-0008-0000-0600-0000DF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135</xdr:row>
      <xdr:rowOff>83820</xdr:rowOff>
    </xdr:from>
    <xdr:to>
      <xdr:col>6</xdr:col>
      <xdr:colOff>1249680</xdr:colOff>
      <xdr:row>135</xdr:row>
      <xdr:rowOff>304800</xdr:rowOff>
    </xdr:to>
    <xdr:sp macro="" textlink="">
      <xdr:nvSpPr>
        <xdr:cNvPr id="57824" name="Drop Down 480" hidden="1">
          <a:extLst>
            <a:ext uri="{63B3BB69-23CF-44E3-9099-C40C66FF867C}">
              <a14:compatExt xmlns:a14="http://schemas.microsoft.com/office/drawing/2010/main" spid="_x0000_s57824"/>
            </a:ext>
            <a:ext uri="{FF2B5EF4-FFF2-40B4-BE49-F238E27FC236}">
              <a16:creationId xmlns:a16="http://schemas.microsoft.com/office/drawing/2014/main" id="{00000000-0008-0000-0600-0000E0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136</xdr:row>
      <xdr:rowOff>83820</xdr:rowOff>
    </xdr:from>
    <xdr:to>
      <xdr:col>6</xdr:col>
      <xdr:colOff>1249680</xdr:colOff>
      <xdr:row>136</xdr:row>
      <xdr:rowOff>304800</xdr:rowOff>
    </xdr:to>
    <xdr:sp macro="" textlink="">
      <xdr:nvSpPr>
        <xdr:cNvPr id="57825" name="Drop Down 481" hidden="1">
          <a:extLst>
            <a:ext uri="{63B3BB69-23CF-44E3-9099-C40C66FF867C}">
              <a14:compatExt xmlns:a14="http://schemas.microsoft.com/office/drawing/2010/main" spid="_x0000_s57825"/>
            </a:ext>
            <a:ext uri="{FF2B5EF4-FFF2-40B4-BE49-F238E27FC236}">
              <a16:creationId xmlns:a16="http://schemas.microsoft.com/office/drawing/2014/main" id="{00000000-0008-0000-0600-0000E1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138</xdr:row>
      <xdr:rowOff>83820</xdr:rowOff>
    </xdr:from>
    <xdr:to>
      <xdr:col>6</xdr:col>
      <xdr:colOff>1249680</xdr:colOff>
      <xdr:row>138</xdr:row>
      <xdr:rowOff>304800</xdr:rowOff>
    </xdr:to>
    <xdr:sp macro="" textlink="">
      <xdr:nvSpPr>
        <xdr:cNvPr id="57826" name="Drop Down 482" hidden="1">
          <a:extLst>
            <a:ext uri="{63B3BB69-23CF-44E3-9099-C40C66FF867C}">
              <a14:compatExt xmlns:a14="http://schemas.microsoft.com/office/drawing/2010/main" spid="_x0000_s57826"/>
            </a:ext>
            <a:ext uri="{FF2B5EF4-FFF2-40B4-BE49-F238E27FC236}">
              <a16:creationId xmlns:a16="http://schemas.microsoft.com/office/drawing/2014/main" id="{00000000-0008-0000-0600-0000E2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139</xdr:row>
      <xdr:rowOff>83820</xdr:rowOff>
    </xdr:from>
    <xdr:to>
      <xdr:col>6</xdr:col>
      <xdr:colOff>1249680</xdr:colOff>
      <xdr:row>139</xdr:row>
      <xdr:rowOff>304800</xdr:rowOff>
    </xdr:to>
    <xdr:sp macro="" textlink="">
      <xdr:nvSpPr>
        <xdr:cNvPr id="57827" name="Drop Down 483" hidden="1">
          <a:extLst>
            <a:ext uri="{63B3BB69-23CF-44E3-9099-C40C66FF867C}">
              <a14:compatExt xmlns:a14="http://schemas.microsoft.com/office/drawing/2010/main" spid="_x0000_s57827"/>
            </a:ext>
            <a:ext uri="{FF2B5EF4-FFF2-40B4-BE49-F238E27FC236}">
              <a16:creationId xmlns:a16="http://schemas.microsoft.com/office/drawing/2014/main" id="{00000000-0008-0000-0600-0000E3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142</xdr:row>
      <xdr:rowOff>83820</xdr:rowOff>
    </xdr:from>
    <xdr:to>
      <xdr:col>6</xdr:col>
      <xdr:colOff>1249680</xdr:colOff>
      <xdr:row>142</xdr:row>
      <xdr:rowOff>304800</xdr:rowOff>
    </xdr:to>
    <xdr:sp macro="" textlink="">
      <xdr:nvSpPr>
        <xdr:cNvPr id="57828" name="Drop Down 484" hidden="1">
          <a:extLst>
            <a:ext uri="{63B3BB69-23CF-44E3-9099-C40C66FF867C}">
              <a14:compatExt xmlns:a14="http://schemas.microsoft.com/office/drawing/2010/main" spid="_x0000_s57828"/>
            </a:ext>
            <a:ext uri="{FF2B5EF4-FFF2-40B4-BE49-F238E27FC236}">
              <a16:creationId xmlns:a16="http://schemas.microsoft.com/office/drawing/2014/main" id="{00000000-0008-0000-0600-0000E4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143</xdr:row>
      <xdr:rowOff>83820</xdr:rowOff>
    </xdr:from>
    <xdr:to>
      <xdr:col>6</xdr:col>
      <xdr:colOff>1249680</xdr:colOff>
      <xdr:row>143</xdr:row>
      <xdr:rowOff>304800</xdr:rowOff>
    </xdr:to>
    <xdr:sp macro="" textlink="">
      <xdr:nvSpPr>
        <xdr:cNvPr id="57829" name="Drop Down 485" hidden="1">
          <a:extLst>
            <a:ext uri="{63B3BB69-23CF-44E3-9099-C40C66FF867C}">
              <a14:compatExt xmlns:a14="http://schemas.microsoft.com/office/drawing/2010/main" spid="_x0000_s57829"/>
            </a:ext>
            <a:ext uri="{FF2B5EF4-FFF2-40B4-BE49-F238E27FC236}">
              <a16:creationId xmlns:a16="http://schemas.microsoft.com/office/drawing/2014/main" id="{00000000-0008-0000-0600-0000E5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144</xdr:row>
      <xdr:rowOff>83820</xdr:rowOff>
    </xdr:from>
    <xdr:to>
      <xdr:col>6</xdr:col>
      <xdr:colOff>1249680</xdr:colOff>
      <xdr:row>144</xdr:row>
      <xdr:rowOff>304800</xdr:rowOff>
    </xdr:to>
    <xdr:sp macro="" textlink="">
      <xdr:nvSpPr>
        <xdr:cNvPr id="57830" name="Drop Down 486" hidden="1">
          <a:extLst>
            <a:ext uri="{63B3BB69-23CF-44E3-9099-C40C66FF867C}">
              <a14:compatExt xmlns:a14="http://schemas.microsoft.com/office/drawing/2010/main" spid="_x0000_s57830"/>
            </a:ext>
            <a:ext uri="{FF2B5EF4-FFF2-40B4-BE49-F238E27FC236}">
              <a16:creationId xmlns:a16="http://schemas.microsoft.com/office/drawing/2014/main" id="{00000000-0008-0000-0600-0000E6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145</xdr:row>
      <xdr:rowOff>83820</xdr:rowOff>
    </xdr:from>
    <xdr:to>
      <xdr:col>6</xdr:col>
      <xdr:colOff>1249680</xdr:colOff>
      <xdr:row>146</xdr:row>
      <xdr:rowOff>114300</xdr:rowOff>
    </xdr:to>
    <xdr:sp macro="" textlink="">
      <xdr:nvSpPr>
        <xdr:cNvPr id="57831" name="Drop Down 487" hidden="1">
          <a:extLst>
            <a:ext uri="{63B3BB69-23CF-44E3-9099-C40C66FF867C}">
              <a14:compatExt xmlns:a14="http://schemas.microsoft.com/office/drawing/2010/main" spid="_x0000_s57831"/>
            </a:ext>
            <a:ext uri="{FF2B5EF4-FFF2-40B4-BE49-F238E27FC236}">
              <a16:creationId xmlns:a16="http://schemas.microsoft.com/office/drawing/2014/main" id="{00000000-0008-0000-0600-0000E7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146</xdr:row>
      <xdr:rowOff>83820</xdr:rowOff>
    </xdr:from>
    <xdr:to>
      <xdr:col>6</xdr:col>
      <xdr:colOff>1249680</xdr:colOff>
      <xdr:row>146</xdr:row>
      <xdr:rowOff>180975</xdr:rowOff>
    </xdr:to>
    <xdr:sp macro="" textlink="">
      <xdr:nvSpPr>
        <xdr:cNvPr id="57832" name="Drop Down 488" hidden="1">
          <a:extLst>
            <a:ext uri="{63B3BB69-23CF-44E3-9099-C40C66FF867C}">
              <a14:compatExt xmlns:a14="http://schemas.microsoft.com/office/drawing/2010/main" spid="_x0000_s57832"/>
            </a:ext>
            <a:ext uri="{FF2B5EF4-FFF2-40B4-BE49-F238E27FC236}">
              <a16:creationId xmlns:a16="http://schemas.microsoft.com/office/drawing/2014/main" id="{00000000-0008-0000-0600-0000E8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147</xdr:row>
      <xdr:rowOff>83820</xdr:rowOff>
    </xdr:from>
    <xdr:to>
      <xdr:col>6</xdr:col>
      <xdr:colOff>1249680</xdr:colOff>
      <xdr:row>148</xdr:row>
      <xdr:rowOff>114300</xdr:rowOff>
    </xdr:to>
    <xdr:sp macro="" textlink="">
      <xdr:nvSpPr>
        <xdr:cNvPr id="57833" name="Drop Down 489" hidden="1">
          <a:extLst>
            <a:ext uri="{63B3BB69-23CF-44E3-9099-C40C66FF867C}">
              <a14:compatExt xmlns:a14="http://schemas.microsoft.com/office/drawing/2010/main" spid="_x0000_s57833"/>
            </a:ext>
            <a:ext uri="{FF2B5EF4-FFF2-40B4-BE49-F238E27FC236}">
              <a16:creationId xmlns:a16="http://schemas.microsoft.com/office/drawing/2014/main" id="{00000000-0008-0000-0600-0000E9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149</xdr:row>
      <xdr:rowOff>83820</xdr:rowOff>
    </xdr:from>
    <xdr:to>
      <xdr:col>6</xdr:col>
      <xdr:colOff>1249680</xdr:colOff>
      <xdr:row>149</xdr:row>
      <xdr:rowOff>304800</xdr:rowOff>
    </xdr:to>
    <xdr:sp macro="" textlink="">
      <xdr:nvSpPr>
        <xdr:cNvPr id="57834" name="Drop Down 490" hidden="1">
          <a:extLst>
            <a:ext uri="{63B3BB69-23CF-44E3-9099-C40C66FF867C}">
              <a14:compatExt xmlns:a14="http://schemas.microsoft.com/office/drawing/2010/main" spid="_x0000_s57834"/>
            </a:ext>
            <a:ext uri="{FF2B5EF4-FFF2-40B4-BE49-F238E27FC236}">
              <a16:creationId xmlns:a16="http://schemas.microsoft.com/office/drawing/2014/main" id="{00000000-0008-0000-0600-0000EA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150</xdr:row>
      <xdr:rowOff>83820</xdr:rowOff>
    </xdr:from>
    <xdr:to>
      <xdr:col>6</xdr:col>
      <xdr:colOff>1249680</xdr:colOff>
      <xdr:row>151</xdr:row>
      <xdr:rowOff>114300</xdr:rowOff>
    </xdr:to>
    <xdr:sp macro="" textlink="">
      <xdr:nvSpPr>
        <xdr:cNvPr id="57835" name="Drop Down 491" hidden="1">
          <a:extLst>
            <a:ext uri="{63B3BB69-23CF-44E3-9099-C40C66FF867C}">
              <a14:compatExt xmlns:a14="http://schemas.microsoft.com/office/drawing/2010/main" spid="_x0000_s57835"/>
            </a:ext>
            <a:ext uri="{FF2B5EF4-FFF2-40B4-BE49-F238E27FC236}">
              <a16:creationId xmlns:a16="http://schemas.microsoft.com/office/drawing/2014/main" id="{00000000-0008-0000-0600-0000EB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151</xdr:row>
      <xdr:rowOff>83820</xdr:rowOff>
    </xdr:from>
    <xdr:to>
      <xdr:col>6</xdr:col>
      <xdr:colOff>1249680</xdr:colOff>
      <xdr:row>152</xdr:row>
      <xdr:rowOff>114300</xdr:rowOff>
    </xdr:to>
    <xdr:sp macro="" textlink="">
      <xdr:nvSpPr>
        <xdr:cNvPr id="57836" name="Drop Down 492" hidden="1">
          <a:extLst>
            <a:ext uri="{63B3BB69-23CF-44E3-9099-C40C66FF867C}">
              <a14:compatExt xmlns:a14="http://schemas.microsoft.com/office/drawing/2010/main" spid="_x0000_s57836"/>
            </a:ext>
            <a:ext uri="{FF2B5EF4-FFF2-40B4-BE49-F238E27FC236}">
              <a16:creationId xmlns:a16="http://schemas.microsoft.com/office/drawing/2014/main" id="{00000000-0008-0000-0600-0000EC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152</xdr:row>
      <xdr:rowOff>83820</xdr:rowOff>
    </xdr:from>
    <xdr:to>
      <xdr:col>6</xdr:col>
      <xdr:colOff>1249680</xdr:colOff>
      <xdr:row>152</xdr:row>
      <xdr:rowOff>180975</xdr:rowOff>
    </xdr:to>
    <xdr:sp macro="" textlink="">
      <xdr:nvSpPr>
        <xdr:cNvPr id="57837" name="Drop Down 493" hidden="1">
          <a:extLst>
            <a:ext uri="{63B3BB69-23CF-44E3-9099-C40C66FF867C}">
              <a14:compatExt xmlns:a14="http://schemas.microsoft.com/office/drawing/2010/main" spid="_x0000_s57837"/>
            </a:ext>
            <a:ext uri="{FF2B5EF4-FFF2-40B4-BE49-F238E27FC236}">
              <a16:creationId xmlns:a16="http://schemas.microsoft.com/office/drawing/2014/main" id="{00000000-0008-0000-0600-0000ED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153</xdr:row>
      <xdr:rowOff>83820</xdr:rowOff>
    </xdr:from>
    <xdr:to>
      <xdr:col>6</xdr:col>
      <xdr:colOff>1249680</xdr:colOff>
      <xdr:row>154</xdr:row>
      <xdr:rowOff>114300</xdr:rowOff>
    </xdr:to>
    <xdr:sp macro="" textlink="">
      <xdr:nvSpPr>
        <xdr:cNvPr id="57838" name="Drop Down 494" hidden="1">
          <a:extLst>
            <a:ext uri="{63B3BB69-23CF-44E3-9099-C40C66FF867C}">
              <a14:compatExt xmlns:a14="http://schemas.microsoft.com/office/drawing/2010/main" spid="_x0000_s57838"/>
            </a:ext>
            <a:ext uri="{FF2B5EF4-FFF2-40B4-BE49-F238E27FC236}">
              <a16:creationId xmlns:a16="http://schemas.microsoft.com/office/drawing/2014/main" id="{00000000-0008-0000-0600-0000EE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154</xdr:row>
      <xdr:rowOff>83820</xdr:rowOff>
    </xdr:from>
    <xdr:to>
      <xdr:col>6</xdr:col>
      <xdr:colOff>1249680</xdr:colOff>
      <xdr:row>154</xdr:row>
      <xdr:rowOff>304800</xdr:rowOff>
    </xdr:to>
    <xdr:sp macro="" textlink="">
      <xdr:nvSpPr>
        <xdr:cNvPr id="57839" name="Drop Down 495" hidden="1">
          <a:extLst>
            <a:ext uri="{63B3BB69-23CF-44E3-9099-C40C66FF867C}">
              <a14:compatExt xmlns:a14="http://schemas.microsoft.com/office/drawing/2010/main" spid="_x0000_s57839"/>
            </a:ext>
            <a:ext uri="{FF2B5EF4-FFF2-40B4-BE49-F238E27FC236}">
              <a16:creationId xmlns:a16="http://schemas.microsoft.com/office/drawing/2014/main" id="{00000000-0008-0000-0600-0000EF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156</xdr:row>
      <xdr:rowOff>83820</xdr:rowOff>
    </xdr:from>
    <xdr:to>
      <xdr:col>6</xdr:col>
      <xdr:colOff>1249680</xdr:colOff>
      <xdr:row>157</xdr:row>
      <xdr:rowOff>114300</xdr:rowOff>
    </xdr:to>
    <xdr:sp macro="" textlink="">
      <xdr:nvSpPr>
        <xdr:cNvPr id="57840" name="Drop Down 496" hidden="1">
          <a:extLst>
            <a:ext uri="{63B3BB69-23CF-44E3-9099-C40C66FF867C}">
              <a14:compatExt xmlns:a14="http://schemas.microsoft.com/office/drawing/2010/main" spid="_x0000_s57840"/>
            </a:ext>
            <a:ext uri="{FF2B5EF4-FFF2-40B4-BE49-F238E27FC236}">
              <a16:creationId xmlns:a16="http://schemas.microsoft.com/office/drawing/2014/main" id="{00000000-0008-0000-0600-0000F0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157</xdr:row>
      <xdr:rowOff>83820</xdr:rowOff>
    </xdr:from>
    <xdr:to>
      <xdr:col>6</xdr:col>
      <xdr:colOff>1249680</xdr:colOff>
      <xdr:row>158</xdr:row>
      <xdr:rowOff>114300</xdr:rowOff>
    </xdr:to>
    <xdr:sp macro="" textlink="">
      <xdr:nvSpPr>
        <xdr:cNvPr id="57841" name="Drop Down 497" hidden="1">
          <a:extLst>
            <a:ext uri="{63B3BB69-23CF-44E3-9099-C40C66FF867C}">
              <a14:compatExt xmlns:a14="http://schemas.microsoft.com/office/drawing/2010/main" spid="_x0000_s57841"/>
            </a:ext>
            <a:ext uri="{FF2B5EF4-FFF2-40B4-BE49-F238E27FC236}">
              <a16:creationId xmlns:a16="http://schemas.microsoft.com/office/drawing/2014/main" id="{00000000-0008-0000-0600-0000F1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161</xdr:row>
      <xdr:rowOff>83820</xdr:rowOff>
    </xdr:from>
    <xdr:to>
      <xdr:col>6</xdr:col>
      <xdr:colOff>1249680</xdr:colOff>
      <xdr:row>161</xdr:row>
      <xdr:rowOff>304800</xdr:rowOff>
    </xdr:to>
    <xdr:sp macro="" textlink="">
      <xdr:nvSpPr>
        <xdr:cNvPr id="57842" name="Drop Down 498" hidden="1">
          <a:extLst>
            <a:ext uri="{63B3BB69-23CF-44E3-9099-C40C66FF867C}">
              <a14:compatExt xmlns:a14="http://schemas.microsoft.com/office/drawing/2010/main" spid="_x0000_s57842"/>
            </a:ext>
            <a:ext uri="{FF2B5EF4-FFF2-40B4-BE49-F238E27FC236}">
              <a16:creationId xmlns:a16="http://schemas.microsoft.com/office/drawing/2014/main" id="{00000000-0008-0000-0600-0000F2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162</xdr:row>
      <xdr:rowOff>83820</xdr:rowOff>
    </xdr:from>
    <xdr:to>
      <xdr:col>6</xdr:col>
      <xdr:colOff>1249680</xdr:colOff>
      <xdr:row>162</xdr:row>
      <xdr:rowOff>304800</xdr:rowOff>
    </xdr:to>
    <xdr:sp macro="" textlink="">
      <xdr:nvSpPr>
        <xdr:cNvPr id="57843" name="Drop Down 499" hidden="1">
          <a:extLst>
            <a:ext uri="{63B3BB69-23CF-44E3-9099-C40C66FF867C}">
              <a14:compatExt xmlns:a14="http://schemas.microsoft.com/office/drawing/2010/main" spid="_x0000_s57843"/>
            </a:ext>
            <a:ext uri="{FF2B5EF4-FFF2-40B4-BE49-F238E27FC236}">
              <a16:creationId xmlns:a16="http://schemas.microsoft.com/office/drawing/2014/main" id="{00000000-0008-0000-0600-0000F3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163</xdr:row>
      <xdr:rowOff>83820</xdr:rowOff>
    </xdr:from>
    <xdr:to>
      <xdr:col>6</xdr:col>
      <xdr:colOff>1249680</xdr:colOff>
      <xdr:row>163</xdr:row>
      <xdr:rowOff>304800</xdr:rowOff>
    </xdr:to>
    <xdr:sp macro="" textlink="">
      <xdr:nvSpPr>
        <xdr:cNvPr id="57844" name="Drop Down 500" hidden="1">
          <a:extLst>
            <a:ext uri="{63B3BB69-23CF-44E3-9099-C40C66FF867C}">
              <a14:compatExt xmlns:a14="http://schemas.microsoft.com/office/drawing/2010/main" spid="_x0000_s57844"/>
            </a:ext>
            <a:ext uri="{FF2B5EF4-FFF2-40B4-BE49-F238E27FC236}">
              <a16:creationId xmlns:a16="http://schemas.microsoft.com/office/drawing/2014/main" id="{00000000-0008-0000-0600-0000F4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164</xdr:row>
      <xdr:rowOff>83820</xdr:rowOff>
    </xdr:from>
    <xdr:to>
      <xdr:col>6</xdr:col>
      <xdr:colOff>1249680</xdr:colOff>
      <xdr:row>164</xdr:row>
      <xdr:rowOff>304800</xdr:rowOff>
    </xdr:to>
    <xdr:sp macro="" textlink="">
      <xdr:nvSpPr>
        <xdr:cNvPr id="57845" name="Drop Down 501" hidden="1">
          <a:extLst>
            <a:ext uri="{63B3BB69-23CF-44E3-9099-C40C66FF867C}">
              <a14:compatExt xmlns:a14="http://schemas.microsoft.com/office/drawing/2010/main" spid="_x0000_s57845"/>
            </a:ext>
            <a:ext uri="{FF2B5EF4-FFF2-40B4-BE49-F238E27FC236}">
              <a16:creationId xmlns:a16="http://schemas.microsoft.com/office/drawing/2014/main" id="{00000000-0008-0000-0600-0000F5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165</xdr:row>
      <xdr:rowOff>83820</xdr:rowOff>
    </xdr:from>
    <xdr:to>
      <xdr:col>6</xdr:col>
      <xdr:colOff>1249680</xdr:colOff>
      <xdr:row>165</xdr:row>
      <xdr:rowOff>304800</xdr:rowOff>
    </xdr:to>
    <xdr:sp macro="" textlink="">
      <xdr:nvSpPr>
        <xdr:cNvPr id="57846" name="Drop Down 502" hidden="1">
          <a:extLst>
            <a:ext uri="{63B3BB69-23CF-44E3-9099-C40C66FF867C}">
              <a14:compatExt xmlns:a14="http://schemas.microsoft.com/office/drawing/2010/main" spid="_x0000_s57846"/>
            </a:ext>
            <a:ext uri="{FF2B5EF4-FFF2-40B4-BE49-F238E27FC236}">
              <a16:creationId xmlns:a16="http://schemas.microsoft.com/office/drawing/2014/main" id="{00000000-0008-0000-0600-0000F6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167</xdr:row>
      <xdr:rowOff>83820</xdr:rowOff>
    </xdr:from>
    <xdr:to>
      <xdr:col>6</xdr:col>
      <xdr:colOff>1249680</xdr:colOff>
      <xdr:row>167</xdr:row>
      <xdr:rowOff>304800</xdr:rowOff>
    </xdr:to>
    <xdr:sp macro="" textlink="">
      <xdr:nvSpPr>
        <xdr:cNvPr id="57847" name="Drop Down 503" hidden="1">
          <a:extLst>
            <a:ext uri="{63B3BB69-23CF-44E3-9099-C40C66FF867C}">
              <a14:compatExt xmlns:a14="http://schemas.microsoft.com/office/drawing/2010/main" spid="_x0000_s57847"/>
            </a:ext>
            <a:ext uri="{FF2B5EF4-FFF2-40B4-BE49-F238E27FC236}">
              <a16:creationId xmlns:a16="http://schemas.microsoft.com/office/drawing/2014/main" id="{00000000-0008-0000-0600-0000F7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168</xdr:row>
      <xdr:rowOff>83820</xdr:rowOff>
    </xdr:from>
    <xdr:to>
      <xdr:col>6</xdr:col>
      <xdr:colOff>1249680</xdr:colOff>
      <xdr:row>169</xdr:row>
      <xdr:rowOff>114300</xdr:rowOff>
    </xdr:to>
    <xdr:sp macro="" textlink="">
      <xdr:nvSpPr>
        <xdr:cNvPr id="57848" name="Drop Down 504" hidden="1">
          <a:extLst>
            <a:ext uri="{63B3BB69-23CF-44E3-9099-C40C66FF867C}">
              <a14:compatExt xmlns:a14="http://schemas.microsoft.com/office/drawing/2010/main" spid="_x0000_s57848"/>
            </a:ext>
            <a:ext uri="{FF2B5EF4-FFF2-40B4-BE49-F238E27FC236}">
              <a16:creationId xmlns:a16="http://schemas.microsoft.com/office/drawing/2014/main" id="{00000000-0008-0000-0600-0000F8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169</xdr:row>
      <xdr:rowOff>83820</xdr:rowOff>
    </xdr:from>
    <xdr:to>
      <xdr:col>6</xdr:col>
      <xdr:colOff>1249680</xdr:colOff>
      <xdr:row>170</xdr:row>
      <xdr:rowOff>114300</xdr:rowOff>
    </xdr:to>
    <xdr:sp macro="" textlink="">
      <xdr:nvSpPr>
        <xdr:cNvPr id="57849" name="Drop Down 505" hidden="1">
          <a:extLst>
            <a:ext uri="{63B3BB69-23CF-44E3-9099-C40C66FF867C}">
              <a14:compatExt xmlns:a14="http://schemas.microsoft.com/office/drawing/2010/main" spid="_x0000_s57849"/>
            </a:ext>
            <a:ext uri="{FF2B5EF4-FFF2-40B4-BE49-F238E27FC236}">
              <a16:creationId xmlns:a16="http://schemas.microsoft.com/office/drawing/2014/main" id="{00000000-0008-0000-0600-0000F9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170</xdr:row>
      <xdr:rowOff>83820</xdr:rowOff>
    </xdr:from>
    <xdr:to>
      <xdr:col>6</xdr:col>
      <xdr:colOff>1249680</xdr:colOff>
      <xdr:row>170</xdr:row>
      <xdr:rowOff>304800</xdr:rowOff>
    </xdr:to>
    <xdr:sp macro="" textlink="">
      <xdr:nvSpPr>
        <xdr:cNvPr id="57850" name="Drop Down 506" hidden="1">
          <a:extLst>
            <a:ext uri="{63B3BB69-23CF-44E3-9099-C40C66FF867C}">
              <a14:compatExt xmlns:a14="http://schemas.microsoft.com/office/drawing/2010/main" spid="_x0000_s57850"/>
            </a:ext>
            <a:ext uri="{FF2B5EF4-FFF2-40B4-BE49-F238E27FC236}">
              <a16:creationId xmlns:a16="http://schemas.microsoft.com/office/drawing/2014/main" id="{00000000-0008-0000-0600-0000FA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171</xdr:row>
      <xdr:rowOff>83820</xdr:rowOff>
    </xdr:from>
    <xdr:to>
      <xdr:col>6</xdr:col>
      <xdr:colOff>1249680</xdr:colOff>
      <xdr:row>171</xdr:row>
      <xdr:rowOff>304800</xdr:rowOff>
    </xdr:to>
    <xdr:sp macro="" textlink="">
      <xdr:nvSpPr>
        <xdr:cNvPr id="57851" name="Drop Down 507" hidden="1">
          <a:extLst>
            <a:ext uri="{63B3BB69-23CF-44E3-9099-C40C66FF867C}">
              <a14:compatExt xmlns:a14="http://schemas.microsoft.com/office/drawing/2010/main" spid="_x0000_s57851"/>
            </a:ext>
            <a:ext uri="{FF2B5EF4-FFF2-40B4-BE49-F238E27FC236}">
              <a16:creationId xmlns:a16="http://schemas.microsoft.com/office/drawing/2014/main" id="{00000000-0008-0000-0600-0000FB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172</xdr:row>
      <xdr:rowOff>83820</xdr:rowOff>
    </xdr:from>
    <xdr:to>
      <xdr:col>6</xdr:col>
      <xdr:colOff>1249680</xdr:colOff>
      <xdr:row>173</xdr:row>
      <xdr:rowOff>114300</xdr:rowOff>
    </xdr:to>
    <xdr:sp macro="" textlink="">
      <xdr:nvSpPr>
        <xdr:cNvPr id="57852" name="Drop Down 508" hidden="1">
          <a:extLst>
            <a:ext uri="{63B3BB69-23CF-44E3-9099-C40C66FF867C}">
              <a14:compatExt xmlns:a14="http://schemas.microsoft.com/office/drawing/2010/main" spid="_x0000_s57852"/>
            </a:ext>
            <a:ext uri="{FF2B5EF4-FFF2-40B4-BE49-F238E27FC236}">
              <a16:creationId xmlns:a16="http://schemas.microsoft.com/office/drawing/2014/main" id="{00000000-0008-0000-0600-0000FC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176</xdr:row>
      <xdr:rowOff>83820</xdr:rowOff>
    </xdr:from>
    <xdr:to>
      <xdr:col>6</xdr:col>
      <xdr:colOff>1249680</xdr:colOff>
      <xdr:row>177</xdr:row>
      <xdr:rowOff>114300</xdr:rowOff>
    </xdr:to>
    <xdr:sp macro="" textlink="">
      <xdr:nvSpPr>
        <xdr:cNvPr id="57853" name="Drop Down 509" hidden="1">
          <a:extLst>
            <a:ext uri="{63B3BB69-23CF-44E3-9099-C40C66FF867C}">
              <a14:compatExt xmlns:a14="http://schemas.microsoft.com/office/drawing/2010/main" spid="_x0000_s57853"/>
            </a:ext>
            <a:ext uri="{FF2B5EF4-FFF2-40B4-BE49-F238E27FC236}">
              <a16:creationId xmlns:a16="http://schemas.microsoft.com/office/drawing/2014/main" id="{00000000-0008-0000-0600-0000FD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177</xdr:row>
      <xdr:rowOff>83820</xdr:rowOff>
    </xdr:from>
    <xdr:to>
      <xdr:col>6</xdr:col>
      <xdr:colOff>1249680</xdr:colOff>
      <xdr:row>177</xdr:row>
      <xdr:rowOff>180975</xdr:rowOff>
    </xdr:to>
    <xdr:sp macro="" textlink="">
      <xdr:nvSpPr>
        <xdr:cNvPr id="57854" name="Drop Down 510" hidden="1">
          <a:extLst>
            <a:ext uri="{63B3BB69-23CF-44E3-9099-C40C66FF867C}">
              <a14:compatExt xmlns:a14="http://schemas.microsoft.com/office/drawing/2010/main" spid="_x0000_s57854"/>
            </a:ext>
            <a:ext uri="{FF2B5EF4-FFF2-40B4-BE49-F238E27FC236}">
              <a16:creationId xmlns:a16="http://schemas.microsoft.com/office/drawing/2014/main" id="{00000000-0008-0000-0600-0000FE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178</xdr:row>
      <xdr:rowOff>83820</xdr:rowOff>
    </xdr:from>
    <xdr:to>
      <xdr:col>6</xdr:col>
      <xdr:colOff>1249680</xdr:colOff>
      <xdr:row>179</xdr:row>
      <xdr:rowOff>114300</xdr:rowOff>
    </xdr:to>
    <xdr:sp macro="" textlink="">
      <xdr:nvSpPr>
        <xdr:cNvPr id="57855" name="Drop Down 511" hidden="1">
          <a:extLst>
            <a:ext uri="{63B3BB69-23CF-44E3-9099-C40C66FF867C}">
              <a14:compatExt xmlns:a14="http://schemas.microsoft.com/office/drawing/2010/main" spid="_x0000_s57855"/>
            </a:ext>
            <a:ext uri="{FF2B5EF4-FFF2-40B4-BE49-F238E27FC236}">
              <a16:creationId xmlns:a16="http://schemas.microsoft.com/office/drawing/2014/main" id="{00000000-0008-0000-0600-0000FFE1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179</xdr:row>
      <xdr:rowOff>83820</xdr:rowOff>
    </xdr:from>
    <xdr:to>
      <xdr:col>6</xdr:col>
      <xdr:colOff>1249680</xdr:colOff>
      <xdr:row>179</xdr:row>
      <xdr:rowOff>304800</xdr:rowOff>
    </xdr:to>
    <xdr:sp macro="" textlink="">
      <xdr:nvSpPr>
        <xdr:cNvPr id="57856" name="Drop Down 512" hidden="1">
          <a:extLst>
            <a:ext uri="{63B3BB69-23CF-44E3-9099-C40C66FF867C}">
              <a14:compatExt xmlns:a14="http://schemas.microsoft.com/office/drawing/2010/main" spid="_x0000_s57856"/>
            </a:ext>
            <a:ext uri="{FF2B5EF4-FFF2-40B4-BE49-F238E27FC236}">
              <a16:creationId xmlns:a16="http://schemas.microsoft.com/office/drawing/2014/main" id="{00000000-0008-0000-0600-000000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184</xdr:row>
      <xdr:rowOff>83820</xdr:rowOff>
    </xdr:from>
    <xdr:to>
      <xdr:col>6</xdr:col>
      <xdr:colOff>1249680</xdr:colOff>
      <xdr:row>184</xdr:row>
      <xdr:rowOff>304800</xdr:rowOff>
    </xdr:to>
    <xdr:sp macro="" textlink="">
      <xdr:nvSpPr>
        <xdr:cNvPr id="57857" name="Drop Down 513" hidden="1">
          <a:extLst>
            <a:ext uri="{63B3BB69-23CF-44E3-9099-C40C66FF867C}">
              <a14:compatExt xmlns:a14="http://schemas.microsoft.com/office/drawing/2010/main" spid="_x0000_s57857"/>
            </a:ext>
            <a:ext uri="{FF2B5EF4-FFF2-40B4-BE49-F238E27FC236}">
              <a16:creationId xmlns:a16="http://schemas.microsoft.com/office/drawing/2014/main" id="{00000000-0008-0000-0600-000001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185</xdr:row>
      <xdr:rowOff>83820</xdr:rowOff>
    </xdr:from>
    <xdr:to>
      <xdr:col>6</xdr:col>
      <xdr:colOff>1249680</xdr:colOff>
      <xdr:row>185</xdr:row>
      <xdr:rowOff>180975</xdr:rowOff>
    </xdr:to>
    <xdr:sp macro="" textlink="">
      <xdr:nvSpPr>
        <xdr:cNvPr id="57858" name="Drop Down 514" hidden="1">
          <a:extLst>
            <a:ext uri="{63B3BB69-23CF-44E3-9099-C40C66FF867C}">
              <a14:compatExt xmlns:a14="http://schemas.microsoft.com/office/drawing/2010/main" spid="_x0000_s57858"/>
            </a:ext>
            <a:ext uri="{FF2B5EF4-FFF2-40B4-BE49-F238E27FC236}">
              <a16:creationId xmlns:a16="http://schemas.microsoft.com/office/drawing/2014/main" id="{00000000-0008-0000-0600-000002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186</xdr:row>
      <xdr:rowOff>83820</xdr:rowOff>
    </xdr:from>
    <xdr:to>
      <xdr:col>6</xdr:col>
      <xdr:colOff>1249680</xdr:colOff>
      <xdr:row>187</xdr:row>
      <xdr:rowOff>114300</xdr:rowOff>
    </xdr:to>
    <xdr:sp macro="" textlink="">
      <xdr:nvSpPr>
        <xdr:cNvPr id="57859" name="Drop Down 515" hidden="1">
          <a:extLst>
            <a:ext uri="{63B3BB69-23CF-44E3-9099-C40C66FF867C}">
              <a14:compatExt xmlns:a14="http://schemas.microsoft.com/office/drawing/2010/main" spid="_x0000_s57859"/>
            </a:ext>
            <a:ext uri="{FF2B5EF4-FFF2-40B4-BE49-F238E27FC236}">
              <a16:creationId xmlns:a16="http://schemas.microsoft.com/office/drawing/2014/main" id="{00000000-0008-0000-0600-000003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187</xdr:row>
      <xdr:rowOff>83820</xdr:rowOff>
    </xdr:from>
    <xdr:to>
      <xdr:col>6</xdr:col>
      <xdr:colOff>1249680</xdr:colOff>
      <xdr:row>188</xdr:row>
      <xdr:rowOff>114300</xdr:rowOff>
    </xdr:to>
    <xdr:sp macro="" textlink="">
      <xdr:nvSpPr>
        <xdr:cNvPr id="57860" name="Drop Down 516" hidden="1">
          <a:extLst>
            <a:ext uri="{63B3BB69-23CF-44E3-9099-C40C66FF867C}">
              <a14:compatExt xmlns:a14="http://schemas.microsoft.com/office/drawing/2010/main" spid="_x0000_s57860"/>
            </a:ext>
            <a:ext uri="{FF2B5EF4-FFF2-40B4-BE49-F238E27FC236}">
              <a16:creationId xmlns:a16="http://schemas.microsoft.com/office/drawing/2014/main" id="{00000000-0008-0000-0600-000004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189</xdr:row>
      <xdr:rowOff>83820</xdr:rowOff>
    </xdr:from>
    <xdr:to>
      <xdr:col>6</xdr:col>
      <xdr:colOff>1249680</xdr:colOff>
      <xdr:row>190</xdr:row>
      <xdr:rowOff>114300</xdr:rowOff>
    </xdr:to>
    <xdr:sp macro="" textlink="">
      <xdr:nvSpPr>
        <xdr:cNvPr id="57861" name="Drop Down 517" hidden="1">
          <a:extLst>
            <a:ext uri="{63B3BB69-23CF-44E3-9099-C40C66FF867C}">
              <a14:compatExt xmlns:a14="http://schemas.microsoft.com/office/drawing/2010/main" spid="_x0000_s57861"/>
            </a:ext>
            <a:ext uri="{FF2B5EF4-FFF2-40B4-BE49-F238E27FC236}">
              <a16:creationId xmlns:a16="http://schemas.microsoft.com/office/drawing/2014/main" id="{00000000-0008-0000-0600-000005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190</xdr:row>
      <xdr:rowOff>83820</xdr:rowOff>
    </xdr:from>
    <xdr:to>
      <xdr:col>6</xdr:col>
      <xdr:colOff>1249680</xdr:colOff>
      <xdr:row>190</xdr:row>
      <xdr:rowOff>304800</xdr:rowOff>
    </xdr:to>
    <xdr:sp macro="" textlink="">
      <xdr:nvSpPr>
        <xdr:cNvPr id="57862" name="Drop Down 518" hidden="1">
          <a:extLst>
            <a:ext uri="{63B3BB69-23CF-44E3-9099-C40C66FF867C}">
              <a14:compatExt xmlns:a14="http://schemas.microsoft.com/office/drawing/2010/main" spid="_x0000_s57862"/>
            </a:ext>
            <a:ext uri="{FF2B5EF4-FFF2-40B4-BE49-F238E27FC236}">
              <a16:creationId xmlns:a16="http://schemas.microsoft.com/office/drawing/2014/main" id="{00000000-0008-0000-0600-000006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191</xdr:row>
      <xdr:rowOff>83820</xdr:rowOff>
    </xdr:from>
    <xdr:to>
      <xdr:col>6</xdr:col>
      <xdr:colOff>1249680</xdr:colOff>
      <xdr:row>191</xdr:row>
      <xdr:rowOff>304800</xdr:rowOff>
    </xdr:to>
    <xdr:sp macro="" textlink="">
      <xdr:nvSpPr>
        <xdr:cNvPr id="57863" name="Drop Down 519" hidden="1">
          <a:extLst>
            <a:ext uri="{63B3BB69-23CF-44E3-9099-C40C66FF867C}">
              <a14:compatExt xmlns:a14="http://schemas.microsoft.com/office/drawing/2010/main" spid="_x0000_s57863"/>
            </a:ext>
            <a:ext uri="{FF2B5EF4-FFF2-40B4-BE49-F238E27FC236}">
              <a16:creationId xmlns:a16="http://schemas.microsoft.com/office/drawing/2014/main" id="{00000000-0008-0000-0600-000007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192</xdr:row>
      <xdr:rowOff>83820</xdr:rowOff>
    </xdr:from>
    <xdr:to>
      <xdr:col>6</xdr:col>
      <xdr:colOff>1249680</xdr:colOff>
      <xdr:row>192</xdr:row>
      <xdr:rowOff>304800</xdr:rowOff>
    </xdr:to>
    <xdr:sp macro="" textlink="">
      <xdr:nvSpPr>
        <xdr:cNvPr id="57864" name="Drop Down 520" hidden="1">
          <a:extLst>
            <a:ext uri="{63B3BB69-23CF-44E3-9099-C40C66FF867C}">
              <a14:compatExt xmlns:a14="http://schemas.microsoft.com/office/drawing/2010/main" spid="_x0000_s57864"/>
            </a:ext>
            <a:ext uri="{FF2B5EF4-FFF2-40B4-BE49-F238E27FC236}">
              <a16:creationId xmlns:a16="http://schemas.microsoft.com/office/drawing/2014/main" id="{00000000-0008-0000-0600-000008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194</xdr:row>
      <xdr:rowOff>83820</xdr:rowOff>
    </xdr:from>
    <xdr:to>
      <xdr:col>6</xdr:col>
      <xdr:colOff>1249680</xdr:colOff>
      <xdr:row>194</xdr:row>
      <xdr:rowOff>304800</xdr:rowOff>
    </xdr:to>
    <xdr:sp macro="" textlink="">
      <xdr:nvSpPr>
        <xdr:cNvPr id="57865" name="Drop Down 521" hidden="1">
          <a:extLst>
            <a:ext uri="{63B3BB69-23CF-44E3-9099-C40C66FF867C}">
              <a14:compatExt xmlns:a14="http://schemas.microsoft.com/office/drawing/2010/main" spid="_x0000_s57865"/>
            </a:ext>
            <a:ext uri="{FF2B5EF4-FFF2-40B4-BE49-F238E27FC236}">
              <a16:creationId xmlns:a16="http://schemas.microsoft.com/office/drawing/2014/main" id="{00000000-0008-0000-0600-000009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195</xdr:row>
      <xdr:rowOff>83820</xdr:rowOff>
    </xdr:from>
    <xdr:to>
      <xdr:col>6</xdr:col>
      <xdr:colOff>1249680</xdr:colOff>
      <xdr:row>195</xdr:row>
      <xdr:rowOff>304800</xdr:rowOff>
    </xdr:to>
    <xdr:sp macro="" textlink="">
      <xdr:nvSpPr>
        <xdr:cNvPr id="57866" name="Drop Down 522" hidden="1">
          <a:extLst>
            <a:ext uri="{63B3BB69-23CF-44E3-9099-C40C66FF867C}">
              <a14:compatExt xmlns:a14="http://schemas.microsoft.com/office/drawing/2010/main" spid="_x0000_s57866"/>
            </a:ext>
            <a:ext uri="{FF2B5EF4-FFF2-40B4-BE49-F238E27FC236}">
              <a16:creationId xmlns:a16="http://schemas.microsoft.com/office/drawing/2014/main" id="{00000000-0008-0000-0600-00000A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198</xdr:row>
      <xdr:rowOff>83820</xdr:rowOff>
    </xdr:from>
    <xdr:to>
      <xdr:col>6</xdr:col>
      <xdr:colOff>1249680</xdr:colOff>
      <xdr:row>198</xdr:row>
      <xdr:rowOff>304800</xdr:rowOff>
    </xdr:to>
    <xdr:sp macro="" textlink="">
      <xdr:nvSpPr>
        <xdr:cNvPr id="57867" name="Drop Down 523" hidden="1">
          <a:extLst>
            <a:ext uri="{63B3BB69-23CF-44E3-9099-C40C66FF867C}">
              <a14:compatExt xmlns:a14="http://schemas.microsoft.com/office/drawing/2010/main" spid="_x0000_s57867"/>
            </a:ext>
            <a:ext uri="{FF2B5EF4-FFF2-40B4-BE49-F238E27FC236}">
              <a16:creationId xmlns:a16="http://schemas.microsoft.com/office/drawing/2014/main" id="{00000000-0008-0000-0600-00000B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199</xdr:row>
      <xdr:rowOff>83820</xdr:rowOff>
    </xdr:from>
    <xdr:to>
      <xdr:col>6</xdr:col>
      <xdr:colOff>1249680</xdr:colOff>
      <xdr:row>200</xdr:row>
      <xdr:rowOff>114300</xdr:rowOff>
    </xdr:to>
    <xdr:sp macro="" textlink="">
      <xdr:nvSpPr>
        <xdr:cNvPr id="57868" name="Drop Down 524" hidden="1">
          <a:extLst>
            <a:ext uri="{63B3BB69-23CF-44E3-9099-C40C66FF867C}">
              <a14:compatExt xmlns:a14="http://schemas.microsoft.com/office/drawing/2010/main" spid="_x0000_s57868"/>
            </a:ext>
            <a:ext uri="{FF2B5EF4-FFF2-40B4-BE49-F238E27FC236}">
              <a16:creationId xmlns:a16="http://schemas.microsoft.com/office/drawing/2014/main" id="{00000000-0008-0000-0600-00000C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200</xdr:row>
      <xdr:rowOff>83820</xdr:rowOff>
    </xdr:from>
    <xdr:to>
      <xdr:col>6</xdr:col>
      <xdr:colOff>1249680</xdr:colOff>
      <xdr:row>200</xdr:row>
      <xdr:rowOff>304800</xdr:rowOff>
    </xdr:to>
    <xdr:sp macro="" textlink="">
      <xdr:nvSpPr>
        <xdr:cNvPr id="57869" name="Drop Down 525" hidden="1">
          <a:extLst>
            <a:ext uri="{63B3BB69-23CF-44E3-9099-C40C66FF867C}">
              <a14:compatExt xmlns:a14="http://schemas.microsoft.com/office/drawing/2010/main" spid="_x0000_s57869"/>
            </a:ext>
            <a:ext uri="{FF2B5EF4-FFF2-40B4-BE49-F238E27FC236}">
              <a16:creationId xmlns:a16="http://schemas.microsoft.com/office/drawing/2014/main" id="{00000000-0008-0000-0600-00000D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201</xdr:row>
      <xdr:rowOff>83820</xdr:rowOff>
    </xdr:from>
    <xdr:to>
      <xdr:col>6</xdr:col>
      <xdr:colOff>1249680</xdr:colOff>
      <xdr:row>202</xdr:row>
      <xdr:rowOff>114300</xdr:rowOff>
    </xdr:to>
    <xdr:sp macro="" textlink="">
      <xdr:nvSpPr>
        <xdr:cNvPr id="57870" name="Drop Down 526" hidden="1">
          <a:extLst>
            <a:ext uri="{63B3BB69-23CF-44E3-9099-C40C66FF867C}">
              <a14:compatExt xmlns:a14="http://schemas.microsoft.com/office/drawing/2010/main" spid="_x0000_s57870"/>
            </a:ext>
            <a:ext uri="{FF2B5EF4-FFF2-40B4-BE49-F238E27FC236}">
              <a16:creationId xmlns:a16="http://schemas.microsoft.com/office/drawing/2014/main" id="{00000000-0008-0000-0600-00000E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202</xdr:row>
      <xdr:rowOff>83820</xdr:rowOff>
    </xdr:from>
    <xdr:to>
      <xdr:col>6</xdr:col>
      <xdr:colOff>1249680</xdr:colOff>
      <xdr:row>203</xdr:row>
      <xdr:rowOff>114300</xdr:rowOff>
    </xdr:to>
    <xdr:sp macro="" textlink="">
      <xdr:nvSpPr>
        <xdr:cNvPr id="57871" name="Drop Down 527" hidden="1">
          <a:extLst>
            <a:ext uri="{63B3BB69-23CF-44E3-9099-C40C66FF867C}">
              <a14:compatExt xmlns:a14="http://schemas.microsoft.com/office/drawing/2010/main" spid="_x0000_s57871"/>
            </a:ext>
            <a:ext uri="{FF2B5EF4-FFF2-40B4-BE49-F238E27FC236}">
              <a16:creationId xmlns:a16="http://schemas.microsoft.com/office/drawing/2014/main" id="{00000000-0008-0000-0600-00000F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203</xdr:row>
      <xdr:rowOff>83820</xdr:rowOff>
    </xdr:from>
    <xdr:to>
      <xdr:col>6</xdr:col>
      <xdr:colOff>1249680</xdr:colOff>
      <xdr:row>204</xdr:row>
      <xdr:rowOff>114300</xdr:rowOff>
    </xdr:to>
    <xdr:sp macro="" textlink="">
      <xdr:nvSpPr>
        <xdr:cNvPr id="57872" name="Drop Down 528" hidden="1">
          <a:extLst>
            <a:ext uri="{63B3BB69-23CF-44E3-9099-C40C66FF867C}">
              <a14:compatExt xmlns:a14="http://schemas.microsoft.com/office/drawing/2010/main" spid="_x0000_s57872"/>
            </a:ext>
            <a:ext uri="{FF2B5EF4-FFF2-40B4-BE49-F238E27FC236}">
              <a16:creationId xmlns:a16="http://schemas.microsoft.com/office/drawing/2014/main" id="{00000000-0008-0000-0600-000010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205</xdr:row>
      <xdr:rowOff>83820</xdr:rowOff>
    </xdr:from>
    <xdr:to>
      <xdr:col>6</xdr:col>
      <xdr:colOff>1249680</xdr:colOff>
      <xdr:row>205</xdr:row>
      <xdr:rowOff>304800</xdr:rowOff>
    </xdr:to>
    <xdr:sp macro="" textlink="">
      <xdr:nvSpPr>
        <xdr:cNvPr id="57873" name="Drop Down 529" hidden="1">
          <a:extLst>
            <a:ext uri="{63B3BB69-23CF-44E3-9099-C40C66FF867C}">
              <a14:compatExt xmlns:a14="http://schemas.microsoft.com/office/drawing/2010/main" spid="_x0000_s57873"/>
            </a:ext>
            <a:ext uri="{FF2B5EF4-FFF2-40B4-BE49-F238E27FC236}">
              <a16:creationId xmlns:a16="http://schemas.microsoft.com/office/drawing/2014/main" id="{00000000-0008-0000-0600-000011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206</xdr:row>
      <xdr:rowOff>83820</xdr:rowOff>
    </xdr:from>
    <xdr:to>
      <xdr:col>6</xdr:col>
      <xdr:colOff>1249680</xdr:colOff>
      <xdr:row>206</xdr:row>
      <xdr:rowOff>304800</xdr:rowOff>
    </xdr:to>
    <xdr:sp macro="" textlink="">
      <xdr:nvSpPr>
        <xdr:cNvPr id="57874" name="Drop Down 530" hidden="1">
          <a:extLst>
            <a:ext uri="{63B3BB69-23CF-44E3-9099-C40C66FF867C}">
              <a14:compatExt xmlns:a14="http://schemas.microsoft.com/office/drawing/2010/main" spid="_x0000_s57874"/>
            </a:ext>
            <a:ext uri="{FF2B5EF4-FFF2-40B4-BE49-F238E27FC236}">
              <a16:creationId xmlns:a16="http://schemas.microsoft.com/office/drawing/2014/main" id="{00000000-0008-0000-0600-000012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208</xdr:row>
      <xdr:rowOff>83820</xdr:rowOff>
    </xdr:from>
    <xdr:to>
      <xdr:col>6</xdr:col>
      <xdr:colOff>1249680</xdr:colOff>
      <xdr:row>208</xdr:row>
      <xdr:rowOff>304800</xdr:rowOff>
    </xdr:to>
    <xdr:sp macro="" textlink="">
      <xdr:nvSpPr>
        <xdr:cNvPr id="57875" name="Drop Down 531" hidden="1">
          <a:extLst>
            <a:ext uri="{63B3BB69-23CF-44E3-9099-C40C66FF867C}">
              <a14:compatExt xmlns:a14="http://schemas.microsoft.com/office/drawing/2010/main" spid="_x0000_s57875"/>
            </a:ext>
            <a:ext uri="{FF2B5EF4-FFF2-40B4-BE49-F238E27FC236}">
              <a16:creationId xmlns:a16="http://schemas.microsoft.com/office/drawing/2014/main" id="{00000000-0008-0000-0600-000013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209</xdr:row>
      <xdr:rowOff>83820</xdr:rowOff>
    </xdr:from>
    <xdr:to>
      <xdr:col>6</xdr:col>
      <xdr:colOff>1249680</xdr:colOff>
      <xdr:row>210</xdr:row>
      <xdr:rowOff>114300</xdr:rowOff>
    </xdr:to>
    <xdr:sp macro="" textlink="">
      <xdr:nvSpPr>
        <xdr:cNvPr id="57876" name="Drop Down 532" hidden="1">
          <a:extLst>
            <a:ext uri="{63B3BB69-23CF-44E3-9099-C40C66FF867C}">
              <a14:compatExt xmlns:a14="http://schemas.microsoft.com/office/drawing/2010/main" spid="_x0000_s57876"/>
            </a:ext>
            <a:ext uri="{FF2B5EF4-FFF2-40B4-BE49-F238E27FC236}">
              <a16:creationId xmlns:a16="http://schemas.microsoft.com/office/drawing/2014/main" id="{00000000-0008-0000-0600-000014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211</xdr:row>
      <xdr:rowOff>83820</xdr:rowOff>
    </xdr:from>
    <xdr:to>
      <xdr:col>6</xdr:col>
      <xdr:colOff>1249680</xdr:colOff>
      <xdr:row>211</xdr:row>
      <xdr:rowOff>304800</xdr:rowOff>
    </xdr:to>
    <xdr:sp macro="" textlink="">
      <xdr:nvSpPr>
        <xdr:cNvPr id="57877" name="Drop Down 533" hidden="1">
          <a:extLst>
            <a:ext uri="{63B3BB69-23CF-44E3-9099-C40C66FF867C}">
              <a14:compatExt xmlns:a14="http://schemas.microsoft.com/office/drawing/2010/main" spid="_x0000_s57877"/>
            </a:ext>
            <a:ext uri="{FF2B5EF4-FFF2-40B4-BE49-F238E27FC236}">
              <a16:creationId xmlns:a16="http://schemas.microsoft.com/office/drawing/2014/main" id="{00000000-0008-0000-0600-000015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212</xdr:row>
      <xdr:rowOff>83820</xdr:rowOff>
    </xdr:from>
    <xdr:to>
      <xdr:col>6</xdr:col>
      <xdr:colOff>1249680</xdr:colOff>
      <xdr:row>213</xdr:row>
      <xdr:rowOff>114300</xdr:rowOff>
    </xdr:to>
    <xdr:sp macro="" textlink="">
      <xdr:nvSpPr>
        <xdr:cNvPr id="57878" name="Drop Down 534" hidden="1">
          <a:extLst>
            <a:ext uri="{63B3BB69-23CF-44E3-9099-C40C66FF867C}">
              <a14:compatExt xmlns:a14="http://schemas.microsoft.com/office/drawing/2010/main" spid="_x0000_s57878"/>
            </a:ext>
            <a:ext uri="{FF2B5EF4-FFF2-40B4-BE49-F238E27FC236}">
              <a16:creationId xmlns:a16="http://schemas.microsoft.com/office/drawing/2014/main" id="{00000000-0008-0000-0600-000016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217</xdr:row>
      <xdr:rowOff>83820</xdr:rowOff>
    </xdr:from>
    <xdr:to>
      <xdr:col>6</xdr:col>
      <xdr:colOff>1249680</xdr:colOff>
      <xdr:row>218</xdr:row>
      <xdr:rowOff>114300</xdr:rowOff>
    </xdr:to>
    <xdr:sp macro="" textlink="">
      <xdr:nvSpPr>
        <xdr:cNvPr id="57879" name="Drop Down 535" hidden="1">
          <a:extLst>
            <a:ext uri="{63B3BB69-23CF-44E3-9099-C40C66FF867C}">
              <a14:compatExt xmlns:a14="http://schemas.microsoft.com/office/drawing/2010/main" spid="_x0000_s57879"/>
            </a:ext>
            <a:ext uri="{FF2B5EF4-FFF2-40B4-BE49-F238E27FC236}">
              <a16:creationId xmlns:a16="http://schemas.microsoft.com/office/drawing/2014/main" id="{00000000-0008-0000-0600-000017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218</xdr:row>
      <xdr:rowOff>83820</xdr:rowOff>
    </xdr:from>
    <xdr:to>
      <xdr:col>6</xdr:col>
      <xdr:colOff>1249680</xdr:colOff>
      <xdr:row>218</xdr:row>
      <xdr:rowOff>304800</xdr:rowOff>
    </xdr:to>
    <xdr:sp macro="" textlink="">
      <xdr:nvSpPr>
        <xdr:cNvPr id="57880" name="Drop Down 536" hidden="1">
          <a:extLst>
            <a:ext uri="{63B3BB69-23CF-44E3-9099-C40C66FF867C}">
              <a14:compatExt xmlns:a14="http://schemas.microsoft.com/office/drawing/2010/main" spid="_x0000_s57880"/>
            </a:ext>
            <a:ext uri="{FF2B5EF4-FFF2-40B4-BE49-F238E27FC236}">
              <a16:creationId xmlns:a16="http://schemas.microsoft.com/office/drawing/2014/main" id="{00000000-0008-0000-0600-000018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219</xdr:row>
      <xdr:rowOff>83820</xdr:rowOff>
    </xdr:from>
    <xdr:to>
      <xdr:col>6</xdr:col>
      <xdr:colOff>1249680</xdr:colOff>
      <xdr:row>219</xdr:row>
      <xdr:rowOff>304800</xdr:rowOff>
    </xdr:to>
    <xdr:sp macro="" textlink="">
      <xdr:nvSpPr>
        <xdr:cNvPr id="57881" name="Drop Down 537" hidden="1">
          <a:extLst>
            <a:ext uri="{63B3BB69-23CF-44E3-9099-C40C66FF867C}">
              <a14:compatExt xmlns:a14="http://schemas.microsoft.com/office/drawing/2010/main" spid="_x0000_s57881"/>
            </a:ext>
            <a:ext uri="{FF2B5EF4-FFF2-40B4-BE49-F238E27FC236}">
              <a16:creationId xmlns:a16="http://schemas.microsoft.com/office/drawing/2014/main" id="{00000000-0008-0000-0600-000019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220</xdr:row>
      <xdr:rowOff>83820</xdr:rowOff>
    </xdr:from>
    <xdr:to>
      <xdr:col>6</xdr:col>
      <xdr:colOff>1249680</xdr:colOff>
      <xdr:row>220</xdr:row>
      <xdr:rowOff>304800</xdr:rowOff>
    </xdr:to>
    <xdr:sp macro="" textlink="">
      <xdr:nvSpPr>
        <xdr:cNvPr id="57882" name="Drop Down 538" hidden="1">
          <a:extLst>
            <a:ext uri="{63B3BB69-23CF-44E3-9099-C40C66FF867C}">
              <a14:compatExt xmlns:a14="http://schemas.microsoft.com/office/drawing/2010/main" spid="_x0000_s57882"/>
            </a:ext>
            <a:ext uri="{FF2B5EF4-FFF2-40B4-BE49-F238E27FC236}">
              <a16:creationId xmlns:a16="http://schemas.microsoft.com/office/drawing/2014/main" id="{00000000-0008-0000-0600-00001A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221</xdr:row>
      <xdr:rowOff>83820</xdr:rowOff>
    </xdr:from>
    <xdr:to>
      <xdr:col>6</xdr:col>
      <xdr:colOff>1249680</xdr:colOff>
      <xdr:row>221</xdr:row>
      <xdr:rowOff>304800</xdr:rowOff>
    </xdr:to>
    <xdr:sp macro="" textlink="">
      <xdr:nvSpPr>
        <xdr:cNvPr id="57883" name="Drop Down 539" hidden="1">
          <a:extLst>
            <a:ext uri="{63B3BB69-23CF-44E3-9099-C40C66FF867C}">
              <a14:compatExt xmlns:a14="http://schemas.microsoft.com/office/drawing/2010/main" spid="_x0000_s57883"/>
            </a:ext>
            <a:ext uri="{FF2B5EF4-FFF2-40B4-BE49-F238E27FC236}">
              <a16:creationId xmlns:a16="http://schemas.microsoft.com/office/drawing/2014/main" id="{00000000-0008-0000-0600-00001B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222</xdr:row>
      <xdr:rowOff>83820</xdr:rowOff>
    </xdr:from>
    <xdr:to>
      <xdr:col>6</xdr:col>
      <xdr:colOff>1249680</xdr:colOff>
      <xdr:row>222</xdr:row>
      <xdr:rowOff>304800</xdr:rowOff>
    </xdr:to>
    <xdr:sp macro="" textlink="">
      <xdr:nvSpPr>
        <xdr:cNvPr id="57884" name="Drop Down 540" hidden="1">
          <a:extLst>
            <a:ext uri="{63B3BB69-23CF-44E3-9099-C40C66FF867C}">
              <a14:compatExt xmlns:a14="http://schemas.microsoft.com/office/drawing/2010/main" spid="_x0000_s57884"/>
            </a:ext>
            <a:ext uri="{FF2B5EF4-FFF2-40B4-BE49-F238E27FC236}">
              <a16:creationId xmlns:a16="http://schemas.microsoft.com/office/drawing/2014/main" id="{00000000-0008-0000-0600-00001C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223</xdr:row>
      <xdr:rowOff>83820</xdr:rowOff>
    </xdr:from>
    <xdr:to>
      <xdr:col>6</xdr:col>
      <xdr:colOff>1249680</xdr:colOff>
      <xdr:row>224</xdr:row>
      <xdr:rowOff>114300</xdr:rowOff>
    </xdr:to>
    <xdr:sp macro="" textlink="">
      <xdr:nvSpPr>
        <xdr:cNvPr id="57885" name="Drop Down 541" hidden="1">
          <a:extLst>
            <a:ext uri="{63B3BB69-23CF-44E3-9099-C40C66FF867C}">
              <a14:compatExt xmlns:a14="http://schemas.microsoft.com/office/drawing/2010/main" spid="_x0000_s57885"/>
            </a:ext>
            <a:ext uri="{FF2B5EF4-FFF2-40B4-BE49-F238E27FC236}">
              <a16:creationId xmlns:a16="http://schemas.microsoft.com/office/drawing/2014/main" id="{00000000-0008-0000-0600-00001D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224</xdr:row>
      <xdr:rowOff>83820</xdr:rowOff>
    </xdr:from>
    <xdr:to>
      <xdr:col>6</xdr:col>
      <xdr:colOff>1249680</xdr:colOff>
      <xdr:row>225</xdr:row>
      <xdr:rowOff>114300</xdr:rowOff>
    </xdr:to>
    <xdr:sp macro="" textlink="">
      <xdr:nvSpPr>
        <xdr:cNvPr id="57886" name="Drop Down 542" hidden="1">
          <a:extLst>
            <a:ext uri="{63B3BB69-23CF-44E3-9099-C40C66FF867C}">
              <a14:compatExt xmlns:a14="http://schemas.microsoft.com/office/drawing/2010/main" spid="_x0000_s57886"/>
            </a:ext>
            <a:ext uri="{FF2B5EF4-FFF2-40B4-BE49-F238E27FC236}">
              <a16:creationId xmlns:a16="http://schemas.microsoft.com/office/drawing/2014/main" id="{00000000-0008-0000-0600-00001E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226</xdr:row>
      <xdr:rowOff>83820</xdr:rowOff>
    </xdr:from>
    <xdr:to>
      <xdr:col>6</xdr:col>
      <xdr:colOff>1249680</xdr:colOff>
      <xdr:row>227</xdr:row>
      <xdr:rowOff>114300</xdr:rowOff>
    </xdr:to>
    <xdr:sp macro="" textlink="">
      <xdr:nvSpPr>
        <xdr:cNvPr id="57887" name="Drop Down 543" hidden="1">
          <a:extLst>
            <a:ext uri="{63B3BB69-23CF-44E3-9099-C40C66FF867C}">
              <a14:compatExt xmlns:a14="http://schemas.microsoft.com/office/drawing/2010/main" spid="_x0000_s57887"/>
            </a:ext>
            <a:ext uri="{FF2B5EF4-FFF2-40B4-BE49-F238E27FC236}">
              <a16:creationId xmlns:a16="http://schemas.microsoft.com/office/drawing/2014/main" id="{00000000-0008-0000-0600-00001F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227</xdr:row>
      <xdr:rowOff>83820</xdr:rowOff>
    </xdr:from>
    <xdr:to>
      <xdr:col>6</xdr:col>
      <xdr:colOff>1249680</xdr:colOff>
      <xdr:row>227</xdr:row>
      <xdr:rowOff>304800</xdr:rowOff>
    </xdr:to>
    <xdr:sp macro="" textlink="">
      <xdr:nvSpPr>
        <xdr:cNvPr id="57888" name="Drop Down 544" hidden="1">
          <a:extLst>
            <a:ext uri="{63B3BB69-23CF-44E3-9099-C40C66FF867C}">
              <a14:compatExt xmlns:a14="http://schemas.microsoft.com/office/drawing/2010/main" spid="_x0000_s57888"/>
            </a:ext>
            <a:ext uri="{FF2B5EF4-FFF2-40B4-BE49-F238E27FC236}">
              <a16:creationId xmlns:a16="http://schemas.microsoft.com/office/drawing/2014/main" id="{00000000-0008-0000-0600-000020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228</xdr:row>
      <xdr:rowOff>83820</xdr:rowOff>
    </xdr:from>
    <xdr:to>
      <xdr:col>6</xdr:col>
      <xdr:colOff>1249680</xdr:colOff>
      <xdr:row>229</xdr:row>
      <xdr:rowOff>114300</xdr:rowOff>
    </xdr:to>
    <xdr:sp macro="" textlink="">
      <xdr:nvSpPr>
        <xdr:cNvPr id="57889" name="Drop Down 545" hidden="1">
          <a:extLst>
            <a:ext uri="{63B3BB69-23CF-44E3-9099-C40C66FF867C}">
              <a14:compatExt xmlns:a14="http://schemas.microsoft.com/office/drawing/2010/main" spid="_x0000_s57889"/>
            </a:ext>
            <a:ext uri="{FF2B5EF4-FFF2-40B4-BE49-F238E27FC236}">
              <a16:creationId xmlns:a16="http://schemas.microsoft.com/office/drawing/2014/main" id="{00000000-0008-0000-0600-000021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229</xdr:row>
      <xdr:rowOff>83820</xdr:rowOff>
    </xdr:from>
    <xdr:to>
      <xdr:col>6</xdr:col>
      <xdr:colOff>1249680</xdr:colOff>
      <xdr:row>229</xdr:row>
      <xdr:rowOff>304800</xdr:rowOff>
    </xdr:to>
    <xdr:sp macro="" textlink="">
      <xdr:nvSpPr>
        <xdr:cNvPr id="57890" name="Drop Down 546" hidden="1">
          <a:extLst>
            <a:ext uri="{63B3BB69-23CF-44E3-9099-C40C66FF867C}">
              <a14:compatExt xmlns:a14="http://schemas.microsoft.com/office/drawing/2010/main" spid="_x0000_s57890"/>
            </a:ext>
            <a:ext uri="{FF2B5EF4-FFF2-40B4-BE49-F238E27FC236}">
              <a16:creationId xmlns:a16="http://schemas.microsoft.com/office/drawing/2014/main" id="{00000000-0008-0000-0600-000022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230</xdr:row>
      <xdr:rowOff>83820</xdr:rowOff>
    </xdr:from>
    <xdr:to>
      <xdr:col>6</xdr:col>
      <xdr:colOff>1249680</xdr:colOff>
      <xdr:row>231</xdr:row>
      <xdr:rowOff>114300</xdr:rowOff>
    </xdr:to>
    <xdr:sp macro="" textlink="">
      <xdr:nvSpPr>
        <xdr:cNvPr id="57891" name="Drop Down 547" hidden="1">
          <a:extLst>
            <a:ext uri="{63B3BB69-23CF-44E3-9099-C40C66FF867C}">
              <a14:compatExt xmlns:a14="http://schemas.microsoft.com/office/drawing/2010/main" spid="_x0000_s57891"/>
            </a:ext>
            <a:ext uri="{FF2B5EF4-FFF2-40B4-BE49-F238E27FC236}">
              <a16:creationId xmlns:a16="http://schemas.microsoft.com/office/drawing/2014/main" id="{00000000-0008-0000-0600-000023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231</xdr:row>
      <xdr:rowOff>83820</xdr:rowOff>
    </xdr:from>
    <xdr:to>
      <xdr:col>6</xdr:col>
      <xdr:colOff>1249680</xdr:colOff>
      <xdr:row>231</xdr:row>
      <xdr:rowOff>304800</xdr:rowOff>
    </xdr:to>
    <xdr:sp macro="" textlink="">
      <xdr:nvSpPr>
        <xdr:cNvPr id="57892" name="Drop Down 548" hidden="1">
          <a:extLst>
            <a:ext uri="{63B3BB69-23CF-44E3-9099-C40C66FF867C}">
              <a14:compatExt xmlns:a14="http://schemas.microsoft.com/office/drawing/2010/main" spid="_x0000_s57892"/>
            </a:ext>
            <a:ext uri="{FF2B5EF4-FFF2-40B4-BE49-F238E27FC236}">
              <a16:creationId xmlns:a16="http://schemas.microsoft.com/office/drawing/2014/main" id="{00000000-0008-0000-0600-000024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235</xdr:row>
      <xdr:rowOff>83820</xdr:rowOff>
    </xdr:from>
    <xdr:to>
      <xdr:col>6</xdr:col>
      <xdr:colOff>1249680</xdr:colOff>
      <xdr:row>236</xdr:row>
      <xdr:rowOff>114300</xdr:rowOff>
    </xdr:to>
    <xdr:sp macro="" textlink="">
      <xdr:nvSpPr>
        <xdr:cNvPr id="57893" name="Drop Down 549" hidden="1">
          <a:extLst>
            <a:ext uri="{63B3BB69-23CF-44E3-9099-C40C66FF867C}">
              <a14:compatExt xmlns:a14="http://schemas.microsoft.com/office/drawing/2010/main" spid="_x0000_s57893"/>
            </a:ext>
            <a:ext uri="{FF2B5EF4-FFF2-40B4-BE49-F238E27FC236}">
              <a16:creationId xmlns:a16="http://schemas.microsoft.com/office/drawing/2014/main" id="{00000000-0008-0000-0600-000025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236</xdr:row>
      <xdr:rowOff>83820</xdr:rowOff>
    </xdr:from>
    <xdr:to>
      <xdr:col>6</xdr:col>
      <xdr:colOff>1249680</xdr:colOff>
      <xdr:row>236</xdr:row>
      <xdr:rowOff>180975</xdr:rowOff>
    </xdr:to>
    <xdr:sp macro="" textlink="">
      <xdr:nvSpPr>
        <xdr:cNvPr id="57894" name="Drop Down 550" hidden="1">
          <a:extLst>
            <a:ext uri="{63B3BB69-23CF-44E3-9099-C40C66FF867C}">
              <a14:compatExt xmlns:a14="http://schemas.microsoft.com/office/drawing/2010/main" spid="_x0000_s57894"/>
            </a:ext>
            <a:ext uri="{FF2B5EF4-FFF2-40B4-BE49-F238E27FC236}">
              <a16:creationId xmlns:a16="http://schemas.microsoft.com/office/drawing/2014/main" id="{00000000-0008-0000-0600-000026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237</xdr:row>
      <xdr:rowOff>83820</xdr:rowOff>
    </xdr:from>
    <xdr:to>
      <xdr:col>6</xdr:col>
      <xdr:colOff>1249680</xdr:colOff>
      <xdr:row>238</xdr:row>
      <xdr:rowOff>114300</xdr:rowOff>
    </xdr:to>
    <xdr:sp macro="" textlink="">
      <xdr:nvSpPr>
        <xdr:cNvPr id="57895" name="Drop Down 551" hidden="1">
          <a:extLst>
            <a:ext uri="{63B3BB69-23CF-44E3-9099-C40C66FF867C}">
              <a14:compatExt xmlns:a14="http://schemas.microsoft.com/office/drawing/2010/main" spid="_x0000_s57895"/>
            </a:ext>
            <a:ext uri="{FF2B5EF4-FFF2-40B4-BE49-F238E27FC236}">
              <a16:creationId xmlns:a16="http://schemas.microsoft.com/office/drawing/2014/main" id="{00000000-0008-0000-0600-000027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239</xdr:row>
      <xdr:rowOff>83820</xdr:rowOff>
    </xdr:from>
    <xdr:to>
      <xdr:col>6</xdr:col>
      <xdr:colOff>1249680</xdr:colOff>
      <xdr:row>239</xdr:row>
      <xdr:rowOff>304800</xdr:rowOff>
    </xdr:to>
    <xdr:sp macro="" textlink="">
      <xdr:nvSpPr>
        <xdr:cNvPr id="57896" name="Drop Down 552" hidden="1">
          <a:extLst>
            <a:ext uri="{63B3BB69-23CF-44E3-9099-C40C66FF867C}">
              <a14:compatExt xmlns:a14="http://schemas.microsoft.com/office/drawing/2010/main" spid="_x0000_s57896"/>
            </a:ext>
            <a:ext uri="{FF2B5EF4-FFF2-40B4-BE49-F238E27FC236}">
              <a16:creationId xmlns:a16="http://schemas.microsoft.com/office/drawing/2014/main" id="{00000000-0008-0000-0600-000028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240</xdr:row>
      <xdr:rowOff>83820</xdr:rowOff>
    </xdr:from>
    <xdr:to>
      <xdr:col>6</xdr:col>
      <xdr:colOff>1249680</xdr:colOff>
      <xdr:row>240</xdr:row>
      <xdr:rowOff>304800</xdr:rowOff>
    </xdr:to>
    <xdr:sp macro="" textlink="">
      <xdr:nvSpPr>
        <xdr:cNvPr id="57897" name="Drop Down 553" hidden="1">
          <a:extLst>
            <a:ext uri="{63B3BB69-23CF-44E3-9099-C40C66FF867C}">
              <a14:compatExt xmlns:a14="http://schemas.microsoft.com/office/drawing/2010/main" spid="_x0000_s57897"/>
            </a:ext>
            <a:ext uri="{FF2B5EF4-FFF2-40B4-BE49-F238E27FC236}">
              <a16:creationId xmlns:a16="http://schemas.microsoft.com/office/drawing/2014/main" id="{00000000-0008-0000-0600-000029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241</xdr:row>
      <xdr:rowOff>83820</xdr:rowOff>
    </xdr:from>
    <xdr:to>
      <xdr:col>6</xdr:col>
      <xdr:colOff>1249680</xdr:colOff>
      <xdr:row>241</xdr:row>
      <xdr:rowOff>304800</xdr:rowOff>
    </xdr:to>
    <xdr:sp macro="" textlink="">
      <xdr:nvSpPr>
        <xdr:cNvPr id="57898" name="Drop Down 554" hidden="1">
          <a:extLst>
            <a:ext uri="{63B3BB69-23CF-44E3-9099-C40C66FF867C}">
              <a14:compatExt xmlns:a14="http://schemas.microsoft.com/office/drawing/2010/main" spid="_x0000_s57898"/>
            </a:ext>
            <a:ext uri="{FF2B5EF4-FFF2-40B4-BE49-F238E27FC236}">
              <a16:creationId xmlns:a16="http://schemas.microsoft.com/office/drawing/2014/main" id="{00000000-0008-0000-0600-00002A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242</xdr:row>
      <xdr:rowOff>83820</xdr:rowOff>
    </xdr:from>
    <xdr:to>
      <xdr:col>6</xdr:col>
      <xdr:colOff>1249680</xdr:colOff>
      <xdr:row>242</xdr:row>
      <xdr:rowOff>304800</xdr:rowOff>
    </xdr:to>
    <xdr:sp macro="" textlink="">
      <xdr:nvSpPr>
        <xdr:cNvPr id="57899" name="Drop Down 555" hidden="1">
          <a:extLst>
            <a:ext uri="{63B3BB69-23CF-44E3-9099-C40C66FF867C}">
              <a14:compatExt xmlns:a14="http://schemas.microsoft.com/office/drawing/2010/main" spid="_x0000_s57899"/>
            </a:ext>
            <a:ext uri="{FF2B5EF4-FFF2-40B4-BE49-F238E27FC236}">
              <a16:creationId xmlns:a16="http://schemas.microsoft.com/office/drawing/2014/main" id="{00000000-0008-0000-0600-00002B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243</xdr:row>
      <xdr:rowOff>83820</xdr:rowOff>
    </xdr:from>
    <xdr:to>
      <xdr:col>6</xdr:col>
      <xdr:colOff>1249680</xdr:colOff>
      <xdr:row>243</xdr:row>
      <xdr:rowOff>180975</xdr:rowOff>
    </xdr:to>
    <xdr:sp macro="" textlink="">
      <xdr:nvSpPr>
        <xdr:cNvPr id="57900" name="Drop Down 556" hidden="1">
          <a:extLst>
            <a:ext uri="{63B3BB69-23CF-44E3-9099-C40C66FF867C}">
              <a14:compatExt xmlns:a14="http://schemas.microsoft.com/office/drawing/2010/main" spid="_x0000_s57900"/>
            </a:ext>
            <a:ext uri="{FF2B5EF4-FFF2-40B4-BE49-F238E27FC236}">
              <a16:creationId xmlns:a16="http://schemas.microsoft.com/office/drawing/2014/main" id="{00000000-0008-0000-0600-00002C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245</xdr:row>
      <xdr:rowOff>83820</xdr:rowOff>
    </xdr:from>
    <xdr:to>
      <xdr:col>6</xdr:col>
      <xdr:colOff>1249680</xdr:colOff>
      <xdr:row>245</xdr:row>
      <xdr:rowOff>304800</xdr:rowOff>
    </xdr:to>
    <xdr:sp macro="" textlink="">
      <xdr:nvSpPr>
        <xdr:cNvPr id="57901" name="Drop Down 557" hidden="1">
          <a:extLst>
            <a:ext uri="{63B3BB69-23CF-44E3-9099-C40C66FF867C}">
              <a14:compatExt xmlns:a14="http://schemas.microsoft.com/office/drawing/2010/main" spid="_x0000_s57901"/>
            </a:ext>
            <a:ext uri="{FF2B5EF4-FFF2-40B4-BE49-F238E27FC236}">
              <a16:creationId xmlns:a16="http://schemas.microsoft.com/office/drawing/2014/main" id="{00000000-0008-0000-0600-00002D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246</xdr:row>
      <xdr:rowOff>83820</xdr:rowOff>
    </xdr:from>
    <xdr:to>
      <xdr:col>6</xdr:col>
      <xdr:colOff>1249680</xdr:colOff>
      <xdr:row>246</xdr:row>
      <xdr:rowOff>180975</xdr:rowOff>
    </xdr:to>
    <xdr:sp macro="" textlink="">
      <xdr:nvSpPr>
        <xdr:cNvPr id="57902" name="Drop Down 558" hidden="1">
          <a:extLst>
            <a:ext uri="{63B3BB69-23CF-44E3-9099-C40C66FF867C}">
              <a14:compatExt xmlns:a14="http://schemas.microsoft.com/office/drawing/2010/main" spid="_x0000_s57902"/>
            </a:ext>
            <a:ext uri="{FF2B5EF4-FFF2-40B4-BE49-F238E27FC236}">
              <a16:creationId xmlns:a16="http://schemas.microsoft.com/office/drawing/2014/main" id="{00000000-0008-0000-0600-00002E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247</xdr:row>
      <xdr:rowOff>83820</xdr:rowOff>
    </xdr:from>
    <xdr:to>
      <xdr:col>6</xdr:col>
      <xdr:colOff>1249680</xdr:colOff>
      <xdr:row>248</xdr:row>
      <xdr:rowOff>114300</xdr:rowOff>
    </xdr:to>
    <xdr:sp macro="" textlink="">
      <xdr:nvSpPr>
        <xdr:cNvPr id="57903" name="Drop Down 559" hidden="1">
          <a:extLst>
            <a:ext uri="{63B3BB69-23CF-44E3-9099-C40C66FF867C}">
              <a14:compatExt xmlns:a14="http://schemas.microsoft.com/office/drawing/2010/main" spid="_x0000_s57903"/>
            </a:ext>
            <a:ext uri="{FF2B5EF4-FFF2-40B4-BE49-F238E27FC236}">
              <a16:creationId xmlns:a16="http://schemas.microsoft.com/office/drawing/2014/main" id="{00000000-0008-0000-0600-00002F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248</xdr:row>
      <xdr:rowOff>83820</xdr:rowOff>
    </xdr:from>
    <xdr:to>
      <xdr:col>6</xdr:col>
      <xdr:colOff>1249680</xdr:colOff>
      <xdr:row>248</xdr:row>
      <xdr:rowOff>304800</xdr:rowOff>
    </xdr:to>
    <xdr:sp macro="" textlink="">
      <xdr:nvSpPr>
        <xdr:cNvPr id="57904" name="Drop Down 560" hidden="1">
          <a:extLst>
            <a:ext uri="{63B3BB69-23CF-44E3-9099-C40C66FF867C}">
              <a14:compatExt xmlns:a14="http://schemas.microsoft.com/office/drawing/2010/main" spid="_x0000_s57904"/>
            </a:ext>
            <a:ext uri="{FF2B5EF4-FFF2-40B4-BE49-F238E27FC236}">
              <a16:creationId xmlns:a16="http://schemas.microsoft.com/office/drawing/2014/main" id="{00000000-0008-0000-0600-000030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249</xdr:row>
      <xdr:rowOff>83820</xdr:rowOff>
    </xdr:from>
    <xdr:to>
      <xdr:col>6</xdr:col>
      <xdr:colOff>1249680</xdr:colOff>
      <xdr:row>250</xdr:row>
      <xdr:rowOff>114300</xdr:rowOff>
    </xdr:to>
    <xdr:sp macro="" textlink="">
      <xdr:nvSpPr>
        <xdr:cNvPr id="57905" name="Drop Down 561" hidden="1">
          <a:extLst>
            <a:ext uri="{63B3BB69-23CF-44E3-9099-C40C66FF867C}">
              <a14:compatExt xmlns:a14="http://schemas.microsoft.com/office/drawing/2010/main" spid="_x0000_s57905"/>
            </a:ext>
            <a:ext uri="{FF2B5EF4-FFF2-40B4-BE49-F238E27FC236}">
              <a16:creationId xmlns:a16="http://schemas.microsoft.com/office/drawing/2014/main" id="{00000000-0008-0000-0600-000031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250</xdr:row>
      <xdr:rowOff>83820</xdr:rowOff>
    </xdr:from>
    <xdr:to>
      <xdr:col>6</xdr:col>
      <xdr:colOff>1249680</xdr:colOff>
      <xdr:row>250</xdr:row>
      <xdr:rowOff>304800</xdr:rowOff>
    </xdr:to>
    <xdr:sp macro="" textlink="">
      <xdr:nvSpPr>
        <xdr:cNvPr id="57906" name="Drop Down 562" hidden="1">
          <a:extLst>
            <a:ext uri="{63B3BB69-23CF-44E3-9099-C40C66FF867C}">
              <a14:compatExt xmlns:a14="http://schemas.microsoft.com/office/drawing/2010/main" spid="_x0000_s57906"/>
            </a:ext>
            <a:ext uri="{FF2B5EF4-FFF2-40B4-BE49-F238E27FC236}">
              <a16:creationId xmlns:a16="http://schemas.microsoft.com/office/drawing/2014/main" id="{00000000-0008-0000-0600-000032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251</xdr:row>
      <xdr:rowOff>83820</xdr:rowOff>
    </xdr:from>
    <xdr:to>
      <xdr:col>6</xdr:col>
      <xdr:colOff>1249680</xdr:colOff>
      <xdr:row>251</xdr:row>
      <xdr:rowOff>180975</xdr:rowOff>
    </xdr:to>
    <xdr:sp macro="" textlink="">
      <xdr:nvSpPr>
        <xdr:cNvPr id="57907" name="Drop Down 563" hidden="1">
          <a:extLst>
            <a:ext uri="{63B3BB69-23CF-44E3-9099-C40C66FF867C}">
              <a14:compatExt xmlns:a14="http://schemas.microsoft.com/office/drawing/2010/main" spid="_x0000_s57907"/>
            </a:ext>
            <a:ext uri="{FF2B5EF4-FFF2-40B4-BE49-F238E27FC236}">
              <a16:creationId xmlns:a16="http://schemas.microsoft.com/office/drawing/2014/main" id="{00000000-0008-0000-0600-000033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253</xdr:row>
      <xdr:rowOff>83820</xdr:rowOff>
    </xdr:from>
    <xdr:to>
      <xdr:col>6</xdr:col>
      <xdr:colOff>1249680</xdr:colOff>
      <xdr:row>253</xdr:row>
      <xdr:rowOff>304800</xdr:rowOff>
    </xdr:to>
    <xdr:sp macro="" textlink="">
      <xdr:nvSpPr>
        <xdr:cNvPr id="57908" name="Drop Down 564" hidden="1">
          <a:extLst>
            <a:ext uri="{63B3BB69-23CF-44E3-9099-C40C66FF867C}">
              <a14:compatExt xmlns:a14="http://schemas.microsoft.com/office/drawing/2010/main" spid="_x0000_s57908"/>
            </a:ext>
            <a:ext uri="{FF2B5EF4-FFF2-40B4-BE49-F238E27FC236}">
              <a16:creationId xmlns:a16="http://schemas.microsoft.com/office/drawing/2014/main" id="{00000000-0008-0000-0600-000034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254</xdr:row>
      <xdr:rowOff>83820</xdr:rowOff>
    </xdr:from>
    <xdr:to>
      <xdr:col>6</xdr:col>
      <xdr:colOff>1249680</xdr:colOff>
      <xdr:row>254</xdr:row>
      <xdr:rowOff>304800</xdr:rowOff>
    </xdr:to>
    <xdr:sp macro="" textlink="">
      <xdr:nvSpPr>
        <xdr:cNvPr id="57909" name="Drop Down 565" hidden="1">
          <a:extLst>
            <a:ext uri="{63B3BB69-23CF-44E3-9099-C40C66FF867C}">
              <a14:compatExt xmlns:a14="http://schemas.microsoft.com/office/drawing/2010/main" spid="_x0000_s57909"/>
            </a:ext>
            <a:ext uri="{FF2B5EF4-FFF2-40B4-BE49-F238E27FC236}">
              <a16:creationId xmlns:a16="http://schemas.microsoft.com/office/drawing/2014/main" id="{00000000-0008-0000-0600-000035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255</xdr:row>
      <xdr:rowOff>83820</xdr:rowOff>
    </xdr:from>
    <xdr:to>
      <xdr:col>6</xdr:col>
      <xdr:colOff>1249680</xdr:colOff>
      <xdr:row>255</xdr:row>
      <xdr:rowOff>304800</xdr:rowOff>
    </xdr:to>
    <xdr:sp macro="" textlink="">
      <xdr:nvSpPr>
        <xdr:cNvPr id="57910" name="Drop Down 566" hidden="1">
          <a:extLst>
            <a:ext uri="{63B3BB69-23CF-44E3-9099-C40C66FF867C}">
              <a14:compatExt xmlns:a14="http://schemas.microsoft.com/office/drawing/2010/main" spid="_x0000_s57910"/>
            </a:ext>
            <a:ext uri="{FF2B5EF4-FFF2-40B4-BE49-F238E27FC236}">
              <a16:creationId xmlns:a16="http://schemas.microsoft.com/office/drawing/2014/main" id="{00000000-0008-0000-0600-000036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258</xdr:row>
      <xdr:rowOff>83820</xdr:rowOff>
    </xdr:from>
    <xdr:to>
      <xdr:col>6</xdr:col>
      <xdr:colOff>1249680</xdr:colOff>
      <xdr:row>258</xdr:row>
      <xdr:rowOff>180975</xdr:rowOff>
    </xdr:to>
    <xdr:sp macro="" textlink="">
      <xdr:nvSpPr>
        <xdr:cNvPr id="57911" name="Drop Down 567" hidden="1">
          <a:extLst>
            <a:ext uri="{63B3BB69-23CF-44E3-9099-C40C66FF867C}">
              <a14:compatExt xmlns:a14="http://schemas.microsoft.com/office/drawing/2010/main" spid="_x0000_s57911"/>
            </a:ext>
            <a:ext uri="{FF2B5EF4-FFF2-40B4-BE49-F238E27FC236}">
              <a16:creationId xmlns:a16="http://schemas.microsoft.com/office/drawing/2014/main" id="{00000000-0008-0000-0600-000037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259</xdr:row>
      <xdr:rowOff>83820</xdr:rowOff>
    </xdr:from>
    <xdr:to>
      <xdr:col>6</xdr:col>
      <xdr:colOff>1249680</xdr:colOff>
      <xdr:row>260</xdr:row>
      <xdr:rowOff>114300</xdr:rowOff>
    </xdr:to>
    <xdr:sp macro="" textlink="">
      <xdr:nvSpPr>
        <xdr:cNvPr id="57912" name="Drop Down 568" hidden="1">
          <a:extLst>
            <a:ext uri="{63B3BB69-23CF-44E3-9099-C40C66FF867C}">
              <a14:compatExt xmlns:a14="http://schemas.microsoft.com/office/drawing/2010/main" spid="_x0000_s57912"/>
            </a:ext>
            <a:ext uri="{FF2B5EF4-FFF2-40B4-BE49-F238E27FC236}">
              <a16:creationId xmlns:a16="http://schemas.microsoft.com/office/drawing/2014/main" id="{00000000-0008-0000-0600-000038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261</xdr:row>
      <xdr:rowOff>83820</xdr:rowOff>
    </xdr:from>
    <xdr:to>
      <xdr:col>6</xdr:col>
      <xdr:colOff>1249680</xdr:colOff>
      <xdr:row>261</xdr:row>
      <xdr:rowOff>304800</xdr:rowOff>
    </xdr:to>
    <xdr:sp macro="" textlink="">
      <xdr:nvSpPr>
        <xdr:cNvPr id="57913" name="Drop Down 569" hidden="1">
          <a:extLst>
            <a:ext uri="{63B3BB69-23CF-44E3-9099-C40C66FF867C}">
              <a14:compatExt xmlns:a14="http://schemas.microsoft.com/office/drawing/2010/main" spid="_x0000_s57913"/>
            </a:ext>
            <a:ext uri="{FF2B5EF4-FFF2-40B4-BE49-F238E27FC236}">
              <a16:creationId xmlns:a16="http://schemas.microsoft.com/office/drawing/2014/main" id="{00000000-0008-0000-0600-000039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262</xdr:row>
      <xdr:rowOff>83820</xdr:rowOff>
    </xdr:from>
    <xdr:to>
      <xdr:col>6</xdr:col>
      <xdr:colOff>1249680</xdr:colOff>
      <xdr:row>263</xdr:row>
      <xdr:rowOff>114300</xdr:rowOff>
    </xdr:to>
    <xdr:sp macro="" textlink="">
      <xdr:nvSpPr>
        <xdr:cNvPr id="57914" name="Drop Down 570" hidden="1">
          <a:extLst>
            <a:ext uri="{63B3BB69-23CF-44E3-9099-C40C66FF867C}">
              <a14:compatExt xmlns:a14="http://schemas.microsoft.com/office/drawing/2010/main" spid="_x0000_s57914"/>
            </a:ext>
            <a:ext uri="{FF2B5EF4-FFF2-40B4-BE49-F238E27FC236}">
              <a16:creationId xmlns:a16="http://schemas.microsoft.com/office/drawing/2014/main" id="{00000000-0008-0000-0600-00003A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264</xdr:row>
      <xdr:rowOff>83820</xdr:rowOff>
    </xdr:from>
    <xdr:to>
      <xdr:col>6</xdr:col>
      <xdr:colOff>1249680</xdr:colOff>
      <xdr:row>265</xdr:row>
      <xdr:rowOff>114300</xdr:rowOff>
    </xdr:to>
    <xdr:sp macro="" textlink="">
      <xdr:nvSpPr>
        <xdr:cNvPr id="57915" name="Drop Down 571" hidden="1">
          <a:extLst>
            <a:ext uri="{63B3BB69-23CF-44E3-9099-C40C66FF867C}">
              <a14:compatExt xmlns:a14="http://schemas.microsoft.com/office/drawing/2010/main" spid="_x0000_s57915"/>
            </a:ext>
            <a:ext uri="{FF2B5EF4-FFF2-40B4-BE49-F238E27FC236}">
              <a16:creationId xmlns:a16="http://schemas.microsoft.com/office/drawing/2014/main" id="{00000000-0008-0000-0600-00003B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265</xdr:row>
      <xdr:rowOff>83820</xdr:rowOff>
    </xdr:from>
    <xdr:to>
      <xdr:col>6</xdr:col>
      <xdr:colOff>1249680</xdr:colOff>
      <xdr:row>265</xdr:row>
      <xdr:rowOff>304800</xdr:rowOff>
    </xdr:to>
    <xdr:sp macro="" textlink="">
      <xdr:nvSpPr>
        <xdr:cNvPr id="57916" name="Drop Down 572" hidden="1">
          <a:extLst>
            <a:ext uri="{63B3BB69-23CF-44E3-9099-C40C66FF867C}">
              <a14:compatExt xmlns:a14="http://schemas.microsoft.com/office/drawing/2010/main" spid="_x0000_s57916"/>
            </a:ext>
            <a:ext uri="{FF2B5EF4-FFF2-40B4-BE49-F238E27FC236}">
              <a16:creationId xmlns:a16="http://schemas.microsoft.com/office/drawing/2014/main" id="{00000000-0008-0000-0600-00003CE2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7</xdr:col>
      <xdr:colOff>106680</xdr:colOff>
      <xdr:row>38</xdr:row>
      <xdr:rowOff>83820</xdr:rowOff>
    </xdr:from>
    <xdr:to>
      <xdr:col>8</xdr:col>
      <xdr:colOff>173355</xdr:colOff>
      <xdr:row>40</xdr:row>
      <xdr:rowOff>114300</xdr:rowOff>
    </xdr:to>
    <xdr:sp macro="" textlink="">
      <xdr:nvSpPr>
        <xdr:cNvPr id="203" name="Drop Down 420" hidden="1">
          <a:extLst>
            <a:ext uri="{63B3BB69-23CF-44E3-9099-C40C66FF867C}">
              <a14:compatExt xmlns:a14="http://schemas.microsoft.com/office/drawing/2010/main" spid="_x0000_s57764"/>
            </a:ext>
            <a:ext uri="{FF2B5EF4-FFF2-40B4-BE49-F238E27FC236}">
              <a16:creationId xmlns:a16="http://schemas.microsoft.com/office/drawing/2014/main" id="{C3BAA6EC-A035-42BB-9E94-28E7E4A6959D}"/>
            </a:ext>
            <a:ext uri="{147F2762-F138-4A5C-976F-8EAC2B608ADB}">
              <a16:predDERef xmlns:a16="http://schemas.microsoft.com/office/drawing/2014/main" pred="{00000000-0008-0000-0600-00003CE20000}"/>
            </a:ext>
          </a:extLst>
        </xdr:cNvPr>
        <xdr:cNvSpPr/>
      </xdr:nvSpPr>
      <xdr:spPr bwMode="auto">
        <a:xfrm>
          <a:off x="6059805" y="14009370"/>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7</xdr:col>
      <xdr:colOff>106680</xdr:colOff>
      <xdr:row>39</xdr:row>
      <xdr:rowOff>0</xdr:rowOff>
    </xdr:from>
    <xdr:to>
      <xdr:col>8</xdr:col>
      <xdr:colOff>173355</xdr:colOff>
      <xdr:row>40</xdr:row>
      <xdr:rowOff>30480</xdr:rowOff>
    </xdr:to>
    <xdr:sp macro="" textlink="">
      <xdr:nvSpPr>
        <xdr:cNvPr id="204" name="Drop Down 421" hidden="1">
          <a:extLst>
            <a:ext uri="{63B3BB69-23CF-44E3-9099-C40C66FF867C}">
              <a14:compatExt xmlns:a14="http://schemas.microsoft.com/office/drawing/2010/main" spid="_x0000_s57765"/>
            </a:ext>
            <a:ext uri="{FF2B5EF4-FFF2-40B4-BE49-F238E27FC236}">
              <a16:creationId xmlns:a16="http://schemas.microsoft.com/office/drawing/2014/main" id="{64DEBE43-8A7E-4103-AC73-8F26E5ADB362}"/>
            </a:ext>
            <a:ext uri="{147F2762-F138-4A5C-976F-8EAC2B608ADB}">
              <a16:predDERef xmlns:a16="http://schemas.microsoft.com/office/drawing/2014/main" pred="{C3BAA6EC-A035-42BB-9E94-28E7E4A6959D}"/>
            </a:ext>
          </a:extLst>
        </xdr:cNvPr>
        <xdr:cNvSpPr/>
      </xdr:nvSpPr>
      <xdr:spPr bwMode="auto">
        <a:xfrm>
          <a:off x="6059805" y="14199870"/>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8</xdr:col>
      <xdr:colOff>106680</xdr:colOff>
      <xdr:row>38</xdr:row>
      <xdr:rowOff>83820</xdr:rowOff>
    </xdr:from>
    <xdr:to>
      <xdr:col>9</xdr:col>
      <xdr:colOff>173355</xdr:colOff>
      <xdr:row>40</xdr:row>
      <xdr:rowOff>114300</xdr:rowOff>
    </xdr:to>
    <xdr:sp macro="" textlink="">
      <xdr:nvSpPr>
        <xdr:cNvPr id="205" name="Drop Down 420" hidden="1">
          <a:extLst>
            <a:ext uri="{63B3BB69-23CF-44E3-9099-C40C66FF867C}">
              <a14:compatExt xmlns:a14="http://schemas.microsoft.com/office/drawing/2010/main" spid="_x0000_s57764"/>
            </a:ext>
            <a:ext uri="{FF2B5EF4-FFF2-40B4-BE49-F238E27FC236}">
              <a16:creationId xmlns:a16="http://schemas.microsoft.com/office/drawing/2014/main" id="{022D053E-CEB0-48FD-897C-96B149C49CE6}"/>
            </a:ext>
            <a:ext uri="{147F2762-F138-4A5C-976F-8EAC2B608ADB}">
              <a16:predDERef xmlns:a16="http://schemas.microsoft.com/office/drawing/2014/main" pred="{64DEBE43-8A7E-4103-AC73-8F26E5ADB362}"/>
            </a:ext>
          </a:extLst>
        </xdr:cNvPr>
        <xdr:cNvSpPr/>
      </xdr:nvSpPr>
      <xdr:spPr bwMode="auto">
        <a:xfrm>
          <a:off x="6059805" y="14009370"/>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8</xdr:col>
      <xdr:colOff>106680</xdr:colOff>
      <xdr:row>39</xdr:row>
      <xdr:rowOff>0</xdr:rowOff>
    </xdr:from>
    <xdr:to>
      <xdr:col>9</xdr:col>
      <xdr:colOff>173355</xdr:colOff>
      <xdr:row>40</xdr:row>
      <xdr:rowOff>30480</xdr:rowOff>
    </xdr:to>
    <xdr:sp macro="" textlink="">
      <xdr:nvSpPr>
        <xdr:cNvPr id="206" name="Drop Down 421" hidden="1">
          <a:extLst>
            <a:ext uri="{63B3BB69-23CF-44E3-9099-C40C66FF867C}">
              <a14:compatExt xmlns:a14="http://schemas.microsoft.com/office/drawing/2010/main" spid="_x0000_s57765"/>
            </a:ext>
            <a:ext uri="{FF2B5EF4-FFF2-40B4-BE49-F238E27FC236}">
              <a16:creationId xmlns:a16="http://schemas.microsoft.com/office/drawing/2014/main" id="{438DDFA7-E436-491E-B5CA-DF0753BB70C1}"/>
            </a:ext>
            <a:ext uri="{147F2762-F138-4A5C-976F-8EAC2B608ADB}">
              <a16:predDERef xmlns:a16="http://schemas.microsoft.com/office/drawing/2014/main" pred="{022D053E-CEB0-48FD-897C-96B149C49CE6}"/>
            </a:ext>
          </a:extLst>
        </xdr:cNvPr>
        <xdr:cNvSpPr/>
      </xdr:nvSpPr>
      <xdr:spPr bwMode="auto">
        <a:xfrm>
          <a:off x="6059805" y="14199870"/>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9</xdr:col>
      <xdr:colOff>106680</xdr:colOff>
      <xdr:row>38</xdr:row>
      <xdr:rowOff>83820</xdr:rowOff>
    </xdr:from>
    <xdr:to>
      <xdr:col>9</xdr:col>
      <xdr:colOff>1249680</xdr:colOff>
      <xdr:row>40</xdr:row>
      <xdr:rowOff>114300</xdr:rowOff>
    </xdr:to>
    <xdr:sp macro="" textlink="">
      <xdr:nvSpPr>
        <xdr:cNvPr id="207" name="Drop Down 420" hidden="1">
          <a:extLst>
            <a:ext uri="{63B3BB69-23CF-44E3-9099-C40C66FF867C}">
              <a14:compatExt xmlns:a14="http://schemas.microsoft.com/office/drawing/2010/main" spid="_x0000_s57764"/>
            </a:ext>
            <a:ext uri="{FF2B5EF4-FFF2-40B4-BE49-F238E27FC236}">
              <a16:creationId xmlns:a16="http://schemas.microsoft.com/office/drawing/2014/main" id="{53FA9A56-5018-46DE-8C96-137BAAD50D2A}"/>
            </a:ext>
            <a:ext uri="{147F2762-F138-4A5C-976F-8EAC2B608ADB}">
              <a16:predDERef xmlns:a16="http://schemas.microsoft.com/office/drawing/2014/main" pred="{438DDFA7-E436-491E-B5CA-DF0753BB70C1}"/>
            </a:ext>
          </a:extLst>
        </xdr:cNvPr>
        <xdr:cNvSpPr/>
      </xdr:nvSpPr>
      <xdr:spPr bwMode="auto">
        <a:xfrm>
          <a:off x="6059805" y="14009370"/>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9</xdr:col>
      <xdr:colOff>106680</xdr:colOff>
      <xdr:row>39</xdr:row>
      <xdr:rowOff>83820</xdr:rowOff>
    </xdr:from>
    <xdr:to>
      <xdr:col>9</xdr:col>
      <xdr:colOff>1249680</xdr:colOff>
      <xdr:row>40</xdr:row>
      <xdr:rowOff>114300</xdr:rowOff>
    </xdr:to>
    <xdr:sp macro="" textlink="">
      <xdr:nvSpPr>
        <xdr:cNvPr id="208" name="Drop Down 421" hidden="1">
          <a:extLst>
            <a:ext uri="{63B3BB69-23CF-44E3-9099-C40C66FF867C}">
              <a14:compatExt xmlns:a14="http://schemas.microsoft.com/office/drawing/2010/main" spid="_x0000_s57765"/>
            </a:ext>
            <a:ext uri="{FF2B5EF4-FFF2-40B4-BE49-F238E27FC236}">
              <a16:creationId xmlns:a16="http://schemas.microsoft.com/office/drawing/2014/main" id="{5458AB19-633E-498E-B232-CF1C24DD9632}"/>
            </a:ext>
            <a:ext uri="{147F2762-F138-4A5C-976F-8EAC2B608ADB}">
              <a16:predDERef xmlns:a16="http://schemas.microsoft.com/office/drawing/2014/main" pred="{53FA9A56-5018-46DE-8C96-137BAAD50D2A}"/>
            </a:ext>
          </a:extLst>
        </xdr:cNvPr>
        <xdr:cNvSpPr/>
      </xdr:nvSpPr>
      <xdr:spPr bwMode="auto">
        <a:xfrm>
          <a:off x="6059805" y="14199870"/>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7</xdr:col>
      <xdr:colOff>106680</xdr:colOff>
      <xdr:row>38</xdr:row>
      <xdr:rowOff>83820</xdr:rowOff>
    </xdr:from>
    <xdr:to>
      <xdr:col>8</xdr:col>
      <xdr:colOff>173355</xdr:colOff>
      <xdr:row>40</xdr:row>
      <xdr:rowOff>114300</xdr:rowOff>
    </xdr:to>
    <xdr:sp macro="" textlink="">
      <xdr:nvSpPr>
        <xdr:cNvPr id="209" name="Drop Down 420" hidden="1">
          <a:extLst>
            <a:ext uri="{63B3BB69-23CF-44E3-9099-C40C66FF867C}">
              <a14:compatExt xmlns:a14="http://schemas.microsoft.com/office/drawing/2010/main" spid="_x0000_s57764"/>
            </a:ext>
            <a:ext uri="{FF2B5EF4-FFF2-40B4-BE49-F238E27FC236}">
              <a16:creationId xmlns:a16="http://schemas.microsoft.com/office/drawing/2014/main" id="{A22EC920-73D8-493E-A75A-050E20EB0AE1}"/>
            </a:ext>
            <a:ext uri="{147F2762-F138-4A5C-976F-8EAC2B608ADB}">
              <a16:predDERef xmlns:a16="http://schemas.microsoft.com/office/drawing/2014/main" pred="{5458AB19-633E-498E-B232-CF1C24DD9632}"/>
            </a:ext>
          </a:extLst>
        </xdr:cNvPr>
        <xdr:cNvSpPr/>
      </xdr:nvSpPr>
      <xdr:spPr bwMode="auto">
        <a:xfrm>
          <a:off x="6059805" y="14009370"/>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7</xdr:col>
      <xdr:colOff>106680</xdr:colOff>
      <xdr:row>39</xdr:row>
      <xdr:rowOff>0</xdr:rowOff>
    </xdr:from>
    <xdr:to>
      <xdr:col>8</xdr:col>
      <xdr:colOff>173355</xdr:colOff>
      <xdr:row>40</xdr:row>
      <xdr:rowOff>30480</xdr:rowOff>
    </xdr:to>
    <xdr:sp macro="" textlink="">
      <xdr:nvSpPr>
        <xdr:cNvPr id="210" name="Drop Down 421" hidden="1">
          <a:extLst>
            <a:ext uri="{63B3BB69-23CF-44E3-9099-C40C66FF867C}">
              <a14:compatExt xmlns:a14="http://schemas.microsoft.com/office/drawing/2010/main" spid="_x0000_s57765"/>
            </a:ext>
            <a:ext uri="{FF2B5EF4-FFF2-40B4-BE49-F238E27FC236}">
              <a16:creationId xmlns:a16="http://schemas.microsoft.com/office/drawing/2014/main" id="{D356BE23-0C25-49B5-A85F-66B0EEBC0345}"/>
            </a:ext>
            <a:ext uri="{147F2762-F138-4A5C-976F-8EAC2B608ADB}">
              <a16:predDERef xmlns:a16="http://schemas.microsoft.com/office/drawing/2014/main" pred="{A22EC920-73D8-493E-A75A-050E20EB0AE1}"/>
            </a:ext>
          </a:extLst>
        </xdr:cNvPr>
        <xdr:cNvSpPr/>
      </xdr:nvSpPr>
      <xdr:spPr bwMode="auto">
        <a:xfrm>
          <a:off x="6059805" y="14199870"/>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8</xdr:col>
      <xdr:colOff>106680</xdr:colOff>
      <xdr:row>38</xdr:row>
      <xdr:rowOff>83820</xdr:rowOff>
    </xdr:from>
    <xdr:to>
      <xdr:col>9</xdr:col>
      <xdr:colOff>173355</xdr:colOff>
      <xdr:row>40</xdr:row>
      <xdr:rowOff>114300</xdr:rowOff>
    </xdr:to>
    <xdr:sp macro="" textlink="">
      <xdr:nvSpPr>
        <xdr:cNvPr id="211" name="Drop Down 420" hidden="1">
          <a:extLst>
            <a:ext uri="{63B3BB69-23CF-44E3-9099-C40C66FF867C}">
              <a14:compatExt xmlns:a14="http://schemas.microsoft.com/office/drawing/2010/main" spid="_x0000_s57764"/>
            </a:ext>
            <a:ext uri="{FF2B5EF4-FFF2-40B4-BE49-F238E27FC236}">
              <a16:creationId xmlns:a16="http://schemas.microsoft.com/office/drawing/2014/main" id="{5475388A-D7F0-4DDD-9702-0A3613720C53}"/>
            </a:ext>
            <a:ext uri="{147F2762-F138-4A5C-976F-8EAC2B608ADB}">
              <a16:predDERef xmlns:a16="http://schemas.microsoft.com/office/drawing/2014/main" pred="{D356BE23-0C25-49B5-A85F-66B0EEBC0345}"/>
            </a:ext>
          </a:extLst>
        </xdr:cNvPr>
        <xdr:cNvSpPr/>
      </xdr:nvSpPr>
      <xdr:spPr bwMode="auto">
        <a:xfrm>
          <a:off x="6059805" y="14009370"/>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8</xdr:col>
      <xdr:colOff>106680</xdr:colOff>
      <xdr:row>39</xdr:row>
      <xdr:rowOff>0</xdr:rowOff>
    </xdr:from>
    <xdr:to>
      <xdr:col>9</xdr:col>
      <xdr:colOff>173355</xdr:colOff>
      <xdr:row>40</xdr:row>
      <xdr:rowOff>30480</xdr:rowOff>
    </xdr:to>
    <xdr:sp macro="" textlink="">
      <xdr:nvSpPr>
        <xdr:cNvPr id="212" name="Drop Down 421" hidden="1">
          <a:extLst>
            <a:ext uri="{63B3BB69-23CF-44E3-9099-C40C66FF867C}">
              <a14:compatExt xmlns:a14="http://schemas.microsoft.com/office/drawing/2010/main" spid="_x0000_s57765"/>
            </a:ext>
            <a:ext uri="{FF2B5EF4-FFF2-40B4-BE49-F238E27FC236}">
              <a16:creationId xmlns:a16="http://schemas.microsoft.com/office/drawing/2014/main" id="{FE4C9947-C347-4ADD-8C78-07777F1552F8}"/>
            </a:ext>
            <a:ext uri="{147F2762-F138-4A5C-976F-8EAC2B608ADB}">
              <a16:predDERef xmlns:a16="http://schemas.microsoft.com/office/drawing/2014/main" pred="{5475388A-D7F0-4DDD-9702-0A3613720C53}"/>
            </a:ext>
          </a:extLst>
        </xdr:cNvPr>
        <xdr:cNvSpPr/>
      </xdr:nvSpPr>
      <xdr:spPr bwMode="auto">
        <a:xfrm>
          <a:off x="6059805" y="14199870"/>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7</xdr:col>
      <xdr:colOff>106680</xdr:colOff>
      <xdr:row>39</xdr:row>
      <xdr:rowOff>0</xdr:rowOff>
    </xdr:from>
    <xdr:to>
      <xdr:col>8</xdr:col>
      <xdr:colOff>173355</xdr:colOff>
      <xdr:row>40</xdr:row>
      <xdr:rowOff>30480</xdr:rowOff>
    </xdr:to>
    <xdr:sp macro="" textlink="">
      <xdr:nvSpPr>
        <xdr:cNvPr id="213" name="Drop Down 421" hidden="1">
          <a:extLst>
            <a:ext uri="{63B3BB69-23CF-44E3-9099-C40C66FF867C}">
              <a14:compatExt xmlns:a14="http://schemas.microsoft.com/office/drawing/2010/main" spid="_x0000_s57765"/>
            </a:ext>
            <a:ext uri="{FF2B5EF4-FFF2-40B4-BE49-F238E27FC236}">
              <a16:creationId xmlns:a16="http://schemas.microsoft.com/office/drawing/2014/main" id="{34781703-6B4B-42B6-A6C1-465DF1BC0CE1}"/>
            </a:ext>
            <a:ext uri="{147F2762-F138-4A5C-976F-8EAC2B608ADB}">
              <a16:predDERef xmlns:a16="http://schemas.microsoft.com/office/drawing/2014/main" pred="{FE4C9947-C347-4ADD-8C78-07777F1552F8}"/>
            </a:ext>
          </a:extLst>
        </xdr:cNvPr>
        <xdr:cNvSpPr/>
      </xdr:nvSpPr>
      <xdr:spPr bwMode="auto">
        <a:xfrm>
          <a:off x="6059805" y="14116050"/>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7</xdr:col>
      <xdr:colOff>106680</xdr:colOff>
      <xdr:row>39</xdr:row>
      <xdr:rowOff>83820</xdr:rowOff>
    </xdr:from>
    <xdr:to>
      <xdr:col>8</xdr:col>
      <xdr:colOff>173355</xdr:colOff>
      <xdr:row>40</xdr:row>
      <xdr:rowOff>114300</xdr:rowOff>
    </xdr:to>
    <xdr:sp macro="" textlink="">
      <xdr:nvSpPr>
        <xdr:cNvPr id="214" name="Drop Down 422" hidden="1">
          <a:extLst>
            <a:ext uri="{63B3BB69-23CF-44E3-9099-C40C66FF867C}">
              <a14:compatExt xmlns:a14="http://schemas.microsoft.com/office/drawing/2010/main" spid="_x0000_s57766"/>
            </a:ext>
            <a:ext uri="{FF2B5EF4-FFF2-40B4-BE49-F238E27FC236}">
              <a16:creationId xmlns:a16="http://schemas.microsoft.com/office/drawing/2014/main" id="{4167F227-DB39-41C1-9EB0-811960FFAA4C}"/>
            </a:ext>
            <a:ext uri="{147F2762-F138-4A5C-976F-8EAC2B608ADB}">
              <a16:predDERef xmlns:a16="http://schemas.microsoft.com/office/drawing/2014/main" pred="{34781703-6B4B-42B6-A6C1-465DF1BC0CE1}"/>
            </a:ext>
          </a:extLst>
        </xdr:cNvPr>
        <xdr:cNvSpPr/>
      </xdr:nvSpPr>
      <xdr:spPr bwMode="auto">
        <a:xfrm>
          <a:off x="6059805" y="14199870"/>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7</xdr:col>
      <xdr:colOff>106680</xdr:colOff>
      <xdr:row>40</xdr:row>
      <xdr:rowOff>83820</xdr:rowOff>
    </xdr:from>
    <xdr:to>
      <xdr:col>8</xdr:col>
      <xdr:colOff>173355</xdr:colOff>
      <xdr:row>41</xdr:row>
      <xdr:rowOff>114300</xdr:rowOff>
    </xdr:to>
    <xdr:sp macro="" textlink="">
      <xdr:nvSpPr>
        <xdr:cNvPr id="215" name="Drop Down 423" hidden="1">
          <a:extLst>
            <a:ext uri="{63B3BB69-23CF-44E3-9099-C40C66FF867C}">
              <a14:compatExt xmlns:a14="http://schemas.microsoft.com/office/drawing/2010/main" spid="_x0000_s57767"/>
            </a:ext>
            <a:ext uri="{FF2B5EF4-FFF2-40B4-BE49-F238E27FC236}">
              <a16:creationId xmlns:a16="http://schemas.microsoft.com/office/drawing/2014/main" id="{AB0A1398-DEBE-44C1-8E9F-389BCA2B75D2}"/>
            </a:ext>
            <a:ext uri="{147F2762-F138-4A5C-976F-8EAC2B608ADB}">
              <a16:predDERef xmlns:a16="http://schemas.microsoft.com/office/drawing/2014/main" pred="{4167F227-DB39-41C1-9EB0-811960FFAA4C}"/>
            </a:ext>
          </a:extLst>
        </xdr:cNvPr>
        <xdr:cNvSpPr/>
      </xdr:nvSpPr>
      <xdr:spPr bwMode="auto">
        <a:xfrm>
          <a:off x="6059805" y="14390370"/>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8</xdr:col>
      <xdr:colOff>106680</xdr:colOff>
      <xdr:row>39</xdr:row>
      <xdr:rowOff>0</xdr:rowOff>
    </xdr:from>
    <xdr:to>
      <xdr:col>9</xdr:col>
      <xdr:colOff>173355</xdr:colOff>
      <xdr:row>40</xdr:row>
      <xdr:rowOff>30480</xdr:rowOff>
    </xdr:to>
    <xdr:sp macro="" textlink="">
      <xdr:nvSpPr>
        <xdr:cNvPr id="216" name="Drop Down 421" hidden="1">
          <a:extLst>
            <a:ext uri="{63B3BB69-23CF-44E3-9099-C40C66FF867C}">
              <a14:compatExt xmlns:a14="http://schemas.microsoft.com/office/drawing/2010/main" spid="_x0000_s57765"/>
            </a:ext>
            <a:ext uri="{FF2B5EF4-FFF2-40B4-BE49-F238E27FC236}">
              <a16:creationId xmlns:a16="http://schemas.microsoft.com/office/drawing/2014/main" id="{8AE95AAB-0822-41FE-B794-DA7BEE20063D}"/>
            </a:ext>
            <a:ext uri="{147F2762-F138-4A5C-976F-8EAC2B608ADB}">
              <a16:predDERef xmlns:a16="http://schemas.microsoft.com/office/drawing/2014/main" pred="{AB0A1398-DEBE-44C1-8E9F-389BCA2B75D2}"/>
            </a:ext>
          </a:extLst>
        </xdr:cNvPr>
        <xdr:cNvSpPr/>
      </xdr:nvSpPr>
      <xdr:spPr bwMode="auto">
        <a:xfrm>
          <a:off x="6059805" y="14116050"/>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8</xdr:col>
      <xdr:colOff>106680</xdr:colOff>
      <xdr:row>39</xdr:row>
      <xdr:rowOff>83820</xdr:rowOff>
    </xdr:from>
    <xdr:to>
      <xdr:col>9</xdr:col>
      <xdr:colOff>173355</xdr:colOff>
      <xdr:row>40</xdr:row>
      <xdr:rowOff>114300</xdr:rowOff>
    </xdr:to>
    <xdr:sp macro="" textlink="">
      <xdr:nvSpPr>
        <xdr:cNvPr id="217" name="Drop Down 422" hidden="1">
          <a:extLst>
            <a:ext uri="{63B3BB69-23CF-44E3-9099-C40C66FF867C}">
              <a14:compatExt xmlns:a14="http://schemas.microsoft.com/office/drawing/2010/main" spid="_x0000_s57766"/>
            </a:ext>
            <a:ext uri="{FF2B5EF4-FFF2-40B4-BE49-F238E27FC236}">
              <a16:creationId xmlns:a16="http://schemas.microsoft.com/office/drawing/2014/main" id="{CAF1C3CB-7EF7-45B8-9161-85DD145F6077}"/>
            </a:ext>
            <a:ext uri="{147F2762-F138-4A5C-976F-8EAC2B608ADB}">
              <a16:predDERef xmlns:a16="http://schemas.microsoft.com/office/drawing/2014/main" pred="{8AE95AAB-0822-41FE-B794-DA7BEE20063D}"/>
            </a:ext>
          </a:extLst>
        </xdr:cNvPr>
        <xdr:cNvSpPr/>
      </xdr:nvSpPr>
      <xdr:spPr bwMode="auto">
        <a:xfrm>
          <a:off x="6059805" y="14199870"/>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8</xdr:col>
      <xdr:colOff>106680</xdr:colOff>
      <xdr:row>40</xdr:row>
      <xdr:rowOff>83820</xdr:rowOff>
    </xdr:from>
    <xdr:to>
      <xdr:col>9</xdr:col>
      <xdr:colOff>173355</xdr:colOff>
      <xdr:row>41</xdr:row>
      <xdr:rowOff>114300</xdr:rowOff>
    </xdr:to>
    <xdr:sp macro="" textlink="">
      <xdr:nvSpPr>
        <xdr:cNvPr id="218" name="Drop Down 423" hidden="1">
          <a:extLst>
            <a:ext uri="{63B3BB69-23CF-44E3-9099-C40C66FF867C}">
              <a14:compatExt xmlns:a14="http://schemas.microsoft.com/office/drawing/2010/main" spid="_x0000_s57767"/>
            </a:ext>
            <a:ext uri="{FF2B5EF4-FFF2-40B4-BE49-F238E27FC236}">
              <a16:creationId xmlns:a16="http://schemas.microsoft.com/office/drawing/2014/main" id="{1D48EBC2-990E-4641-858F-52E7A3B2BE56}"/>
            </a:ext>
            <a:ext uri="{147F2762-F138-4A5C-976F-8EAC2B608ADB}">
              <a16:predDERef xmlns:a16="http://schemas.microsoft.com/office/drawing/2014/main" pred="{CAF1C3CB-7EF7-45B8-9161-85DD145F6077}"/>
            </a:ext>
          </a:extLst>
        </xdr:cNvPr>
        <xdr:cNvSpPr/>
      </xdr:nvSpPr>
      <xdr:spPr bwMode="auto">
        <a:xfrm>
          <a:off x="6059805" y="14390370"/>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xdr:row>
      <xdr:rowOff>83820</xdr:rowOff>
    </xdr:from>
    <xdr:to>
      <xdr:col>6</xdr:col>
      <xdr:colOff>1249680</xdr:colOff>
      <xdr:row>9</xdr:row>
      <xdr:rowOff>304800</xdr:rowOff>
    </xdr:to>
    <xdr:sp macro="" textlink="">
      <xdr:nvSpPr>
        <xdr:cNvPr id="219" name="Drop Down 374" hidden="1">
          <a:extLst>
            <a:ext uri="{63B3BB69-23CF-44E3-9099-C40C66FF867C}">
              <a14:compatExt xmlns:a14="http://schemas.microsoft.com/office/drawing/2010/main" spid="_x0000_s57718"/>
            </a:ext>
            <a:ext uri="{FF2B5EF4-FFF2-40B4-BE49-F238E27FC236}">
              <a16:creationId xmlns:a16="http://schemas.microsoft.com/office/drawing/2014/main" id="{D6580522-630D-4DED-88AD-7895B67540CE}"/>
            </a:ext>
            <a:ext uri="{147F2762-F138-4A5C-976F-8EAC2B608ADB}">
              <a16:predDERef xmlns:a16="http://schemas.microsoft.com/office/drawing/2014/main" pred="{1D48EBC2-990E-4641-858F-52E7A3B2BE56}"/>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xdr:row>
      <xdr:rowOff>83820</xdr:rowOff>
    </xdr:from>
    <xdr:to>
      <xdr:col>6</xdr:col>
      <xdr:colOff>1249680</xdr:colOff>
      <xdr:row>10</xdr:row>
      <xdr:rowOff>304800</xdr:rowOff>
    </xdr:to>
    <xdr:sp macro="" textlink="">
      <xdr:nvSpPr>
        <xdr:cNvPr id="220" name="Drop Down 374" hidden="1">
          <a:extLst>
            <a:ext uri="{63B3BB69-23CF-44E3-9099-C40C66FF867C}">
              <a14:compatExt xmlns:a14="http://schemas.microsoft.com/office/drawing/2010/main" spid="_x0000_s57718"/>
            </a:ext>
            <a:ext uri="{FF2B5EF4-FFF2-40B4-BE49-F238E27FC236}">
              <a16:creationId xmlns:a16="http://schemas.microsoft.com/office/drawing/2014/main" id="{419508B0-2318-45A1-A0B7-336409C43D1E}"/>
            </a:ext>
            <a:ext uri="{147F2762-F138-4A5C-976F-8EAC2B608ADB}">
              <a16:predDERef xmlns:a16="http://schemas.microsoft.com/office/drawing/2014/main" pred="{D6580522-630D-4DED-88AD-7895B67540CE}"/>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xdr:row>
      <xdr:rowOff>83820</xdr:rowOff>
    </xdr:from>
    <xdr:to>
      <xdr:col>6</xdr:col>
      <xdr:colOff>1249680</xdr:colOff>
      <xdr:row>11</xdr:row>
      <xdr:rowOff>304800</xdr:rowOff>
    </xdr:to>
    <xdr:sp macro="" textlink="">
      <xdr:nvSpPr>
        <xdr:cNvPr id="221" name="Drop Down 374" hidden="1">
          <a:extLst>
            <a:ext uri="{63B3BB69-23CF-44E3-9099-C40C66FF867C}">
              <a14:compatExt xmlns:a14="http://schemas.microsoft.com/office/drawing/2010/main" spid="_x0000_s57718"/>
            </a:ext>
            <a:ext uri="{FF2B5EF4-FFF2-40B4-BE49-F238E27FC236}">
              <a16:creationId xmlns:a16="http://schemas.microsoft.com/office/drawing/2014/main" id="{0A114779-70F6-4D32-B069-6D2529686252}"/>
            </a:ext>
            <a:ext uri="{147F2762-F138-4A5C-976F-8EAC2B608ADB}">
              <a16:predDERef xmlns:a16="http://schemas.microsoft.com/office/drawing/2014/main" pred="{419508B0-2318-45A1-A0B7-336409C43D1E}"/>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xdr:row>
      <xdr:rowOff>83820</xdr:rowOff>
    </xdr:from>
    <xdr:to>
      <xdr:col>6</xdr:col>
      <xdr:colOff>1249680</xdr:colOff>
      <xdr:row>12</xdr:row>
      <xdr:rowOff>304800</xdr:rowOff>
    </xdr:to>
    <xdr:sp macro="" textlink="">
      <xdr:nvSpPr>
        <xdr:cNvPr id="222" name="Drop Down 374" hidden="1">
          <a:extLst>
            <a:ext uri="{63B3BB69-23CF-44E3-9099-C40C66FF867C}">
              <a14:compatExt xmlns:a14="http://schemas.microsoft.com/office/drawing/2010/main" spid="_x0000_s57718"/>
            </a:ext>
            <a:ext uri="{FF2B5EF4-FFF2-40B4-BE49-F238E27FC236}">
              <a16:creationId xmlns:a16="http://schemas.microsoft.com/office/drawing/2014/main" id="{55BADFF9-6AB8-4659-B32C-DC323AB891CA}"/>
            </a:ext>
            <a:ext uri="{147F2762-F138-4A5C-976F-8EAC2B608ADB}">
              <a16:predDERef xmlns:a16="http://schemas.microsoft.com/office/drawing/2014/main" pred="{0A114779-70F6-4D32-B069-6D2529686252}"/>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xdr:row>
      <xdr:rowOff>83820</xdr:rowOff>
    </xdr:from>
    <xdr:to>
      <xdr:col>6</xdr:col>
      <xdr:colOff>1249680</xdr:colOff>
      <xdr:row>13</xdr:row>
      <xdr:rowOff>304800</xdr:rowOff>
    </xdr:to>
    <xdr:sp macro="" textlink="">
      <xdr:nvSpPr>
        <xdr:cNvPr id="223" name="Drop Down 374" hidden="1">
          <a:extLst>
            <a:ext uri="{63B3BB69-23CF-44E3-9099-C40C66FF867C}">
              <a14:compatExt xmlns:a14="http://schemas.microsoft.com/office/drawing/2010/main" spid="_x0000_s57718"/>
            </a:ext>
            <a:ext uri="{FF2B5EF4-FFF2-40B4-BE49-F238E27FC236}">
              <a16:creationId xmlns:a16="http://schemas.microsoft.com/office/drawing/2014/main" id="{5C543C83-BB13-4A7C-AB99-91E2A088B280}"/>
            </a:ext>
            <a:ext uri="{147F2762-F138-4A5C-976F-8EAC2B608ADB}">
              <a16:predDERef xmlns:a16="http://schemas.microsoft.com/office/drawing/2014/main" pred="{55BADFF9-6AB8-4659-B32C-DC323AB891CA}"/>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83820</xdr:rowOff>
    </xdr:from>
    <xdr:to>
      <xdr:col>6</xdr:col>
      <xdr:colOff>1249680</xdr:colOff>
      <xdr:row>14</xdr:row>
      <xdr:rowOff>304800</xdr:rowOff>
    </xdr:to>
    <xdr:sp macro="" textlink="">
      <xdr:nvSpPr>
        <xdr:cNvPr id="224" name="Drop Down 374" hidden="1">
          <a:extLst>
            <a:ext uri="{63B3BB69-23CF-44E3-9099-C40C66FF867C}">
              <a14:compatExt xmlns:a14="http://schemas.microsoft.com/office/drawing/2010/main" spid="_x0000_s57718"/>
            </a:ext>
            <a:ext uri="{FF2B5EF4-FFF2-40B4-BE49-F238E27FC236}">
              <a16:creationId xmlns:a16="http://schemas.microsoft.com/office/drawing/2014/main" id="{C1EC495B-93A6-41FD-806C-904A25F46381}"/>
            </a:ext>
            <a:ext uri="{147F2762-F138-4A5C-976F-8EAC2B608ADB}">
              <a16:predDERef xmlns:a16="http://schemas.microsoft.com/office/drawing/2014/main" pred="{5C543C83-BB13-4A7C-AB99-91E2A088B280}"/>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xdr:row>
      <xdr:rowOff>83820</xdr:rowOff>
    </xdr:from>
    <xdr:to>
      <xdr:col>6</xdr:col>
      <xdr:colOff>1249680</xdr:colOff>
      <xdr:row>15</xdr:row>
      <xdr:rowOff>304800</xdr:rowOff>
    </xdr:to>
    <xdr:sp macro="" textlink="">
      <xdr:nvSpPr>
        <xdr:cNvPr id="225" name="Drop Down 374" hidden="1">
          <a:extLst>
            <a:ext uri="{63B3BB69-23CF-44E3-9099-C40C66FF867C}">
              <a14:compatExt xmlns:a14="http://schemas.microsoft.com/office/drawing/2010/main" spid="_x0000_s57718"/>
            </a:ext>
            <a:ext uri="{FF2B5EF4-FFF2-40B4-BE49-F238E27FC236}">
              <a16:creationId xmlns:a16="http://schemas.microsoft.com/office/drawing/2014/main" id="{9B0A328B-909E-4111-8013-F50EEC340CC4}"/>
            </a:ext>
            <a:ext uri="{147F2762-F138-4A5C-976F-8EAC2B608ADB}">
              <a16:predDERef xmlns:a16="http://schemas.microsoft.com/office/drawing/2014/main" pred="{C1EC495B-93A6-41FD-806C-904A25F46381}"/>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xdr:row>
      <xdr:rowOff>83820</xdr:rowOff>
    </xdr:from>
    <xdr:to>
      <xdr:col>6</xdr:col>
      <xdr:colOff>1249680</xdr:colOff>
      <xdr:row>16</xdr:row>
      <xdr:rowOff>304800</xdr:rowOff>
    </xdr:to>
    <xdr:sp macro="" textlink="">
      <xdr:nvSpPr>
        <xdr:cNvPr id="226" name="Drop Down 374" hidden="1">
          <a:extLst>
            <a:ext uri="{63B3BB69-23CF-44E3-9099-C40C66FF867C}">
              <a14:compatExt xmlns:a14="http://schemas.microsoft.com/office/drawing/2010/main" spid="_x0000_s57718"/>
            </a:ext>
            <a:ext uri="{FF2B5EF4-FFF2-40B4-BE49-F238E27FC236}">
              <a16:creationId xmlns:a16="http://schemas.microsoft.com/office/drawing/2014/main" id="{9C4204EB-06A5-4658-8F02-E243A10CC185}"/>
            </a:ext>
            <a:ext uri="{147F2762-F138-4A5C-976F-8EAC2B608ADB}">
              <a16:predDERef xmlns:a16="http://schemas.microsoft.com/office/drawing/2014/main" pred="{9B0A328B-909E-4111-8013-F50EEC340CC4}"/>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xdr:row>
      <xdr:rowOff>83820</xdr:rowOff>
    </xdr:from>
    <xdr:to>
      <xdr:col>6</xdr:col>
      <xdr:colOff>1249680</xdr:colOff>
      <xdr:row>17</xdr:row>
      <xdr:rowOff>304800</xdr:rowOff>
    </xdr:to>
    <xdr:sp macro="" textlink="">
      <xdr:nvSpPr>
        <xdr:cNvPr id="227" name="Drop Down 374" hidden="1">
          <a:extLst>
            <a:ext uri="{63B3BB69-23CF-44E3-9099-C40C66FF867C}">
              <a14:compatExt xmlns:a14="http://schemas.microsoft.com/office/drawing/2010/main" spid="_x0000_s57718"/>
            </a:ext>
            <a:ext uri="{FF2B5EF4-FFF2-40B4-BE49-F238E27FC236}">
              <a16:creationId xmlns:a16="http://schemas.microsoft.com/office/drawing/2014/main" id="{90613E3A-259A-409A-B115-A9648DAD9959}"/>
            </a:ext>
            <a:ext uri="{147F2762-F138-4A5C-976F-8EAC2B608ADB}">
              <a16:predDERef xmlns:a16="http://schemas.microsoft.com/office/drawing/2014/main" pred="{9C4204EB-06A5-4658-8F02-E243A10CC185}"/>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xdr:row>
      <xdr:rowOff>83820</xdr:rowOff>
    </xdr:from>
    <xdr:to>
      <xdr:col>6</xdr:col>
      <xdr:colOff>1249680</xdr:colOff>
      <xdr:row>18</xdr:row>
      <xdr:rowOff>304800</xdr:rowOff>
    </xdr:to>
    <xdr:sp macro="" textlink="">
      <xdr:nvSpPr>
        <xdr:cNvPr id="228" name="Drop Down 374" hidden="1">
          <a:extLst>
            <a:ext uri="{63B3BB69-23CF-44E3-9099-C40C66FF867C}">
              <a14:compatExt xmlns:a14="http://schemas.microsoft.com/office/drawing/2010/main" spid="_x0000_s57718"/>
            </a:ext>
            <a:ext uri="{FF2B5EF4-FFF2-40B4-BE49-F238E27FC236}">
              <a16:creationId xmlns:a16="http://schemas.microsoft.com/office/drawing/2014/main" id="{E4476AF7-972D-4C42-854E-1254CDC08A2B}"/>
            </a:ext>
            <a:ext uri="{147F2762-F138-4A5C-976F-8EAC2B608ADB}">
              <a16:predDERef xmlns:a16="http://schemas.microsoft.com/office/drawing/2014/main" pred="{90613E3A-259A-409A-B115-A9648DAD9959}"/>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xdr:row>
      <xdr:rowOff>83820</xdr:rowOff>
    </xdr:from>
    <xdr:to>
      <xdr:col>6</xdr:col>
      <xdr:colOff>1249680</xdr:colOff>
      <xdr:row>19</xdr:row>
      <xdr:rowOff>304800</xdr:rowOff>
    </xdr:to>
    <xdr:sp macro="" textlink="">
      <xdr:nvSpPr>
        <xdr:cNvPr id="229" name="Drop Down 374" hidden="1">
          <a:extLst>
            <a:ext uri="{63B3BB69-23CF-44E3-9099-C40C66FF867C}">
              <a14:compatExt xmlns:a14="http://schemas.microsoft.com/office/drawing/2010/main" spid="_x0000_s57718"/>
            </a:ext>
            <a:ext uri="{FF2B5EF4-FFF2-40B4-BE49-F238E27FC236}">
              <a16:creationId xmlns:a16="http://schemas.microsoft.com/office/drawing/2014/main" id="{7E5E6567-39AC-4363-9DEB-787F9C1D85C8}"/>
            </a:ext>
            <a:ext uri="{147F2762-F138-4A5C-976F-8EAC2B608ADB}">
              <a16:predDERef xmlns:a16="http://schemas.microsoft.com/office/drawing/2014/main" pred="{E4476AF7-972D-4C42-854E-1254CDC08A2B}"/>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xdr:row>
      <xdr:rowOff>83820</xdr:rowOff>
    </xdr:from>
    <xdr:to>
      <xdr:col>6</xdr:col>
      <xdr:colOff>1249680</xdr:colOff>
      <xdr:row>21</xdr:row>
      <xdr:rowOff>114300</xdr:rowOff>
    </xdr:to>
    <xdr:sp macro="" textlink="">
      <xdr:nvSpPr>
        <xdr:cNvPr id="230" name="Drop Down 374" hidden="1">
          <a:extLst>
            <a:ext uri="{63B3BB69-23CF-44E3-9099-C40C66FF867C}">
              <a14:compatExt xmlns:a14="http://schemas.microsoft.com/office/drawing/2010/main" spid="_x0000_s57718"/>
            </a:ext>
            <a:ext uri="{FF2B5EF4-FFF2-40B4-BE49-F238E27FC236}">
              <a16:creationId xmlns:a16="http://schemas.microsoft.com/office/drawing/2014/main" id="{91DA6064-1B25-4F8E-A760-7674AA329825}"/>
            </a:ext>
            <a:ext uri="{147F2762-F138-4A5C-976F-8EAC2B608ADB}">
              <a16:predDERef xmlns:a16="http://schemas.microsoft.com/office/drawing/2014/main" pred="{7E5E6567-39AC-4363-9DEB-787F9C1D85C8}"/>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83820</xdr:rowOff>
    </xdr:from>
    <xdr:to>
      <xdr:col>6</xdr:col>
      <xdr:colOff>1249680</xdr:colOff>
      <xdr:row>21</xdr:row>
      <xdr:rowOff>304800</xdr:rowOff>
    </xdr:to>
    <xdr:sp macro="" textlink="">
      <xdr:nvSpPr>
        <xdr:cNvPr id="231" name="Drop Down 374" hidden="1">
          <a:extLst>
            <a:ext uri="{63B3BB69-23CF-44E3-9099-C40C66FF867C}">
              <a14:compatExt xmlns:a14="http://schemas.microsoft.com/office/drawing/2010/main" spid="_x0000_s57718"/>
            </a:ext>
            <a:ext uri="{FF2B5EF4-FFF2-40B4-BE49-F238E27FC236}">
              <a16:creationId xmlns:a16="http://schemas.microsoft.com/office/drawing/2014/main" id="{530E5BA7-BE5F-47B3-9F8D-D2470F78901E}"/>
            </a:ext>
            <a:ext uri="{147F2762-F138-4A5C-976F-8EAC2B608ADB}">
              <a16:predDERef xmlns:a16="http://schemas.microsoft.com/office/drawing/2014/main" pred="{91DA6064-1B25-4F8E-A760-7674AA329825}"/>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22</xdr:row>
      <xdr:rowOff>83820</xdr:rowOff>
    </xdr:from>
    <xdr:to>
      <xdr:col>6</xdr:col>
      <xdr:colOff>1249680</xdr:colOff>
      <xdr:row>22</xdr:row>
      <xdr:rowOff>304800</xdr:rowOff>
    </xdr:to>
    <xdr:sp macro="" textlink="">
      <xdr:nvSpPr>
        <xdr:cNvPr id="232" name="Drop Down 374" hidden="1">
          <a:extLst>
            <a:ext uri="{63B3BB69-23CF-44E3-9099-C40C66FF867C}">
              <a14:compatExt xmlns:a14="http://schemas.microsoft.com/office/drawing/2010/main" spid="_x0000_s57718"/>
            </a:ext>
            <a:ext uri="{FF2B5EF4-FFF2-40B4-BE49-F238E27FC236}">
              <a16:creationId xmlns:a16="http://schemas.microsoft.com/office/drawing/2014/main" id="{E8243D0A-43B6-43BA-A500-2685D157F728}"/>
            </a:ext>
            <a:ext uri="{147F2762-F138-4A5C-976F-8EAC2B608ADB}">
              <a16:predDERef xmlns:a16="http://schemas.microsoft.com/office/drawing/2014/main" pred="{530E5BA7-BE5F-47B3-9F8D-D2470F78901E}"/>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23</xdr:row>
      <xdr:rowOff>83820</xdr:rowOff>
    </xdr:from>
    <xdr:to>
      <xdr:col>6</xdr:col>
      <xdr:colOff>1249680</xdr:colOff>
      <xdr:row>23</xdr:row>
      <xdr:rowOff>304800</xdr:rowOff>
    </xdr:to>
    <xdr:sp macro="" textlink="">
      <xdr:nvSpPr>
        <xdr:cNvPr id="233" name="Drop Down 374" hidden="1">
          <a:extLst>
            <a:ext uri="{63B3BB69-23CF-44E3-9099-C40C66FF867C}">
              <a14:compatExt xmlns:a14="http://schemas.microsoft.com/office/drawing/2010/main" spid="_x0000_s57718"/>
            </a:ext>
            <a:ext uri="{FF2B5EF4-FFF2-40B4-BE49-F238E27FC236}">
              <a16:creationId xmlns:a16="http://schemas.microsoft.com/office/drawing/2014/main" id="{ECF65FAD-3F2D-4FEF-9C0D-1EA89DC814A1}"/>
            </a:ext>
            <a:ext uri="{147F2762-F138-4A5C-976F-8EAC2B608ADB}">
              <a16:predDERef xmlns:a16="http://schemas.microsoft.com/office/drawing/2014/main" pred="{E8243D0A-43B6-43BA-A500-2685D157F728}"/>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24</xdr:row>
      <xdr:rowOff>83820</xdr:rowOff>
    </xdr:from>
    <xdr:to>
      <xdr:col>6</xdr:col>
      <xdr:colOff>1249680</xdr:colOff>
      <xdr:row>24</xdr:row>
      <xdr:rowOff>304800</xdr:rowOff>
    </xdr:to>
    <xdr:sp macro="" textlink="">
      <xdr:nvSpPr>
        <xdr:cNvPr id="234" name="Drop Down 374" hidden="1">
          <a:extLst>
            <a:ext uri="{63B3BB69-23CF-44E3-9099-C40C66FF867C}">
              <a14:compatExt xmlns:a14="http://schemas.microsoft.com/office/drawing/2010/main" spid="_x0000_s57718"/>
            </a:ext>
            <a:ext uri="{FF2B5EF4-FFF2-40B4-BE49-F238E27FC236}">
              <a16:creationId xmlns:a16="http://schemas.microsoft.com/office/drawing/2014/main" id="{F8944EDA-9EE7-461A-99B3-E3959707A71B}"/>
            </a:ext>
            <a:ext uri="{147F2762-F138-4A5C-976F-8EAC2B608ADB}">
              <a16:predDERef xmlns:a16="http://schemas.microsoft.com/office/drawing/2014/main" pred="{ECF65FAD-3F2D-4FEF-9C0D-1EA89DC814A1}"/>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25</xdr:row>
      <xdr:rowOff>83820</xdr:rowOff>
    </xdr:from>
    <xdr:to>
      <xdr:col>6</xdr:col>
      <xdr:colOff>1249680</xdr:colOff>
      <xdr:row>25</xdr:row>
      <xdr:rowOff>304800</xdr:rowOff>
    </xdr:to>
    <xdr:sp macro="" textlink="">
      <xdr:nvSpPr>
        <xdr:cNvPr id="235" name="Drop Down 374" hidden="1">
          <a:extLst>
            <a:ext uri="{63B3BB69-23CF-44E3-9099-C40C66FF867C}">
              <a14:compatExt xmlns:a14="http://schemas.microsoft.com/office/drawing/2010/main" spid="_x0000_s57718"/>
            </a:ext>
            <a:ext uri="{FF2B5EF4-FFF2-40B4-BE49-F238E27FC236}">
              <a16:creationId xmlns:a16="http://schemas.microsoft.com/office/drawing/2014/main" id="{C0B6395F-3D47-49F3-A150-098ADA5E54EA}"/>
            </a:ext>
            <a:ext uri="{147F2762-F138-4A5C-976F-8EAC2B608ADB}">
              <a16:predDERef xmlns:a16="http://schemas.microsoft.com/office/drawing/2014/main" pred="{F8944EDA-9EE7-461A-99B3-E3959707A71B}"/>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26</xdr:row>
      <xdr:rowOff>83820</xdr:rowOff>
    </xdr:from>
    <xdr:to>
      <xdr:col>6</xdr:col>
      <xdr:colOff>1249680</xdr:colOff>
      <xdr:row>26</xdr:row>
      <xdr:rowOff>304800</xdr:rowOff>
    </xdr:to>
    <xdr:sp macro="" textlink="">
      <xdr:nvSpPr>
        <xdr:cNvPr id="236" name="Drop Down 374" hidden="1">
          <a:extLst>
            <a:ext uri="{63B3BB69-23CF-44E3-9099-C40C66FF867C}">
              <a14:compatExt xmlns:a14="http://schemas.microsoft.com/office/drawing/2010/main" spid="_x0000_s57718"/>
            </a:ext>
            <a:ext uri="{FF2B5EF4-FFF2-40B4-BE49-F238E27FC236}">
              <a16:creationId xmlns:a16="http://schemas.microsoft.com/office/drawing/2014/main" id="{B458678E-F107-4908-B1D3-5D2F3B25DA3D}"/>
            </a:ext>
            <a:ext uri="{147F2762-F138-4A5C-976F-8EAC2B608ADB}">
              <a16:predDERef xmlns:a16="http://schemas.microsoft.com/office/drawing/2014/main" pred="{C0B6395F-3D47-49F3-A150-098ADA5E54EA}"/>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27</xdr:row>
      <xdr:rowOff>83820</xdr:rowOff>
    </xdr:from>
    <xdr:to>
      <xdr:col>6</xdr:col>
      <xdr:colOff>1249680</xdr:colOff>
      <xdr:row>27</xdr:row>
      <xdr:rowOff>304800</xdr:rowOff>
    </xdr:to>
    <xdr:sp macro="" textlink="">
      <xdr:nvSpPr>
        <xdr:cNvPr id="237" name="Drop Down 374" hidden="1">
          <a:extLst>
            <a:ext uri="{63B3BB69-23CF-44E3-9099-C40C66FF867C}">
              <a14:compatExt xmlns:a14="http://schemas.microsoft.com/office/drawing/2010/main" spid="_x0000_s57718"/>
            </a:ext>
            <a:ext uri="{FF2B5EF4-FFF2-40B4-BE49-F238E27FC236}">
              <a16:creationId xmlns:a16="http://schemas.microsoft.com/office/drawing/2014/main" id="{8F975F4C-3F9D-43C4-A304-F4A4E705EDD1}"/>
            </a:ext>
            <a:ext uri="{147F2762-F138-4A5C-976F-8EAC2B608ADB}">
              <a16:predDERef xmlns:a16="http://schemas.microsoft.com/office/drawing/2014/main" pred="{B458678E-F107-4908-B1D3-5D2F3B25DA3D}"/>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28</xdr:row>
      <xdr:rowOff>83820</xdr:rowOff>
    </xdr:from>
    <xdr:to>
      <xdr:col>6</xdr:col>
      <xdr:colOff>1249680</xdr:colOff>
      <xdr:row>28</xdr:row>
      <xdr:rowOff>304800</xdr:rowOff>
    </xdr:to>
    <xdr:sp macro="" textlink="">
      <xdr:nvSpPr>
        <xdr:cNvPr id="238" name="Drop Down 374" hidden="1">
          <a:extLst>
            <a:ext uri="{63B3BB69-23CF-44E3-9099-C40C66FF867C}">
              <a14:compatExt xmlns:a14="http://schemas.microsoft.com/office/drawing/2010/main" spid="_x0000_s57718"/>
            </a:ext>
            <a:ext uri="{FF2B5EF4-FFF2-40B4-BE49-F238E27FC236}">
              <a16:creationId xmlns:a16="http://schemas.microsoft.com/office/drawing/2014/main" id="{41AC9802-6960-4532-8056-B83D5DEDC87D}"/>
            </a:ext>
            <a:ext uri="{147F2762-F138-4A5C-976F-8EAC2B608ADB}">
              <a16:predDERef xmlns:a16="http://schemas.microsoft.com/office/drawing/2014/main" pred="{8F975F4C-3F9D-43C4-A304-F4A4E705EDD1}"/>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83820</xdr:rowOff>
    </xdr:from>
    <xdr:to>
      <xdr:col>6</xdr:col>
      <xdr:colOff>1249680</xdr:colOff>
      <xdr:row>29</xdr:row>
      <xdr:rowOff>304800</xdr:rowOff>
    </xdr:to>
    <xdr:sp macro="" textlink="">
      <xdr:nvSpPr>
        <xdr:cNvPr id="239" name="Drop Down 374" hidden="1">
          <a:extLst>
            <a:ext uri="{63B3BB69-23CF-44E3-9099-C40C66FF867C}">
              <a14:compatExt xmlns:a14="http://schemas.microsoft.com/office/drawing/2010/main" spid="_x0000_s57718"/>
            </a:ext>
            <a:ext uri="{FF2B5EF4-FFF2-40B4-BE49-F238E27FC236}">
              <a16:creationId xmlns:a16="http://schemas.microsoft.com/office/drawing/2014/main" id="{E7AF5B9D-2845-42DC-B3B5-342B1150EB6C}"/>
            </a:ext>
            <a:ext uri="{147F2762-F138-4A5C-976F-8EAC2B608ADB}">
              <a16:predDERef xmlns:a16="http://schemas.microsoft.com/office/drawing/2014/main" pred="{41AC9802-6960-4532-8056-B83D5DEDC87D}"/>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30</xdr:row>
      <xdr:rowOff>83820</xdr:rowOff>
    </xdr:from>
    <xdr:to>
      <xdr:col>6</xdr:col>
      <xdr:colOff>1249680</xdr:colOff>
      <xdr:row>30</xdr:row>
      <xdr:rowOff>304800</xdr:rowOff>
    </xdr:to>
    <xdr:sp macro="" textlink="">
      <xdr:nvSpPr>
        <xdr:cNvPr id="240" name="Drop Down 374" hidden="1">
          <a:extLst>
            <a:ext uri="{63B3BB69-23CF-44E3-9099-C40C66FF867C}">
              <a14:compatExt xmlns:a14="http://schemas.microsoft.com/office/drawing/2010/main" spid="_x0000_s57718"/>
            </a:ext>
            <a:ext uri="{FF2B5EF4-FFF2-40B4-BE49-F238E27FC236}">
              <a16:creationId xmlns:a16="http://schemas.microsoft.com/office/drawing/2014/main" id="{E3DEEB12-EC93-4CF4-9E88-4922B6F8022D}"/>
            </a:ext>
            <a:ext uri="{147F2762-F138-4A5C-976F-8EAC2B608ADB}">
              <a16:predDERef xmlns:a16="http://schemas.microsoft.com/office/drawing/2014/main" pred="{E7AF5B9D-2845-42DC-B3B5-342B1150EB6C}"/>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31</xdr:row>
      <xdr:rowOff>83820</xdr:rowOff>
    </xdr:from>
    <xdr:to>
      <xdr:col>6</xdr:col>
      <xdr:colOff>1249680</xdr:colOff>
      <xdr:row>31</xdr:row>
      <xdr:rowOff>304800</xdr:rowOff>
    </xdr:to>
    <xdr:sp macro="" textlink="">
      <xdr:nvSpPr>
        <xdr:cNvPr id="241" name="Drop Down 374" hidden="1">
          <a:extLst>
            <a:ext uri="{63B3BB69-23CF-44E3-9099-C40C66FF867C}">
              <a14:compatExt xmlns:a14="http://schemas.microsoft.com/office/drawing/2010/main" spid="_x0000_s57718"/>
            </a:ext>
            <a:ext uri="{FF2B5EF4-FFF2-40B4-BE49-F238E27FC236}">
              <a16:creationId xmlns:a16="http://schemas.microsoft.com/office/drawing/2014/main" id="{9315B2EA-5C04-4F4A-B115-4C2FD83C62A9}"/>
            </a:ext>
            <a:ext uri="{147F2762-F138-4A5C-976F-8EAC2B608ADB}">
              <a16:predDERef xmlns:a16="http://schemas.microsoft.com/office/drawing/2014/main" pred="{E3DEEB12-EC93-4CF4-9E88-4922B6F8022D}"/>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32</xdr:row>
      <xdr:rowOff>83820</xdr:rowOff>
    </xdr:from>
    <xdr:to>
      <xdr:col>6</xdr:col>
      <xdr:colOff>1249680</xdr:colOff>
      <xdr:row>32</xdr:row>
      <xdr:rowOff>304800</xdr:rowOff>
    </xdr:to>
    <xdr:sp macro="" textlink="">
      <xdr:nvSpPr>
        <xdr:cNvPr id="242" name="Drop Down 374" hidden="1">
          <a:extLst>
            <a:ext uri="{63B3BB69-23CF-44E3-9099-C40C66FF867C}">
              <a14:compatExt xmlns:a14="http://schemas.microsoft.com/office/drawing/2010/main" spid="_x0000_s57718"/>
            </a:ext>
            <a:ext uri="{FF2B5EF4-FFF2-40B4-BE49-F238E27FC236}">
              <a16:creationId xmlns:a16="http://schemas.microsoft.com/office/drawing/2014/main" id="{F7AF95E7-BAC6-454C-9D26-ED8F497A68E3}"/>
            </a:ext>
            <a:ext uri="{147F2762-F138-4A5C-976F-8EAC2B608ADB}">
              <a16:predDERef xmlns:a16="http://schemas.microsoft.com/office/drawing/2014/main" pred="{9315B2EA-5C04-4F4A-B115-4C2FD83C62A9}"/>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33</xdr:row>
      <xdr:rowOff>83820</xdr:rowOff>
    </xdr:from>
    <xdr:to>
      <xdr:col>6</xdr:col>
      <xdr:colOff>1249680</xdr:colOff>
      <xdr:row>34</xdr:row>
      <xdr:rowOff>114300</xdr:rowOff>
    </xdr:to>
    <xdr:sp macro="" textlink="">
      <xdr:nvSpPr>
        <xdr:cNvPr id="243" name="Drop Down 374" hidden="1">
          <a:extLst>
            <a:ext uri="{63B3BB69-23CF-44E3-9099-C40C66FF867C}">
              <a14:compatExt xmlns:a14="http://schemas.microsoft.com/office/drawing/2010/main" spid="_x0000_s57718"/>
            </a:ext>
            <a:ext uri="{FF2B5EF4-FFF2-40B4-BE49-F238E27FC236}">
              <a16:creationId xmlns:a16="http://schemas.microsoft.com/office/drawing/2014/main" id="{A29EE88E-BD5B-4AC2-880B-06D9E2A9921E}"/>
            </a:ext>
            <a:ext uri="{147F2762-F138-4A5C-976F-8EAC2B608ADB}">
              <a16:predDERef xmlns:a16="http://schemas.microsoft.com/office/drawing/2014/main" pred="{F7AF95E7-BAC6-454C-9D26-ED8F497A68E3}"/>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34</xdr:row>
      <xdr:rowOff>83820</xdr:rowOff>
    </xdr:from>
    <xdr:to>
      <xdr:col>6</xdr:col>
      <xdr:colOff>1249680</xdr:colOff>
      <xdr:row>34</xdr:row>
      <xdr:rowOff>304800</xdr:rowOff>
    </xdr:to>
    <xdr:sp macro="" textlink="">
      <xdr:nvSpPr>
        <xdr:cNvPr id="244" name="Drop Down 374" hidden="1">
          <a:extLst>
            <a:ext uri="{63B3BB69-23CF-44E3-9099-C40C66FF867C}">
              <a14:compatExt xmlns:a14="http://schemas.microsoft.com/office/drawing/2010/main" spid="_x0000_s57718"/>
            </a:ext>
            <a:ext uri="{FF2B5EF4-FFF2-40B4-BE49-F238E27FC236}">
              <a16:creationId xmlns:a16="http://schemas.microsoft.com/office/drawing/2014/main" id="{3623DA9F-A355-4721-83C3-A19F1780F1AE}"/>
            </a:ext>
            <a:ext uri="{147F2762-F138-4A5C-976F-8EAC2B608ADB}">
              <a16:predDERef xmlns:a16="http://schemas.microsoft.com/office/drawing/2014/main" pred="{A29EE88E-BD5B-4AC2-880B-06D9E2A9921E}"/>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35</xdr:row>
      <xdr:rowOff>83820</xdr:rowOff>
    </xdr:from>
    <xdr:to>
      <xdr:col>6</xdr:col>
      <xdr:colOff>1249680</xdr:colOff>
      <xdr:row>36</xdr:row>
      <xdr:rowOff>114300</xdr:rowOff>
    </xdr:to>
    <xdr:sp macro="" textlink="">
      <xdr:nvSpPr>
        <xdr:cNvPr id="245" name="Drop Down 374" hidden="1">
          <a:extLst>
            <a:ext uri="{63B3BB69-23CF-44E3-9099-C40C66FF867C}">
              <a14:compatExt xmlns:a14="http://schemas.microsoft.com/office/drawing/2010/main" spid="_x0000_s57718"/>
            </a:ext>
            <a:ext uri="{FF2B5EF4-FFF2-40B4-BE49-F238E27FC236}">
              <a16:creationId xmlns:a16="http://schemas.microsoft.com/office/drawing/2014/main" id="{39988445-D407-4092-BCF6-E324530EA118}"/>
            </a:ext>
            <a:ext uri="{147F2762-F138-4A5C-976F-8EAC2B608ADB}">
              <a16:predDERef xmlns:a16="http://schemas.microsoft.com/office/drawing/2014/main" pred="{3623DA9F-A355-4721-83C3-A19F1780F1AE}"/>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36</xdr:row>
      <xdr:rowOff>83820</xdr:rowOff>
    </xdr:from>
    <xdr:to>
      <xdr:col>6</xdr:col>
      <xdr:colOff>1249680</xdr:colOff>
      <xdr:row>36</xdr:row>
      <xdr:rowOff>304800</xdr:rowOff>
    </xdr:to>
    <xdr:sp macro="" textlink="">
      <xdr:nvSpPr>
        <xdr:cNvPr id="246" name="Drop Down 374" hidden="1">
          <a:extLst>
            <a:ext uri="{63B3BB69-23CF-44E3-9099-C40C66FF867C}">
              <a14:compatExt xmlns:a14="http://schemas.microsoft.com/office/drawing/2010/main" spid="_x0000_s57718"/>
            </a:ext>
            <a:ext uri="{FF2B5EF4-FFF2-40B4-BE49-F238E27FC236}">
              <a16:creationId xmlns:a16="http://schemas.microsoft.com/office/drawing/2014/main" id="{366ED9DA-8A0B-4317-A80E-A54151CA6956}"/>
            </a:ext>
            <a:ext uri="{147F2762-F138-4A5C-976F-8EAC2B608ADB}">
              <a16:predDERef xmlns:a16="http://schemas.microsoft.com/office/drawing/2014/main" pred="{39988445-D407-4092-BCF6-E324530EA118}"/>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37</xdr:row>
      <xdr:rowOff>83820</xdr:rowOff>
    </xdr:from>
    <xdr:to>
      <xdr:col>6</xdr:col>
      <xdr:colOff>1249680</xdr:colOff>
      <xdr:row>37</xdr:row>
      <xdr:rowOff>304800</xdr:rowOff>
    </xdr:to>
    <xdr:sp macro="" textlink="">
      <xdr:nvSpPr>
        <xdr:cNvPr id="247" name="Drop Down 374" hidden="1">
          <a:extLst>
            <a:ext uri="{63B3BB69-23CF-44E3-9099-C40C66FF867C}">
              <a14:compatExt xmlns:a14="http://schemas.microsoft.com/office/drawing/2010/main" spid="_x0000_s57718"/>
            </a:ext>
            <a:ext uri="{FF2B5EF4-FFF2-40B4-BE49-F238E27FC236}">
              <a16:creationId xmlns:a16="http://schemas.microsoft.com/office/drawing/2014/main" id="{AF76DAB4-F350-4D8E-9784-2DCA526BCA9B}"/>
            </a:ext>
            <a:ext uri="{147F2762-F138-4A5C-976F-8EAC2B608ADB}">
              <a16:predDERef xmlns:a16="http://schemas.microsoft.com/office/drawing/2014/main" pred="{366ED9DA-8A0B-4317-A80E-A54151CA6956}"/>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38</xdr:row>
      <xdr:rowOff>83820</xdr:rowOff>
    </xdr:from>
    <xdr:to>
      <xdr:col>6</xdr:col>
      <xdr:colOff>1249680</xdr:colOff>
      <xdr:row>38</xdr:row>
      <xdr:rowOff>304800</xdr:rowOff>
    </xdr:to>
    <xdr:sp macro="" textlink="">
      <xdr:nvSpPr>
        <xdr:cNvPr id="248" name="Drop Down 374" hidden="1">
          <a:extLst>
            <a:ext uri="{63B3BB69-23CF-44E3-9099-C40C66FF867C}">
              <a14:compatExt xmlns:a14="http://schemas.microsoft.com/office/drawing/2010/main" spid="_x0000_s57718"/>
            </a:ext>
            <a:ext uri="{FF2B5EF4-FFF2-40B4-BE49-F238E27FC236}">
              <a16:creationId xmlns:a16="http://schemas.microsoft.com/office/drawing/2014/main" id="{C31A0FDD-BB43-41BC-92C3-6EC08299FBAC}"/>
            </a:ext>
            <a:ext uri="{147F2762-F138-4A5C-976F-8EAC2B608ADB}">
              <a16:predDERef xmlns:a16="http://schemas.microsoft.com/office/drawing/2014/main" pred="{AF76DAB4-F350-4D8E-9784-2DCA526BCA9B}"/>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wsDr>
</file>

<file path=xl/drawings/drawing3.xml><?xml version="1.0" encoding="utf-8"?>
<xdr:wsDr xmlns:xdr="http://schemas.openxmlformats.org/drawingml/2006/spreadsheetDrawing" xmlns:a="http://schemas.openxmlformats.org/drawingml/2006/main">
  <xdr:twoCellAnchor editAs="oneCell">
    <xdr:from>
      <xdr:col>6</xdr:col>
      <xdr:colOff>38100</xdr:colOff>
      <xdr:row>3</xdr:row>
      <xdr:rowOff>30480</xdr:rowOff>
    </xdr:from>
    <xdr:to>
      <xdr:col>6</xdr:col>
      <xdr:colOff>1318260</xdr:colOff>
      <xdr:row>4</xdr:row>
      <xdr:rowOff>76200</xdr:rowOff>
    </xdr:to>
    <xdr:sp macro="" textlink="">
      <xdr:nvSpPr>
        <xdr:cNvPr id="58369" name="Button 1" hidden="1">
          <a:extLst>
            <a:ext uri="{63B3BB69-23CF-44E3-9099-C40C66FF867C}">
              <a14:compatExt xmlns:a14="http://schemas.microsoft.com/office/drawing/2010/main" spid="_x0000_s58369"/>
            </a:ext>
            <a:ext uri="{FF2B5EF4-FFF2-40B4-BE49-F238E27FC236}">
              <a16:creationId xmlns:a16="http://schemas.microsoft.com/office/drawing/2014/main" id="{00000000-0008-0000-0700-000001E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IN" sz="1000" b="0" i="0" u="none" strike="noStrike" baseline="0">
              <a:solidFill>
                <a:srgbClr val="000000"/>
              </a:solidFill>
              <a:latin typeface="Verdana"/>
              <a:ea typeface="Verdana"/>
            </a:rPr>
            <a:t>Reset responses</a:t>
          </a:r>
        </a:p>
      </xdr:txBody>
    </xdr:sp>
    <xdr:clientData fPrintsWithSheet="0"/>
  </xdr:twoCellAnchor>
  <xdr:twoCellAnchor editAs="oneCell">
    <xdr:from>
      <xdr:col>10</xdr:col>
      <xdr:colOff>30480</xdr:colOff>
      <xdr:row>3</xdr:row>
      <xdr:rowOff>30480</xdr:rowOff>
    </xdr:from>
    <xdr:to>
      <xdr:col>10</xdr:col>
      <xdr:colOff>1303020</xdr:colOff>
      <xdr:row>4</xdr:row>
      <xdr:rowOff>76200</xdr:rowOff>
    </xdr:to>
    <xdr:sp macro="" textlink="">
      <xdr:nvSpPr>
        <xdr:cNvPr id="58370" name="Button 2" hidden="1">
          <a:extLst>
            <a:ext uri="{63B3BB69-23CF-44E3-9099-C40C66FF867C}">
              <a14:compatExt xmlns:a14="http://schemas.microsoft.com/office/drawing/2010/main" spid="_x0000_s58370"/>
            </a:ext>
            <a:ext uri="{FF2B5EF4-FFF2-40B4-BE49-F238E27FC236}">
              <a16:creationId xmlns:a16="http://schemas.microsoft.com/office/drawing/2014/main" id="{00000000-0008-0000-0700-000002E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IN" sz="1000" b="0" i="0" u="none" strike="noStrike" baseline="0">
              <a:solidFill>
                <a:srgbClr val="000000"/>
              </a:solidFill>
              <a:latin typeface="Verdana"/>
              <a:ea typeface="Verdana"/>
            </a:rPr>
            <a:t>Reset comments</a:t>
          </a:r>
        </a:p>
      </xdr:txBody>
    </xdr:sp>
    <xdr:clientData fPrint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25" name="Drop Down 357" hidden="1">
          <a:extLst>
            <a:ext uri="{63B3BB69-23CF-44E3-9099-C40C66FF867C}">
              <a14:compatExt xmlns:a14="http://schemas.microsoft.com/office/drawing/2010/main" spid="_x0000_s58725"/>
            </a:ext>
            <a:ext uri="{FF2B5EF4-FFF2-40B4-BE49-F238E27FC236}">
              <a16:creationId xmlns:a16="http://schemas.microsoft.com/office/drawing/2014/main" id="{00000000-0008-0000-0700-000065E50000}"/>
            </a:ext>
            <a:ext uri="{147F2762-F138-4A5C-976F-8EAC2B608ADB}">
              <a16:predDERef xmlns:a16="http://schemas.microsoft.com/office/drawing/2014/main" pred="{00000000-0008-0000-0700-000002E4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xdr:row>
      <xdr:rowOff>83820</xdr:rowOff>
    </xdr:from>
    <xdr:to>
      <xdr:col>6</xdr:col>
      <xdr:colOff>1249680</xdr:colOff>
      <xdr:row>8</xdr:row>
      <xdr:rowOff>304800</xdr:rowOff>
    </xdr:to>
    <xdr:sp macro="" textlink="">
      <xdr:nvSpPr>
        <xdr:cNvPr id="58726" name="Drop Down 358" hidden="1">
          <a:extLst>
            <a:ext uri="{63B3BB69-23CF-44E3-9099-C40C66FF867C}">
              <a14:compatExt xmlns:a14="http://schemas.microsoft.com/office/drawing/2010/main" spid="_x0000_s58726"/>
            </a:ext>
            <a:ext uri="{FF2B5EF4-FFF2-40B4-BE49-F238E27FC236}">
              <a16:creationId xmlns:a16="http://schemas.microsoft.com/office/drawing/2014/main" id="{00000000-0008-0000-0700-000066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xdr:row>
      <xdr:rowOff>83820</xdr:rowOff>
    </xdr:from>
    <xdr:to>
      <xdr:col>6</xdr:col>
      <xdr:colOff>1249680</xdr:colOff>
      <xdr:row>9</xdr:row>
      <xdr:rowOff>304800</xdr:rowOff>
    </xdr:to>
    <xdr:sp macro="" textlink="">
      <xdr:nvSpPr>
        <xdr:cNvPr id="58727" name="Drop Down 359" hidden="1">
          <a:extLst>
            <a:ext uri="{63B3BB69-23CF-44E3-9099-C40C66FF867C}">
              <a14:compatExt xmlns:a14="http://schemas.microsoft.com/office/drawing/2010/main" spid="_x0000_s58727"/>
            </a:ext>
            <a:ext uri="{FF2B5EF4-FFF2-40B4-BE49-F238E27FC236}">
              <a16:creationId xmlns:a16="http://schemas.microsoft.com/office/drawing/2014/main" id="{00000000-0008-0000-0700-000067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xdr:row>
      <xdr:rowOff>83820</xdr:rowOff>
    </xdr:from>
    <xdr:to>
      <xdr:col>6</xdr:col>
      <xdr:colOff>1249680</xdr:colOff>
      <xdr:row>10</xdr:row>
      <xdr:rowOff>304800</xdr:rowOff>
    </xdr:to>
    <xdr:sp macro="" textlink="">
      <xdr:nvSpPr>
        <xdr:cNvPr id="58728" name="Drop Down 360" hidden="1">
          <a:extLst>
            <a:ext uri="{63B3BB69-23CF-44E3-9099-C40C66FF867C}">
              <a14:compatExt xmlns:a14="http://schemas.microsoft.com/office/drawing/2010/main" spid="_x0000_s58728"/>
            </a:ext>
            <a:ext uri="{FF2B5EF4-FFF2-40B4-BE49-F238E27FC236}">
              <a16:creationId xmlns:a16="http://schemas.microsoft.com/office/drawing/2014/main" id="{00000000-0008-0000-0700-000068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xdr:row>
      <xdr:rowOff>83820</xdr:rowOff>
    </xdr:from>
    <xdr:to>
      <xdr:col>6</xdr:col>
      <xdr:colOff>1249680</xdr:colOff>
      <xdr:row>11</xdr:row>
      <xdr:rowOff>304800</xdr:rowOff>
    </xdr:to>
    <xdr:sp macro="" textlink="">
      <xdr:nvSpPr>
        <xdr:cNvPr id="58729" name="Drop Down 361" hidden="1">
          <a:extLst>
            <a:ext uri="{63B3BB69-23CF-44E3-9099-C40C66FF867C}">
              <a14:compatExt xmlns:a14="http://schemas.microsoft.com/office/drawing/2010/main" spid="_x0000_s58729"/>
            </a:ext>
            <a:ext uri="{FF2B5EF4-FFF2-40B4-BE49-F238E27FC236}">
              <a16:creationId xmlns:a16="http://schemas.microsoft.com/office/drawing/2014/main" id="{00000000-0008-0000-0700-000069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xdr:row>
      <xdr:rowOff>83820</xdr:rowOff>
    </xdr:from>
    <xdr:to>
      <xdr:col>6</xdr:col>
      <xdr:colOff>1249680</xdr:colOff>
      <xdr:row>12</xdr:row>
      <xdr:rowOff>304800</xdr:rowOff>
    </xdr:to>
    <xdr:sp macro="" textlink="">
      <xdr:nvSpPr>
        <xdr:cNvPr id="58730" name="Drop Down 362" hidden="1">
          <a:extLst>
            <a:ext uri="{63B3BB69-23CF-44E3-9099-C40C66FF867C}">
              <a14:compatExt xmlns:a14="http://schemas.microsoft.com/office/drawing/2010/main" spid="_x0000_s58730"/>
            </a:ext>
            <a:ext uri="{FF2B5EF4-FFF2-40B4-BE49-F238E27FC236}">
              <a16:creationId xmlns:a16="http://schemas.microsoft.com/office/drawing/2014/main" id="{00000000-0008-0000-0700-00006A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xdr:row>
      <xdr:rowOff>83820</xdr:rowOff>
    </xdr:from>
    <xdr:to>
      <xdr:col>6</xdr:col>
      <xdr:colOff>1249680</xdr:colOff>
      <xdr:row>13</xdr:row>
      <xdr:rowOff>304800</xdr:rowOff>
    </xdr:to>
    <xdr:sp macro="" textlink="">
      <xdr:nvSpPr>
        <xdr:cNvPr id="58731" name="Drop Down 363" hidden="1">
          <a:extLst>
            <a:ext uri="{63B3BB69-23CF-44E3-9099-C40C66FF867C}">
              <a14:compatExt xmlns:a14="http://schemas.microsoft.com/office/drawing/2010/main" spid="_x0000_s58731"/>
            </a:ext>
            <a:ext uri="{FF2B5EF4-FFF2-40B4-BE49-F238E27FC236}">
              <a16:creationId xmlns:a16="http://schemas.microsoft.com/office/drawing/2014/main" id="{00000000-0008-0000-0700-00006B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83820</xdr:rowOff>
    </xdr:from>
    <xdr:to>
      <xdr:col>6</xdr:col>
      <xdr:colOff>1249680</xdr:colOff>
      <xdr:row>14</xdr:row>
      <xdr:rowOff>304800</xdr:rowOff>
    </xdr:to>
    <xdr:sp macro="" textlink="">
      <xdr:nvSpPr>
        <xdr:cNvPr id="58732" name="Drop Down 364" hidden="1">
          <a:extLst>
            <a:ext uri="{63B3BB69-23CF-44E3-9099-C40C66FF867C}">
              <a14:compatExt xmlns:a14="http://schemas.microsoft.com/office/drawing/2010/main" spid="_x0000_s58732"/>
            </a:ext>
            <a:ext uri="{FF2B5EF4-FFF2-40B4-BE49-F238E27FC236}">
              <a16:creationId xmlns:a16="http://schemas.microsoft.com/office/drawing/2014/main" id="{00000000-0008-0000-0700-00006C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xdr:row>
      <xdr:rowOff>83820</xdr:rowOff>
    </xdr:from>
    <xdr:to>
      <xdr:col>6</xdr:col>
      <xdr:colOff>1249680</xdr:colOff>
      <xdr:row>15</xdr:row>
      <xdr:rowOff>304800</xdr:rowOff>
    </xdr:to>
    <xdr:sp macro="" textlink="">
      <xdr:nvSpPr>
        <xdr:cNvPr id="58733" name="Drop Down 365" hidden="1">
          <a:extLst>
            <a:ext uri="{63B3BB69-23CF-44E3-9099-C40C66FF867C}">
              <a14:compatExt xmlns:a14="http://schemas.microsoft.com/office/drawing/2010/main" spid="_x0000_s58733"/>
            </a:ext>
            <a:ext uri="{FF2B5EF4-FFF2-40B4-BE49-F238E27FC236}">
              <a16:creationId xmlns:a16="http://schemas.microsoft.com/office/drawing/2014/main" id="{00000000-0008-0000-0700-00006D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xdr:row>
      <xdr:rowOff>83820</xdr:rowOff>
    </xdr:from>
    <xdr:to>
      <xdr:col>6</xdr:col>
      <xdr:colOff>1249680</xdr:colOff>
      <xdr:row>16</xdr:row>
      <xdr:rowOff>304800</xdr:rowOff>
    </xdr:to>
    <xdr:sp macro="" textlink="">
      <xdr:nvSpPr>
        <xdr:cNvPr id="58734" name="Drop Down 366" hidden="1">
          <a:extLst>
            <a:ext uri="{63B3BB69-23CF-44E3-9099-C40C66FF867C}">
              <a14:compatExt xmlns:a14="http://schemas.microsoft.com/office/drawing/2010/main" spid="_x0000_s58734"/>
            </a:ext>
            <a:ext uri="{FF2B5EF4-FFF2-40B4-BE49-F238E27FC236}">
              <a16:creationId xmlns:a16="http://schemas.microsoft.com/office/drawing/2014/main" id="{00000000-0008-0000-0700-00006E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xdr:row>
      <xdr:rowOff>83820</xdr:rowOff>
    </xdr:from>
    <xdr:to>
      <xdr:col>6</xdr:col>
      <xdr:colOff>1249680</xdr:colOff>
      <xdr:row>17</xdr:row>
      <xdr:rowOff>304800</xdr:rowOff>
    </xdr:to>
    <xdr:sp macro="" textlink="">
      <xdr:nvSpPr>
        <xdr:cNvPr id="58735" name="Drop Down 367" hidden="1">
          <a:extLst>
            <a:ext uri="{63B3BB69-23CF-44E3-9099-C40C66FF867C}">
              <a14:compatExt xmlns:a14="http://schemas.microsoft.com/office/drawing/2010/main" spid="_x0000_s58735"/>
            </a:ext>
            <a:ext uri="{FF2B5EF4-FFF2-40B4-BE49-F238E27FC236}">
              <a16:creationId xmlns:a16="http://schemas.microsoft.com/office/drawing/2014/main" id="{00000000-0008-0000-0700-00006F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xdr:row>
      <xdr:rowOff>83820</xdr:rowOff>
    </xdr:from>
    <xdr:to>
      <xdr:col>6</xdr:col>
      <xdr:colOff>1249680</xdr:colOff>
      <xdr:row>18</xdr:row>
      <xdr:rowOff>304800</xdr:rowOff>
    </xdr:to>
    <xdr:sp macro="" textlink="">
      <xdr:nvSpPr>
        <xdr:cNvPr id="58736" name="Drop Down 368" hidden="1">
          <a:extLst>
            <a:ext uri="{63B3BB69-23CF-44E3-9099-C40C66FF867C}">
              <a14:compatExt xmlns:a14="http://schemas.microsoft.com/office/drawing/2010/main" spid="_x0000_s58736"/>
            </a:ext>
            <a:ext uri="{FF2B5EF4-FFF2-40B4-BE49-F238E27FC236}">
              <a16:creationId xmlns:a16="http://schemas.microsoft.com/office/drawing/2014/main" id="{00000000-0008-0000-0700-000070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xdr:row>
      <xdr:rowOff>83820</xdr:rowOff>
    </xdr:from>
    <xdr:to>
      <xdr:col>6</xdr:col>
      <xdr:colOff>1249680</xdr:colOff>
      <xdr:row>19</xdr:row>
      <xdr:rowOff>304800</xdr:rowOff>
    </xdr:to>
    <xdr:sp macro="" textlink="">
      <xdr:nvSpPr>
        <xdr:cNvPr id="58737" name="Drop Down 369" hidden="1">
          <a:extLst>
            <a:ext uri="{63B3BB69-23CF-44E3-9099-C40C66FF867C}">
              <a14:compatExt xmlns:a14="http://schemas.microsoft.com/office/drawing/2010/main" spid="_x0000_s58737"/>
            </a:ext>
            <a:ext uri="{FF2B5EF4-FFF2-40B4-BE49-F238E27FC236}">
              <a16:creationId xmlns:a16="http://schemas.microsoft.com/office/drawing/2014/main" id="{00000000-0008-0000-0700-000071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26</xdr:row>
      <xdr:rowOff>83820</xdr:rowOff>
    </xdr:from>
    <xdr:to>
      <xdr:col>6</xdr:col>
      <xdr:colOff>1249680</xdr:colOff>
      <xdr:row>26</xdr:row>
      <xdr:rowOff>304800</xdr:rowOff>
    </xdr:to>
    <xdr:sp macro="" textlink="">
      <xdr:nvSpPr>
        <xdr:cNvPr id="58738" name="Drop Down 370" hidden="1">
          <a:extLst>
            <a:ext uri="{63B3BB69-23CF-44E3-9099-C40C66FF867C}">
              <a14:compatExt xmlns:a14="http://schemas.microsoft.com/office/drawing/2010/main" spid="_x0000_s58738"/>
            </a:ext>
            <a:ext uri="{FF2B5EF4-FFF2-40B4-BE49-F238E27FC236}">
              <a16:creationId xmlns:a16="http://schemas.microsoft.com/office/drawing/2014/main" id="{00000000-0008-0000-0700-000072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27</xdr:row>
      <xdr:rowOff>83820</xdr:rowOff>
    </xdr:from>
    <xdr:to>
      <xdr:col>6</xdr:col>
      <xdr:colOff>1249680</xdr:colOff>
      <xdr:row>27</xdr:row>
      <xdr:rowOff>304800</xdr:rowOff>
    </xdr:to>
    <xdr:sp macro="" textlink="">
      <xdr:nvSpPr>
        <xdr:cNvPr id="58739" name="Drop Down 371" hidden="1">
          <a:extLst>
            <a:ext uri="{63B3BB69-23CF-44E3-9099-C40C66FF867C}">
              <a14:compatExt xmlns:a14="http://schemas.microsoft.com/office/drawing/2010/main" spid="_x0000_s58739"/>
            </a:ext>
            <a:ext uri="{FF2B5EF4-FFF2-40B4-BE49-F238E27FC236}">
              <a16:creationId xmlns:a16="http://schemas.microsoft.com/office/drawing/2014/main" id="{00000000-0008-0000-0700-000073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32</xdr:row>
      <xdr:rowOff>83820</xdr:rowOff>
    </xdr:from>
    <xdr:to>
      <xdr:col>6</xdr:col>
      <xdr:colOff>1249680</xdr:colOff>
      <xdr:row>32</xdr:row>
      <xdr:rowOff>304800</xdr:rowOff>
    </xdr:to>
    <xdr:sp macro="" textlink="">
      <xdr:nvSpPr>
        <xdr:cNvPr id="58740" name="Drop Down 372" hidden="1">
          <a:extLst>
            <a:ext uri="{63B3BB69-23CF-44E3-9099-C40C66FF867C}">
              <a14:compatExt xmlns:a14="http://schemas.microsoft.com/office/drawing/2010/main" spid="_x0000_s58740"/>
            </a:ext>
            <a:ext uri="{FF2B5EF4-FFF2-40B4-BE49-F238E27FC236}">
              <a16:creationId xmlns:a16="http://schemas.microsoft.com/office/drawing/2014/main" id="{00000000-0008-0000-0700-000074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33</xdr:row>
      <xdr:rowOff>83820</xdr:rowOff>
    </xdr:from>
    <xdr:to>
      <xdr:col>6</xdr:col>
      <xdr:colOff>1249680</xdr:colOff>
      <xdr:row>33</xdr:row>
      <xdr:rowOff>304800</xdr:rowOff>
    </xdr:to>
    <xdr:sp macro="" textlink="">
      <xdr:nvSpPr>
        <xdr:cNvPr id="58741" name="Drop Down 373" hidden="1">
          <a:extLst>
            <a:ext uri="{63B3BB69-23CF-44E3-9099-C40C66FF867C}">
              <a14:compatExt xmlns:a14="http://schemas.microsoft.com/office/drawing/2010/main" spid="_x0000_s58741"/>
            </a:ext>
            <a:ext uri="{FF2B5EF4-FFF2-40B4-BE49-F238E27FC236}">
              <a16:creationId xmlns:a16="http://schemas.microsoft.com/office/drawing/2014/main" id="{00000000-0008-0000-0700-000075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34</xdr:row>
      <xdr:rowOff>0</xdr:rowOff>
    </xdr:from>
    <xdr:to>
      <xdr:col>6</xdr:col>
      <xdr:colOff>1249680</xdr:colOff>
      <xdr:row>34</xdr:row>
      <xdr:rowOff>97155</xdr:rowOff>
    </xdr:to>
    <xdr:sp macro="" textlink="">
      <xdr:nvSpPr>
        <xdr:cNvPr id="58742" name="Drop Down 374" hidden="1">
          <a:extLst>
            <a:ext uri="{63B3BB69-23CF-44E3-9099-C40C66FF867C}">
              <a14:compatExt xmlns:a14="http://schemas.microsoft.com/office/drawing/2010/main" spid="_x0000_s58742"/>
            </a:ext>
            <a:ext uri="{FF2B5EF4-FFF2-40B4-BE49-F238E27FC236}">
              <a16:creationId xmlns:a16="http://schemas.microsoft.com/office/drawing/2014/main" id="{00000000-0008-0000-0700-000076E50000}"/>
            </a:ext>
            <a:ext uri="{147F2762-F138-4A5C-976F-8EAC2B608ADB}">
              <a16:predDERef xmlns:a16="http://schemas.microsoft.com/office/drawing/2014/main" pred="{00000000-0008-0000-0700-000075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34</xdr:row>
      <xdr:rowOff>83820</xdr:rowOff>
    </xdr:from>
    <xdr:to>
      <xdr:col>6</xdr:col>
      <xdr:colOff>1249680</xdr:colOff>
      <xdr:row>34</xdr:row>
      <xdr:rowOff>180975</xdr:rowOff>
    </xdr:to>
    <xdr:sp macro="" textlink="">
      <xdr:nvSpPr>
        <xdr:cNvPr id="58743" name="Drop Down 375" hidden="1">
          <a:extLst>
            <a:ext uri="{63B3BB69-23CF-44E3-9099-C40C66FF867C}">
              <a14:compatExt xmlns:a14="http://schemas.microsoft.com/office/drawing/2010/main" spid="_x0000_s58743"/>
            </a:ext>
            <a:ext uri="{FF2B5EF4-FFF2-40B4-BE49-F238E27FC236}">
              <a16:creationId xmlns:a16="http://schemas.microsoft.com/office/drawing/2014/main" id="{00000000-0008-0000-0700-000077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44" name="Drop Down 376" hidden="1">
          <a:extLst>
            <a:ext uri="{63B3BB69-23CF-44E3-9099-C40C66FF867C}">
              <a14:compatExt xmlns:a14="http://schemas.microsoft.com/office/drawing/2010/main" spid="_x0000_s58744"/>
            </a:ext>
            <a:ext uri="{FF2B5EF4-FFF2-40B4-BE49-F238E27FC236}">
              <a16:creationId xmlns:a16="http://schemas.microsoft.com/office/drawing/2014/main" id="{00000000-0008-0000-0700-000078E50000}"/>
            </a:ext>
            <a:ext uri="{147F2762-F138-4A5C-976F-8EAC2B608ADB}">
              <a16:predDERef xmlns:a16="http://schemas.microsoft.com/office/drawing/2014/main" pred="{00000000-0008-0000-0700-000077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45" name="Drop Down 377" hidden="1">
          <a:extLst>
            <a:ext uri="{63B3BB69-23CF-44E3-9099-C40C66FF867C}">
              <a14:compatExt xmlns:a14="http://schemas.microsoft.com/office/drawing/2010/main" spid="_x0000_s58745"/>
            </a:ext>
            <a:ext uri="{FF2B5EF4-FFF2-40B4-BE49-F238E27FC236}">
              <a16:creationId xmlns:a16="http://schemas.microsoft.com/office/drawing/2014/main" id="{00000000-0008-0000-0700-000079E50000}"/>
            </a:ext>
            <a:ext uri="{147F2762-F138-4A5C-976F-8EAC2B608ADB}">
              <a16:predDERef xmlns:a16="http://schemas.microsoft.com/office/drawing/2014/main" pred="{00000000-0008-0000-0700-000078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46" name="Drop Down 378" hidden="1">
          <a:extLst>
            <a:ext uri="{63B3BB69-23CF-44E3-9099-C40C66FF867C}">
              <a14:compatExt xmlns:a14="http://schemas.microsoft.com/office/drawing/2010/main" spid="_x0000_s58746"/>
            </a:ext>
            <a:ext uri="{FF2B5EF4-FFF2-40B4-BE49-F238E27FC236}">
              <a16:creationId xmlns:a16="http://schemas.microsoft.com/office/drawing/2014/main" id="{00000000-0008-0000-0700-00007AE50000}"/>
            </a:ext>
            <a:ext uri="{147F2762-F138-4A5C-976F-8EAC2B608ADB}">
              <a16:predDERef xmlns:a16="http://schemas.microsoft.com/office/drawing/2014/main" pred="{00000000-0008-0000-0700-000079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47" name="Drop Down 379" hidden="1">
          <a:extLst>
            <a:ext uri="{63B3BB69-23CF-44E3-9099-C40C66FF867C}">
              <a14:compatExt xmlns:a14="http://schemas.microsoft.com/office/drawing/2010/main" spid="_x0000_s58747"/>
            </a:ext>
            <a:ext uri="{FF2B5EF4-FFF2-40B4-BE49-F238E27FC236}">
              <a16:creationId xmlns:a16="http://schemas.microsoft.com/office/drawing/2014/main" id="{00000000-0008-0000-0700-00007BE50000}"/>
            </a:ext>
            <a:ext uri="{147F2762-F138-4A5C-976F-8EAC2B608ADB}">
              <a16:predDERef xmlns:a16="http://schemas.microsoft.com/office/drawing/2014/main" pred="{00000000-0008-0000-0700-00007A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48" name="Drop Down 380" hidden="1">
          <a:extLst>
            <a:ext uri="{63B3BB69-23CF-44E3-9099-C40C66FF867C}">
              <a14:compatExt xmlns:a14="http://schemas.microsoft.com/office/drawing/2010/main" spid="_x0000_s58748"/>
            </a:ext>
            <a:ext uri="{FF2B5EF4-FFF2-40B4-BE49-F238E27FC236}">
              <a16:creationId xmlns:a16="http://schemas.microsoft.com/office/drawing/2014/main" id="{00000000-0008-0000-0700-00007CE50000}"/>
            </a:ext>
            <a:ext uri="{147F2762-F138-4A5C-976F-8EAC2B608ADB}">
              <a16:predDERef xmlns:a16="http://schemas.microsoft.com/office/drawing/2014/main" pred="{00000000-0008-0000-0700-00007B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49" name="Drop Down 381" hidden="1">
          <a:extLst>
            <a:ext uri="{63B3BB69-23CF-44E3-9099-C40C66FF867C}">
              <a14:compatExt xmlns:a14="http://schemas.microsoft.com/office/drawing/2010/main" spid="_x0000_s58749"/>
            </a:ext>
            <a:ext uri="{FF2B5EF4-FFF2-40B4-BE49-F238E27FC236}">
              <a16:creationId xmlns:a16="http://schemas.microsoft.com/office/drawing/2014/main" id="{00000000-0008-0000-0700-00007DE50000}"/>
            </a:ext>
            <a:ext uri="{147F2762-F138-4A5C-976F-8EAC2B608ADB}">
              <a16:predDERef xmlns:a16="http://schemas.microsoft.com/office/drawing/2014/main" pred="{00000000-0008-0000-0700-00007C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50" name="Drop Down 382" hidden="1">
          <a:extLst>
            <a:ext uri="{63B3BB69-23CF-44E3-9099-C40C66FF867C}">
              <a14:compatExt xmlns:a14="http://schemas.microsoft.com/office/drawing/2010/main" spid="_x0000_s58750"/>
            </a:ext>
            <a:ext uri="{FF2B5EF4-FFF2-40B4-BE49-F238E27FC236}">
              <a16:creationId xmlns:a16="http://schemas.microsoft.com/office/drawing/2014/main" id="{00000000-0008-0000-0700-00007EE50000}"/>
            </a:ext>
            <a:ext uri="{147F2762-F138-4A5C-976F-8EAC2B608ADB}">
              <a16:predDERef xmlns:a16="http://schemas.microsoft.com/office/drawing/2014/main" pred="{00000000-0008-0000-0700-00007D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51" name="Drop Down 383" hidden="1">
          <a:extLst>
            <a:ext uri="{63B3BB69-23CF-44E3-9099-C40C66FF867C}">
              <a14:compatExt xmlns:a14="http://schemas.microsoft.com/office/drawing/2010/main" spid="_x0000_s58751"/>
            </a:ext>
            <a:ext uri="{FF2B5EF4-FFF2-40B4-BE49-F238E27FC236}">
              <a16:creationId xmlns:a16="http://schemas.microsoft.com/office/drawing/2014/main" id="{00000000-0008-0000-0700-00007FE50000}"/>
            </a:ext>
            <a:ext uri="{147F2762-F138-4A5C-976F-8EAC2B608ADB}">
              <a16:predDERef xmlns:a16="http://schemas.microsoft.com/office/drawing/2014/main" pred="{00000000-0008-0000-0700-00007E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52" name="Drop Down 384" hidden="1">
          <a:extLst>
            <a:ext uri="{63B3BB69-23CF-44E3-9099-C40C66FF867C}">
              <a14:compatExt xmlns:a14="http://schemas.microsoft.com/office/drawing/2010/main" spid="_x0000_s58752"/>
            </a:ext>
            <a:ext uri="{FF2B5EF4-FFF2-40B4-BE49-F238E27FC236}">
              <a16:creationId xmlns:a16="http://schemas.microsoft.com/office/drawing/2014/main" id="{00000000-0008-0000-0700-000080E50000}"/>
            </a:ext>
            <a:ext uri="{147F2762-F138-4A5C-976F-8EAC2B608ADB}">
              <a16:predDERef xmlns:a16="http://schemas.microsoft.com/office/drawing/2014/main" pred="{00000000-0008-0000-0700-00007F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53" name="Drop Down 385" hidden="1">
          <a:extLst>
            <a:ext uri="{63B3BB69-23CF-44E3-9099-C40C66FF867C}">
              <a14:compatExt xmlns:a14="http://schemas.microsoft.com/office/drawing/2010/main" spid="_x0000_s58753"/>
            </a:ext>
            <a:ext uri="{FF2B5EF4-FFF2-40B4-BE49-F238E27FC236}">
              <a16:creationId xmlns:a16="http://schemas.microsoft.com/office/drawing/2014/main" id="{00000000-0008-0000-0700-000081E50000}"/>
            </a:ext>
            <a:ext uri="{147F2762-F138-4A5C-976F-8EAC2B608ADB}">
              <a16:predDERef xmlns:a16="http://schemas.microsoft.com/office/drawing/2014/main" pred="{00000000-0008-0000-0700-000080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54" name="Drop Down 386" hidden="1">
          <a:extLst>
            <a:ext uri="{63B3BB69-23CF-44E3-9099-C40C66FF867C}">
              <a14:compatExt xmlns:a14="http://schemas.microsoft.com/office/drawing/2010/main" spid="_x0000_s58754"/>
            </a:ext>
            <a:ext uri="{FF2B5EF4-FFF2-40B4-BE49-F238E27FC236}">
              <a16:creationId xmlns:a16="http://schemas.microsoft.com/office/drawing/2014/main" id="{00000000-0008-0000-0700-000082E50000}"/>
            </a:ext>
            <a:ext uri="{147F2762-F138-4A5C-976F-8EAC2B608ADB}">
              <a16:predDERef xmlns:a16="http://schemas.microsoft.com/office/drawing/2014/main" pred="{00000000-0008-0000-0700-000081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55" name="Drop Down 387" hidden="1">
          <a:extLst>
            <a:ext uri="{63B3BB69-23CF-44E3-9099-C40C66FF867C}">
              <a14:compatExt xmlns:a14="http://schemas.microsoft.com/office/drawing/2010/main" spid="_x0000_s58755"/>
            </a:ext>
            <a:ext uri="{FF2B5EF4-FFF2-40B4-BE49-F238E27FC236}">
              <a16:creationId xmlns:a16="http://schemas.microsoft.com/office/drawing/2014/main" id="{00000000-0008-0000-0700-000083E50000}"/>
            </a:ext>
            <a:ext uri="{147F2762-F138-4A5C-976F-8EAC2B608ADB}">
              <a16:predDERef xmlns:a16="http://schemas.microsoft.com/office/drawing/2014/main" pred="{00000000-0008-0000-0700-000082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56" name="Drop Down 388" hidden="1">
          <a:extLst>
            <a:ext uri="{63B3BB69-23CF-44E3-9099-C40C66FF867C}">
              <a14:compatExt xmlns:a14="http://schemas.microsoft.com/office/drawing/2010/main" spid="_x0000_s58756"/>
            </a:ext>
            <a:ext uri="{FF2B5EF4-FFF2-40B4-BE49-F238E27FC236}">
              <a16:creationId xmlns:a16="http://schemas.microsoft.com/office/drawing/2014/main" id="{00000000-0008-0000-0700-000084E50000}"/>
            </a:ext>
            <a:ext uri="{147F2762-F138-4A5C-976F-8EAC2B608ADB}">
              <a16:predDERef xmlns:a16="http://schemas.microsoft.com/office/drawing/2014/main" pred="{00000000-0008-0000-0700-000083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83820</xdr:rowOff>
    </xdr:from>
    <xdr:to>
      <xdr:col>6</xdr:col>
      <xdr:colOff>1249680</xdr:colOff>
      <xdr:row>21</xdr:row>
      <xdr:rowOff>304800</xdr:rowOff>
    </xdr:to>
    <xdr:sp macro="" textlink="">
      <xdr:nvSpPr>
        <xdr:cNvPr id="58757" name="Drop Down 389" hidden="1">
          <a:extLst>
            <a:ext uri="{63B3BB69-23CF-44E3-9099-C40C66FF867C}">
              <a14:compatExt xmlns:a14="http://schemas.microsoft.com/office/drawing/2010/main" spid="_x0000_s58757"/>
            </a:ext>
            <a:ext uri="{FF2B5EF4-FFF2-40B4-BE49-F238E27FC236}">
              <a16:creationId xmlns:a16="http://schemas.microsoft.com/office/drawing/2014/main" id="{00000000-0008-0000-0700-000085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22</xdr:row>
      <xdr:rowOff>83820</xdr:rowOff>
    </xdr:from>
    <xdr:to>
      <xdr:col>6</xdr:col>
      <xdr:colOff>1249680</xdr:colOff>
      <xdr:row>22</xdr:row>
      <xdr:rowOff>304800</xdr:rowOff>
    </xdr:to>
    <xdr:sp macro="" textlink="">
      <xdr:nvSpPr>
        <xdr:cNvPr id="58758" name="Drop Down 390" hidden="1">
          <a:extLst>
            <a:ext uri="{63B3BB69-23CF-44E3-9099-C40C66FF867C}">
              <a14:compatExt xmlns:a14="http://schemas.microsoft.com/office/drawing/2010/main" spid="_x0000_s58758"/>
            </a:ext>
            <a:ext uri="{FF2B5EF4-FFF2-40B4-BE49-F238E27FC236}">
              <a16:creationId xmlns:a16="http://schemas.microsoft.com/office/drawing/2014/main" id="{00000000-0008-0000-0700-000086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23</xdr:row>
      <xdr:rowOff>83820</xdr:rowOff>
    </xdr:from>
    <xdr:to>
      <xdr:col>6</xdr:col>
      <xdr:colOff>1249680</xdr:colOff>
      <xdr:row>23</xdr:row>
      <xdr:rowOff>304800</xdr:rowOff>
    </xdr:to>
    <xdr:sp macro="" textlink="">
      <xdr:nvSpPr>
        <xdr:cNvPr id="58759" name="Drop Down 391" hidden="1">
          <a:extLst>
            <a:ext uri="{63B3BB69-23CF-44E3-9099-C40C66FF867C}">
              <a14:compatExt xmlns:a14="http://schemas.microsoft.com/office/drawing/2010/main" spid="_x0000_s58759"/>
            </a:ext>
            <a:ext uri="{FF2B5EF4-FFF2-40B4-BE49-F238E27FC236}">
              <a16:creationId xmlns:a16="http://schemas.microsoft.com/office/drawing/2014/main" id="{00000000-0008-0000-0700-000087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24</xdr:row>
      <xdr:rowOff>83820</xdr:rowOff>
    </xdr:from>
    <xdr:to>
      <xdr:col>6</xdr:col>
      <xdr:colOff>1249680</xdr:colOff>
      <xdr:row>24</xdr:row>
      <xdr:rowOff>304800</xdr:rowOff>
    </xdr:to>
    <xdr:sp macro="" textlink="">
      <xdr:nvSpPr>
        <xdr:cNvPr id="58760" name="Drop Down 392" hidden="1">
          <a:extLst>
            <a:ext uri="{63B3BB69-23CF-44E3-9099-C40C66FF867C}">
              <a14:compatExt xmlns:a14="http://schemas.microsoft.com/office/drawing/2010/main" spid="_x0000_s58760"/>
            </a:ext>
            <a:ext uri="{FF2B5EF4-FFF2-40B4-BE49-F238E27FC236}">
              <a16:creationId xmlns:a16="http://schemas.microsoft.com/office/drawing/2014/main" id="{00000000-0008-0000-0700-000088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25</xdr:row>
      <xdr:rowOff>83820</xdr:rowOff>
    </xdr:from>
    <xdr:to>
      <xdr:col>6</xdr:col>
      <xdr:colOff>1249680</xdr:colOff>
      <xdr:row>25</xdr:row>
      <xdr:rowOff>304800</xdr:rowOff>
    </xdr:to>
    <xdr:sp macro="" textlink="">
      <xdr:nvSpPr>
        <xdr:cNvPr id="58761" name="Drop Down 393" hidden="1">
          <a:extLst>
            <a:ext uri="{63B3BB69-23CF-44E3-9099-C40C66FF867C}">
              <a14:compatExt xmlns:a14="http://schemas.microsoft.com/office/drawing/2010/main" spid="_x0000_s58761"/>
            </a:ext>
            <a:ext uri="{FF2B5EF4-FFF2-40B4-BE49-F238E27FC236}">
              <a16:creationId xmlns:a16="http://schemas.microsoft.com/office/drawing/2014/main" id="{00000000-0008-0000-0700-000089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83820</xdr:rowOff>
    </xdr:from>
    <xdr:to>
      <xdr:col>6</xdr:col>
      <xdr:colOff>1249680</xdr:colOff>
      <xdr:row>29</xdr:row>
      <xdr:rowOff>304800</xdr:rowOff>
    </xdr:to>
    <xdr:sp macro="" textlink="">
      <xdr:nvSpPr>
        <xdr:cNvPr id="58762" name="Drop Down 394" hidden="1">
          <a:extLst>
            <a:ext uri="{63B3BB69-23CF-44E3-9099-C40C66FF867C}">
              <a14:compatExt xmlns:a14="http://schemas.microsoft.com/office/drawing/2010/main" spid="_x0000_s58762"/>
            </a:ext>
            <a:ext uri="{FF2B5EF4-FFF2-40B4-BE49-F238E27FC236}">
              <a16:creationId xmlns:a16="http://schemas.microsoft.com/office/drawing/2014/main" id="{00000000-0008-0000-0700-00008A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30</xdr:row>
      <xdr:rowOff>83820</xdr:rowOff>
    </xdr:from>
    <xdr:to>
      <xdr:col>6</xdr:col>
      <xdr:colOff>1249680</xdr:colOff>
      <xdr:row>30</xdr:row>
      <xdr:rowOff>304800</xdr:rowOff>
    </xdr:to>
    <xdr:sp macro="" textlink="">
      <xdr:nvSpPr>
        <xdr:cNvPr id="58763" name="Drop Down 395" hidden="1">
          <a:extLst>
            <a:ext uri="{63B3BB69-23CF-44E3-9099-C40C66FF867C}">
              <a14:compatExt xmlns:a14="http://schemas.microsoft.com/office/drawing/2010/main" spid="_x0000_s58763"/>
            </a:ext>
            <a:ext uri="{FF2B5EF4-FFF2-40B4-BE49-F238E27FC236}">
              <a16:creationId xmlns:a16="http://schemas.microsoft.com/office/drawing/2014/main" id="{00000000-0008-0000-0700-00008B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31</xdr:row>
      <xdr:rowOff>83820</xdr:rowOff>
    </xdr:from>
    <xdr:to>
      <xdr:col>6</xdr:col>
      <xdr:colOff>1249680</xdr:colOff>
      <xdr:row>31</xdr:row>
      <xdr:rowOff>304800</xdr:rowOff>
    </xdr:to>
    <xdr:sp macro="" textlink="">
      <xdr:nvSpPr>
        <xdr:cNvPr id="58764" name="Drop Down 396" hidden="1">
          <a:extLst>
            <a:ext uri="{63B3BB69-23CF-44E3-9099-C40C66FF867C}">
              <a14:compatExt xmlns:a14="http://schemas.microsoft.com/office/drawing/2010/main" spid="_x0000_s58764"/>
            </a:ext>
            <a:ext uri="{FF2B5EF4-FFF2-40B4-BE49-F238E27FC236}">
              <a16:creationId xmlns:a16="http://schemas.microsoft.com/office/drawing/2014/main" id="{00000000-0008-0000-0700-00008C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36</xdr:row>
      <xdr:rowOff>83820</xdr:rowOff>
    </xdr:from>
    <xdr:to>
      <xdr:col>6</xdr:col>
      <xdr:colOff>1249680</xdr:colOff>
      <xdr:row>36</xdr:row>
      <xdr:rowOff>304800</xdr:rowOff>
    </xdr:to>
    <xdr:sp macro="" textlink="">
      <xdr:nvSpPr>
        <xdr:cNvPr id="58765" name="Drop Down 397" hidden="1">
          <a:extLst>
            <a:ext uri="{63B3BB69-23CF-44E3-9099-C40C66FF867C}">
              <a14:compatExt xmlns:a14="http://schemas.microsoft.com/office/drawing/2010/main" spid="_x0000_s58765"/>
            </a:ext>
            <a:ext uri="{FF2B5EF4-FFF2-40B4-BE49-F238E27FC236}">
              <a16:creationId xmlns:a16="http://schemas.microsoft.com/office/drawing/2014/main" id="{00000000-0008-0000-0700-00008D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37</xdr:row>
      <xdr:rowOff>83820</xdr:rowOff>
    </xdr:from>
    <xdr:to>
      <xdr:col>6</xdr:col>
      <xdr:colOff>1249680</xdr:colOff>
      <xdr:row>37</xdr:row>
      <xdr:rowOff>304800</xdr:rowOff>
    </xdr:to>
    <xdr:sp macro="" textlink="">
      <xdr:nvSpPr>
        <xdr:cNvPr id="58766" name="Drop Down 398" hidden="1">
          <a:extLst>
            <a:ext uri="{63B3BB69-23CF-44E3-9099-C40C66FF867C}">
              <a14:compatExt xmlns:a14="http://schemas.microsoft.com/office/drawing/2010/main" spid="_x0000_s58766"/>
            </a:ext>
            <a:ext uri="{FF2B5EF4-FFF2-40B4-BE49-F238E27FC236}">
              <a16:creationId xmlns:a16="http://schemas.microsoft.com/office/drawing/2014/main" id="{00000000-0008-0000-0700-00008E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38</xdr:row>
      <xdr:rowOff>83820</xdr:rowOff>
    </xdr:from>
    <xdr:to>
      <xdr:col>6</xdr:col>
      <xdr:colOff>1249680</xdr:colOff>
      <xdr:row>38</xdr:row>
      <xdr:rowOff>304800</xdr:rowOff>
    </xdr:to>
    <xdr:sp macro="" textlink="">
      <xdr:nvSpPr>
        <xdr:cNvPr id="58767" name="Drop Down 399" hidden="1">
          <a:extLst>
            <a:ext uri="{63B3BB69-23CF-44E3-9099-C40C66FF867C}">
              <a14:compatExt xmlns:a14="http://schemas.microsoft.com/office/drawing/2010/main" spid="_x0000_s58767"/>
            </a:ext>
            <a:ext uri="{FF2B5EF4-FFF2-40B4-BE49-F238E27FC236}">
              <a16:creationId xmlns:a16="http://schemas.microsoft.com/office/drawing/2014/main" id="{00000000-0008-0000-0700-00008F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39</xdr:row>
      <xdr:rowOff>83820</xdr:rowOff>
    </xdr:from>
    <xdr:to>
      <xdr:col>6</xdr:col>
      <xdr:colOff>1249680</xdr:colOff>
      <xdr:row>39</xdr:row>
      <xdr:rowOff>304800</xdr:rowOff>
    </xdr:to>
    <xdr:sp macro="" textlink="">
      <xdr:nvSpPr>
        <xdr:cNvPr id="58768" name="Drop Down 400" hidden="1">
          <a:extLst>
            <a:ext uri="{63B3BB69-23CF-44E3-9099-C40C66FF867C}">
              <a14:compatExt xmlns:a14="http://schemas.microsoft.com/office/drawing/2010/main" spid="_x0000_s58768"/>
            </a:ext>
            <a:ext uri="{FF2B5EF4-FFF2-40B4-BE49-F238E27FC236}">
              <a16:creationId xmlns:a16="http://schemas.microsoft.com/office/drawing/2014/main" id="{00000000-0008-0000-0700-000090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40</xdr:row>
      <xdr:rowOff>83820</xdr:rowOff>
    </xdr:from>
    <xdr:to>
      <xdr:col>6</xdr:col>
      <xdr:colOff>1249680</xdr:colOff>
      <xdr:row>40</xdr:row>
      <xdr:rowOff>180975</xdr:rowOff>
    </xdr:to>
    <xdr:sp macro="" textlink="">
      <xdr:nvSpPr>
        <xdr:cNvPr id="58769" name="Drop Down 401" hidden="1">
          <a:extLst>
            <a:ext uri="{63B3BB69-23CF-44E3-9099-C40C66FF867C}">
              <a14:compatExt xmlns:a14="http://schemas.microsoft.com/office/drawing/2010/main" spid="_x0000_s58769"/>
            </a:ext>
            <a:ext uri="{FF2B5EF4-FFF2-40B4-BE49-F238E27FC236}">
              <a16:creationId xmlns:a16="http://schemas.microsoft.com/office/drawing/2014/main" id="{00000000-0008-0000-0700-000091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41</xdr:row>
      <xdr:rowOff>83820</xdr:rowOff>
    </xdr:from>
    <xdr:to>
      <xdr:col>6</xdr:col>
      <xdr:colOff>1249680</xdr:colOff>
      <xdr:row>41</xdr:row>
      <xdr:rowOff>304800</xdr:rowOff>
    </xdr:to>
    <xdr:sp macro="" textlink="">
      <xdr:nvSpPr>
        <xdr:cNvPr id="58770" name="Drop Down 402" hidden="1">
          <a:extLst>
            <a:ext uri="{63B3BB69-23CF-44E3-9099-C40C66FF867C}">
              <a14:compatExt xmlns:a14="http://schemas.microsoft.com/office/drawing/2010/main" spid="_x0000_s58770"/>
            </a:ext>
            <a:ext uri="{FF2B5EF4-FFF2-40B4-BE49-F238E27FC236}">
              <a16:creationId xmlns:a16="http://schemas.microsoft.com/office/drawing/2014/main" id="{00000000-0008-0000-0700-000092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42</xdr:row>
      <xdr:rowOff>83820</xdr:rowOff>
    </xdr:from>
    <xdr:to>
      <xdr:col>6</xdr:col>
      <xdr:colOff>1249680</xdr:colOff>
      <xdr:row>42</xdr:row>
      <xdr:rowOff>304800</xdr:rowOff>
    </xdr:to>
    <xdr:sp macro="" textlink="">
      <xdr:nvSpPr>
        <xdr:cNvPr id="58771" name="Drop Down 403" hidden="1">
          <a:extLst>
            <a:ext uri="{63B3BB69-23CF-44E3-9099-C40C66FF867C}">
              <a14:compatExt xmlns:a14="http://schemas.microsoft.com/office/drawing/2010/main" spid="_x0000_s58771"/>
            </a:ext>
            <a:ext uri="{FF2B5EF4-FFF2-40B4-BE49-F238E27FC236}">
              <a16:creationId xmlns:a16="http://schemas.microsoft.com/office/drawing/2014/main" id="{00000000-0008-0000-0700-000093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43</xdr:row>
      <xdr:rowOff>83820</xdr:rowOff>
    </xdr:from>
    <xdr:to>
      <xdr:col>6</xdr:col>
      <xdr:colOff>1249680</xdr:colOff>
      <xdr:row>43</xdr:row>
      <xdr:rowOff>304800</xdr:rowOff>
    </xdr:to>
    <xdr:sp macro="" textlink="">
      <xdr:nvSpPr>
        <xdr:cNvPr id="58772" name="Drop Down 404" hidden="1">
          <a:extLst>
            <a:ext uri="{63B3BB69-23CF-44E3-9099-C40C66FF867C}">
              <a14:compatExt xmlns:a14="http://schemas.microsoft.com/office/drawing/2010/main" spid="_x0000_s58772"/>
            </a:ext>
            <a:ext uri="{FF2B5EF4-FFF2-40B4-BE49-F238E27FC236}">
              <a16:creationId xmlns:a16="http://schemas.microsoft.com/office/drawing/2014/main" id="{00000000-0008-0000-0700-000094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44</xdr:row>
      <xdr:rowOff>83820</xdr:rowOff>
    </xdr:from>
    <xdr:to>
      <xdr:col>6</xdr:col>
      <xdr:colOff>1249680</xdr:colOff>
      <xdr:row>44</xdr:row>
      <xdr:rowOff>304800</xdr:rowOff>
    </xdr:to>
    <xdr:sp macro="" textlink="">
      <xdr:nvSpPr>
        <xdr:cNvPr id="58773" name="Drop Down 405" hidden="1">
          <a:extLst>
            <a:ext uri="{63B3BB69-23CF-44E3-9099-C40C66FF867C}">
              <a14:compatExt xmlns:a14="http://schemas.microsoft.com/office/drawing/2010/main" spid="_x0000_s58773"/>
            </a:ext>
            <a:ext uri="{FF2B5EF4-FFF2-40B4-BE49-F238E27FC236}">
              <a16:creationId xmlns:a16="http://schemas.microsoft.com/office/drawing/2014/main" id="{00000000-0008-0000-0700-000095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46</xdr:row>
      <xdr:rowOff>83820</xdr:rowOff>
    </xdr:from>
    <xdr:to>
      <xdr:col>6</xdr:col>
      <xdr:colOff>1249680</xdr:colOff>
      <xdr:row>46</xdr:row>
      <xdr:rowOff>304800</xdr:rowOff>
    </xdr:to>
    <xdr:sp macro="" textlink="">
      <xdr:nvSpPr>
        <xdr:cNvPr id="58774" name="Drop Down 406" hidden="1">
          <a:extLst>
            <a:ext uri="{63B3BB69-23CF-44E3-9099-C40C66FF867C}">
              <a14:compatExt xmlns:a14="http://schemas.microsoft.com/office/drawing/2010/main" spid="_x0000_s58774"/>
            </a:ext>
            <a:ext uri="{FF2B5EF4-FFF2-40B4-BE49-F238E27FC236}">
              <a16:creationId xmlns:a16="http://schemas.microsoft.com/office/drawing/2014/main" id="{00000000-0008-0000-0700-000096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47</xdr:row>
      <xdr:rowOff>83820</xdr:rowOff>
    </xdr:from>
    <xdr:to>
      <xdr:col>6</xdr:col>
      <xdr:colOff>1249680</xdr:colOff>
      <xdr:row>47</xdr:row>
      <xdr:rowOff>304800</xdr:rowOff>
    </xdr:to>
    <xdr:sp macro="" textlink="">
      <xdr:nvSpPr>
        <xdr:cNvPr id="58775" name="Drop Down 407" hidden="1">
          <a:extLst>
            <a:ext uri="{63B3BB69-23CF-44E3-9099-C40C66FF867C}">
              <a14:compatExt xmlns:a14="http://schemas.microsoft.com/office/drawing/2010/main" spid="_x0000_s58775"/>
            </a:ext>
            <a:ext uri="{FF2B5EF4-FFF2-40B4-BE49-F238E27FC236}">
              <a16:creationId xmlns:a16="http://schemas.microsoft.com/office/drawing/2014/main" id="{00000000-0008-0000-0700-000097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48</xdr:row>
      <xdr:rowOff>83820</xdr:rowOff>
    </xdr:from>
    <xdr:to>
      <xdr:col>6</xdr:col>
      <xdr:colOff>1249680</xdr:colOff>
      <xdr:row>48</xdr:row>
      <xdr:rowOff>304800</xdr:rowOff>
    </xdr:to>
    <xdr:sp macro="" textlink="">
      <xdr:nvSpPr>
        <xdr:cNvPr id="58776" name="Drop Down 408" hidden="1">
          <a:extLst>
            <a:ext uri="{63B3BB69-23CF-44E3-9099-C40C66FF867C}">
              <a14:compatExt xmlns:a14="http://schemas.microsoft.com/office/drawing/2010/main" spid="_x0000_s58776"/>
            </a:ext>
            <a:ext uri="{FF2B5EF4-FFF2-40B4-BE49-F238E27FC236}">
              <a16:creationId xmlns:a16="http://schemas.microsoft.com/office/drawing/2014/main" id="{00000000-0008-0000-0700-000098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49</xdr:row>
      <xdr:rowOff>83820</xdr:rowOff>
    </xdr:from>
    <xdr:to>
      <xdr:col>6</xdr:col>
      <xdr:colOff>1249680</xdr:colOff>
      <xdr:row>49</xdr:row>
      <xdr:rowOff>304800</xdr:rowOff>
    </xdr:to>
    <xdr:sp macro="" textlink="">
      <xdr:nvSpPr>
        <xdr:cNvPr id="58777" name="Drop Down 409" hidden="1">
          <a:extLst>
            <a:ext uri="{63B3BB69-23CF-44E3-9099-C40C66FF867C}">
              <a14:compatExt xmlns:a14="http://schemas.microsoft.com/office/drawing/2010/main" spid="_x0000_s58777"/>
            </a:ext>
            <a:ext uri="{FF2B5EF4-FFF2-40B4-BE49-F238E27FC236}">
              <a16:creationId xmlns:a16="http://schemas.microsoft.com/office/drawing/2014/main" id="{00000000-0008-0000-0700-000099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78" name="Drop Down 410" hidden="1">
          <a:extLst>
            <a:ext uri="{63B3BB69-23CF-44E3-9099-C40C66FF867C}">
              <a14:compatExt xmlns:a14="http://schemas.microsoft.com/office/drawing/2010/main" spid="_x0000_s58778"/>
            </a:ext>
            <a:ext uri="{FF2B5EF4-FFF2-40B4-BE49-F238E27FC236}">
              <a16:creationId xmlns:a16="http://schemas.microsoft.com/office/drawing/2014/main" id="{00000000-0008-0000-0700-00009AE50000}"/>
            </a:ext>
            <a:ext uri="{147F2762-F138-4A5C-976F-8EAC2B608ADB}">
              <a16:predDERef xmlns:a16="http://schemas.microsoft.com/office/drawing/2014/main" pred="{00000000-0008-0000-0700-000099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79" name="Drop Down 411" hidden="1">
          <a:extLst>
            <a:ext uri="{63B3BB69-23CF-44E3-9099-C40C66FF867C}">
              <a14:compatExt xmlns:a14="http://schemas.microsoft.com/office/drawing/2010/main" spid="_x0000_s58779"/>
            </a:ext>
            <a:ext uri="{FF2B5EF4-FFF2-40B4-BE49-F238E27FC236}">
              <a16:creationId xmlns:a16="http://schemas.microsoft.com/office/drawing/2014/main" id="{00000000-0008-0000-0700-00009BE50000}"/>
            </a:ext>
            <a:ext uri="{147F2762-F138-4A5C-976F-8EAC2B608ADB}">
              <a16:predDERef xmlns:a16="http://schemas.microsoft.com/office/drawing/2014/main" pred="{00000000-0008-0000-0700-00009A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80" name="Drop Down 412" hidden="1">
          <a:extLst>
            <a:ext uri="{63B3BB69-23CF-44E3-9099-C40C66FF867C}">
              <a14:compatExt xmlns:a14="http://schemas.microsoft.com/office/drawing/2010/main" spid="_x0000_s58780"/>
            </a:ext>
            <a:ext uri="{FF2B5EF4-FFF2-40B4-BE49-F238E27FC236}">
              <a16:creationId xmlns:a16="http://schemas.microsoft.com/office/drawing/2014/main" id="{00000000-0008-0000-0700-00009CE50000}"/>
            </a:ext>
            <a:ext uri="{147F2762-F138-4A5C-976F-8EAC2B608ADB}">
              <a16:predDERef xmlns:a16="http://schemas.microsoft.com/office/drawing/2014/main" pred="{00000000-0008-0000-0700-00009B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81" name="Drop Down 413" hidden="1">
          <a:extLst>
            <a:ext uri="{63B3BB69-23CF-44E3-9099-C40C66FF867C}">
              <a14:compatExt xmlns:a14="http://schemas.microsoft.com/office/drawing/2010/main" spid="_x0000_s58781"/>
            </a:ext>
            <a:ext uri="{FF2B5EF4-FFF2-40B4-BE49-F238E27FC236}">
              <a16:creationId xmlns:a16="http://schemas.microsoft.com/office/drawing/2014/main" id="{00000000-0008-0000-0700-00009DE50000}"/>
            </a:ext>
            <a:ext uri="{147F2762-F138-4A5C-976F-8EAC2B608ADB}">
              <a16:predDERef xmlns:a16="http://schemas.microsoft.com/office/drawing/2014/main" pred="{00000000-0008-0000-0700-00009C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82" name="Drop Down 414" hidden="1">
          <a:extLst>
            <a:ext uri="{63B3BB69-23CF-44E3-9099-C40C66FF867C}">
              <a14:compatExt xmlns:a14="http://schemas.microsoft.com/office/drawing/2010/main" spid="_x0000_s58782"/>
            </a:ext>
            <a:ext uri="{FF2B5EF4-FFF2-40B4-BE49-F238E27FC236}">
              <a16:creationId xmlns:a16="http://schemas.microsoft.com/office/drawing/2014/main" id="{00000000-0008-0000-0700-00009EE50000}"/>
            </a:ext>
            <a:ext uri="{147F2762-F138-4A5C-976F-8EAC2B608ADB}">
              <a16:predDERef xmlns:a16="http://schemas.microsoft.com/office/drawing/2014/main" pred="{00000000-0008-0000-0700-00009D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83" name="Drop Down 415" hidden="1">
          <a:extLst>
            <a:ext uri="{63B3BB69-23CF-44E3-9099-C40C66FF867C}">
              <a14:compatExt xmlns:a14="http://schemas.microsoft.com/office/drawing/2010/main" spid="_x0000_s58783"/>
            </a:ext>
            <a:ext uri="{FF2B5EF4-FFF2-40B4-BE49-F238E27FC236}">
              <a16:creationId xmlns:a16="http://schemas.microsoft.com/office/drawing/2014/main" id="{00000000-0008-0000-0700-00009FE50000}"/>
            </a:ext>
            <a:ext uri="{147F2762-F138-4A5C-976F-8EAC2B608ADB}">
              <a16:predDERef xmlns:a16="http://schemas.microsoft.com/office/drawing/2014/main" pred="{00000000-0008-0000-0700-00009E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84" name="Drop Down 416" hidden="1">
          <a:extLst>
            <a:ext uri="{63B3BB69-23CF-44E3-9099-C40C66FF867C}">
              <a14:compatExt xmlns:a14="http://schemas.microsoft.com/office/drawing/2010/main" spid="_x0000_s58784"/>
            </a:ext>
            <a:ext uri="{FF2B5EF4-FFF2-40B4-BE49-F238E27FC236}">
              <a16:creationId xmlns:a16="http://schemas.microsoft.com/office/drawing/2014/main" id="{00000000-0008-0000-0700-0000A0E50000}"/>
            </a:ext>
            <a:ext uri="{147F2762-F138-4A5C-976F-8EAC2B608ADB}">
              <a16:predDERef xmlns:a16="http://schemas.microsoft.com/office/drawing/2014/main" pred="{00000000-0008-0000-0700-00009F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97155</xdr:rowOff>
    </xdr:to>
    <xdr:sp macro="" textlink="">
      <xdr:nvSpPr>
        <xdr:cNvPr id="58785" name="Drop Down 417" hidden="1">
          <a:extLst>
            <a:ext uri="{63B3BB69-23CF-44E3-9099-C40C66FF867C}">
              <a14:compatExt xmlns:a14="http://schemas.microsoft.com/office/drawing/2010/main" spid="_x0000_s58785"/>
            </a:ext>
            <a:ext uri="{FF2B5EF4-FFF2-40B4-BE49-F238E27FC236}">
              <a16:creationId xmlns:a16="http://schemas.microsoft.com/office/drawing/2014/main" id="{00000000-0008-0000-0700-0000A1E50000}"/>
            </a:ext>
            <a:ext uri="{147F2762-F138-4A5C-976F-8EAC2B608ADB}">
              <a16:predDERef xmlns:a16="http://schemas.microsoft.com/office/drawing/2014/main" pred="{00000000-0008-0000-0700-0000A0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86" name="Drop Down 418" hidden="1">
          <a:extLst>
            <a:ext uri="{63B3BB69-23CF-44E3-9099-C40C66FF867C}">
              <a14:compatExt xmlns:a14="http://schemas.microsoft.com/office/drawing/2010/main" spid="_x0000_s58786"/>
            </a:ext>
            <a:ext uri="{FF2B5EF4-FFF2-40B4-BE49-F238E27FC236}">
              <a16:creationId xmlns:a16="http://schemas.microsoft.com/office/drawing/2014/main" id="{00000000-0008-0000-0700-0000A2E50000}"/>
            </a:ext>
            <a:ext uri="{147F2762-F138-4A5C-976F-8EAC2B608ADB}">
              <a16:predDERef xmlns:a16="http://schemas.microsoft.com/office/drawing/2014/main" pred="{00000000-0008-0000-0700-0000A1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87" name="Drop Down 419" hidden="1">
          <a:extLst>
            <a:ext uri="{63B3BB69-23CF-44E3-9099-C40C66FF867C}">
              <a14:compatExt xmlns:a14="http://schemas.microsoft.com/office/drawing/2010/main" spid="_x0000_s58787"/>
            </a:ext>
            <a:ext uri="{FF2B5EF4-FFF2-40B4-BE49-F238E27FC236}">
              <a16:creationId xmlns:a16="http://schemas.microsoft.com/office/drawing/2014/main" id="{00000000-0008-0000-0700-0000A3E50000}"/>
            </a:ext>
            <a:ext uri="{147F2762-F138-4A5C-976F-8EAC2B608ADB}">
              <a16:predDERef xmlns:a16="http://schemas.microsoft.com/office/drawing/2014/main" pred="{00000000-0008-0000-0700-0000A2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88" name="Drop Down 420" hidden="1">
          <a:extLst>
            <a:ext uri="{63B3BB69-23CF-44E3-9099-C40C66FF867C}">
              <a14:compatExt xmlns:a14="http://schemas.microsoft.com/office/drawing/2010/main" spid="_x0000_s58788"/>
            </a:ext>
            <a:ext uri="{FF2B5EF4-FFF2-40B4-BE49-F238E27FC236}">
              <a16:creationId xmlns:a16="http://schemas.microsoft.com/office/drawing/2014/main" id="{00000000-0008-0000-0700-0000A4E50000}"/>
            </a:ext>
            <a:ext uri="{147F2762-F138-4A5C-976F-8EAC2B608ADB}">
              <a16:predDERef xmlns:a16="http://schemas.microsoft.com/office/drawing/2014/main" pred="{00000000-0008-0000-0700-0000A3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89" name="Drop Down 421" hidden="1">
          <a:extLst>
            <a:ext uri="{63B3BB69-23CF-44E3-9099-C40C66FF867C}">
              <a14:compatExt xmlns:a14="http://schemas.microsoft.com/office/drawing/2010/main" spid="_x0000_s58789"/>
            </a:ext>
            <a:ext uri="{FF2B5EF4-FFF2-40B4-BE49-F238E27FC236}">
              <a16:creationId xmlns:a16="http://schemas.microsoft.com/office/drawing/2014/main" id="{00000000-0008-0000-0700-0000A5E50000}"/>
            </a:ext>
            <a:ext uri="{147F2762-F138-4A5C-976F-8EAC2B608ADB}">
              <a16:predDERef xmlns:a16="http://schemas.microsoft.com/office/drawing/2014/main" pred="{00000000-0008-0000-0700-0000A4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90" name="Drop Down 422" hidden="1">
          <a:extLst>
            <a:ext uri="{63B3BB69-23CF-44E3-9099-C40C66FF867C}">
              <a14:compatExt xmlns:a14="http://schemas.microsoft.com/office/drawing/2010/main" spid="_x0000_s58790"/>
            </a:ext>
            <a:ext uri="{FF2B5EF4-FFF2-40B4-BE49-F238E27FC236}">
              <a16:creationId xmlns:a16="http://schemas.microsoft.com/office/drawing/2014/main" id="{00000000-0008-0000-0700-0000A6E50000}"/>
            </a:ext>
            <a:ext uri="{147F2762-F138-4A5C-976F-8EAC2B608ADB}">
              <a16:predDERef xmlns:a16="http://schemas.microsoft.com/office/drawing/2014/main" pred="{00000000-0008-0000-0700-0000A5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91" name="Drop Down 423" hidden="1">
          <a:extLst>
            <a:ext uri="{63B3BB69-23CF-44E3-9099-C40C66FF867C}">
              <a14:compatExt xmlns:a14="http://schemas.microsoft.com/office/drawing/2010/main" spid="_x0000_s58791"/>
            </a:ext>
            <a:ext uri="{FF2B5EF4-FFF2-40B4-BE49-F238E27FC236}">
              <a16:creationId xmlns:a16="http://schemas.microsoft.com/office/drawing/2014/main" id="{00000000-0008-0000-0700-0000A7E50000}"/>
            </a:ext>
            <a:ext uri="{147F2762-F138-4A5C-976F-8EAC2B608ADB}">
              <a16:predDERef xmlns:a16="http://schemas.microsoft.com/office/drawing/2014/main" pred="{00000000-0008-0000-0700-0000A6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92" name="Drop Down 424" hidden="1">
          <a:extLst>
            <a:ext uri="{63B3BB69-23CF-44E3-9099-C40C66FF867C}">
              <a14:compatExt xmlns:a14="http://schemas.microsoft.com/office/drawing/2010/main" spid="_x0000_s58792"/>
            </a:ext>
            <a:ext uri="{FF2B5EF4-FFF2-40B4-BE49-F238E27FC236}">
              <a16:creationId xmlns:a16="http://schemas.microsoft.com/office/drawing/2014/main" id="{00000000-0008-0000-0700-0000A8E50000}"/>
            </a:ext>
            <a:ext uri="{147F2762-F138-4A5C-976F-8EAC2B608ADB}">
              <a16:predDERef xmlns:a16="http://schemas.microsoft.com/office/drawing/2014/main" pred="{00000000-0008-0000-0700-0000A7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93" name="Drop Down 425" hidden="1">
          <a:extLst>
            <a:ext uri="{63B3BB69-23CF-44E3-9099-C40C66FF867C}">
              <a14:compatExt xmlns:a14="http://schemas.microsoft.com/office/drawing/2010/main" spid="_x0000_s58793"/>
            </a:ext>
            <a:ext uri="{FF2B5EF4-FFF2-40B4-BE49-F238E27FC236}">
              <a16:creationId xmlns:a16="http://schemas.microsoft.com/office/drawing/2014/main" id="{00000000-0008-0000-0700-0000A9E50000}"/>
            </a:ext>
            <a:ext uri="{147F2762-F138-4A5C-976F-8EAC2B608ADB}">
              <a16:predDERef xmlns:a16="http://schemas.microsoft.com/office/drawing/2014/main" pred="{00000000-0008-0000-0700-0000A8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94" name="Drop Down 426" hidden="1">
          <a:extLst>
            <a:ext uri="{63B3BB69-23CF-44E3-9099-C40C66FF867C}">
              <a14:compatExt xmlns:a14="http://schemas.microsoft.com/office/drawing/2010/main" spid="_x0000_s58794"/>
            </a:ext>
            <a:ext uri="{FF2B5EF4-FFF2-40B4-BE49-F238E27FC236}">
              <a16:creationId xmlns:a16="http://schemas.microsoft.com/office/drawing/2014/main" id="{00000000-0008-0000-0700-0000AAE50000}"/>
            </a:ext>
            <a:ext uri="{147F2762-F138-4A5C-976F-8EAC2B608ADB}">
              <a16:predDERef xmlns:a16="http://schemas.microsoft.com/office/drawing/2014/main" pred="{00000000-0008-0000-0700-0000A9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95" name="Drop Down 427" hidden="1">
          <a:extLst>
            <a:ext uri="{63B3BB69-23CF-44E3-9099-C40C66FF867C}">
              <a14:compatExt xmlns:a14="http://schemas.microsoft.com/office/drawing/2010/main" spid="_x0000_s58795"/>
            </a:ext>
            <a:ext uri="{FF2B5EF4-FFF2-40B4-BE49-F238E27FC236}">
              <a16:creationId xmlns:a16="http://schemas.microsoft.com/office/drawing/2014/main" id="{00000000-0008-0000-0700-0000ABE50000}"/>
            </a:ext>
            <a:ext uri="{147F2762-F138-4A5C-976F-8EAC2B608ADB}">
              <a16:predDERef xmlns:a16="http://schemas.microsoft.com/office/drawing/2014/main" pred="{00000000-0008-0000-0700-0000AA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96" name="Drop Down 428" hidden="1">
          <a:extLst>
            <a:ext uri="{63B3BB69-23CF-44E3-9099-C40C66FF867C}">
              <a14:compatExt xmlns:a14="http://schemas.microsoft.com/office/drawing/2010/main" spid="_x0000_s58796"/>
            </a:ext>
            <a:ext uri="{FF2B5EF4-FFF2-40B4-BE49-F238E27FC236}">
              <a16:creationId xmlns:a16="http://schemas.microsoft.com/office/drawing/2014/main" id="{00000000-0008-0000-0700-0000ACE50000}"/>
            </a:ext>
            <a:ext uri="{147F2762-F138-4A5C-976F-8EAC2B608ADB}">
              <a16:predDERef xmlns:a16="http://schemas.microsoft.com/office/drawing/2014/main" pred="{00000000-0008-0000-0700-0000AB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97" name="Drop Down 429" hidden="1">
          <a:extLst>
            <a:ext uri="{63B3BB69-23CF-44E3-9099-C40C66FF867C}">
              <a14:compatExt xmlns:a14="http://schemas.microsoft.com/office/drawing/2010/main" spid="_x0000_s58797"/>
            </a:ext>
            <a:ext uri="{FF2B5EF4-FFF2-40B4-BE49-F238E27FC236}">
              <a16:creationId xmlns:a16="http://schemas.microsoft.com/office/drawing/2014/main" id="{00000000-0008-0000-0700-0000ADE50000}"/>
            </a:ext>
            <a:ext uri="{147F2762-F138-4A5C-976F-8EAC2B608ADB}">
              <a16:predDERef xmlns:a16="http://schemas.microsoft.com/office/drawing/2014/main" pred="{00000000-0008-0000-0700-0000AC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98" name="Drop Down 430" hidden="1">
          <a:extLst>
            <a:ext uri="{63B3BB69-23CF-44E3-9099-C40C66FF867C}">
              <a14:compatExt xmlns:a14="http://schemas.microsoft.com/office/drawing/2010/main" spid="_x0000_s58798"/>
            </a:ext>
            <a:ext uri="{FF2B5EF4-FFF2-40B4-BE49-F238E27FC236}">
              <a16:creationId xmlns:a16="http://schemas.microsoft.com/office/drawing/2014/main" id="{00000000-0008-0000-0700-0000AEE50000}"/>
            </a:ext>
            <a:ext uri="{147F2762-F138-4A5C-976F-8EAC2B608ADB}">
              <a16:predDERef xmlns:a16="http://schemas.microsoft.com/office/drawing/2014/main" pred="{00000000-0008-0000-0700-0000AD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799" name="Drop Down 431" hidden="1">
          <a:extLst>
            <a:ext uri="{63B3BB69-23CF-44E3-9099-C40C66FF867C}">
              <a14:compatExt xmlns:a14="http://schemas.microsoft.com/office/drawing/2010/main" spid="_x0000_s58799"/>
            </a:ext>
            <a:ext uri="{FF2B5EF4-FFF2-40B4-BE49-F238E27FC236}">
              <a16:creationId xmlns:a16="http://schemas.microsoft.com/office/drawing/2014/main" id="{00000000-0008-0000-0700-0000AFE50000}"/>
            </a:ext>
            <a:ext uri="{147F2762-F138-4A5C-976F-8EAC2B608ADB}">
              <a16:predDERef xmlns:a16="http://schemas.microsoft.com/office/drawing/2014/main" pred="{00000000-0008-0000-0700-0000AE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00" name="Drop Down 432" hidden="1">
          <a:extLst>
            <a:ext uri="{63B3BB69-23CF-44E3-9099-C40C66FF867C}">
              <a14:compatExt xmlns:a14="http://schemas.microsoft.com/office/drawing/2010/main" spid="_x0000_s58800"/>
            </a:ext>
            <a:ext uri="{FF2B5EF4-FFF2-40B4-BE49-F238E27FC236}">
              <a16:creationId xmlns:a16="http://schemas.microsoft.com/office/drawing/2014/main" id="{00000000-0008-0000-0700-0000B0E50000}"/>
            </a:ext>
            <a:ext uri="{147F2762-F138-4A5C-976F-8EAC2B608ADB}">
              <a16:predDERef xmlns:a16="http://schemas.microsoft.com/office/drawing/2014/main" pred="{00000000-0008-0000-0700-0000AF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01" name="Drop Down 433" hidden="1">
          <a:extLst>
            <a:ext uri="{63B3BB69-23CF-44E3-9099-C40C66FF867C}">
              <a14:compatExt xmlns:a14="http://schemas.microsoft.com/office/drawing/2010/main" spid="_x0000_s58801"/>
            </a:ext>
            <a:ext uri="{FF2B5EF4-FFF2-40B4-BE49-F238E27FC236}">
              <a16:creationId xmlns:a16="http://schemas.microsoft.com/office/drawing/2014/main" id="{00000000-0008-0000-0700-0000B1E50000}"/>
            </a:ext>
            <a:ext uri="{147F2762-F138-4A5C-976F-8EAC2B608ADB}">
              <a16:predDERef xmlns:a16="http://schemas.microsoft.com/office/drawing/2014/main" pred="{00000000-0008-0000-0700-0000B0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02" name="Drop Down 434" hidden="1">
          <a:extLst>
            <a:ext uri="{63B3BB69-23CF-44E3-9099-C40C66FF867C}">
              <a14:compatExt xmlns:a14="http://schemas.microsoft.com/office/drawing/2010/main" spid="_x0000_s58802"/>
            </a:ext>
            <a:ext uri="{FF2B5EF4-FFF2-40B4-BE49-F238E27FC236}">
              <a16:creationId xmlns:a16="http://schemas.microsoft.com/office/drawing/2014/main" id="{00000000-0008-0000-0700-0000B2E50000}"/>
            </a:ext>
            <a:ext uri="{147F2762-F138-4A5C-976F-8EAC2B608ADB}">
              <a16:predDERef xmlns:a16="http://schemas.microsoft.com/office/drawing/2014/main" pred="{00000000-0008-0000-0700-0000B1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03" name="Drop Down 435" hidden="1">
          <a:extLst>
            <a:ext uri="{63B3BB69-23CF-44E3-9099-C40C66FF867C}">
              <a14:compatExt xmlns:a14="http://schemas.microsoft.com/office/drawing/2010/main" spid="_x0000_s58803"/>
            </a:ext>
            <a:ext uri="{FF2B5EF4-FFF2-40B4-BE49-F238E27FC236}">
              <a16:creationId xmlns:a16="http://schemas.microsoft.com/office/drawing/2014/main" id="{00000000-0008-0000-0700-0000B3E50000}"/>
            </a:ext>
            <a:ext uri="{147F2762-F138-4A5C-976F-8EAC2B608ADB}">
              <a16:predDERef xmlns:a16="http://schemas.microsoft.com/office/drawing/2014/main" pred="{00000000-0008-0000-0700-0000B2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04" name="Drop Down 436" hidden="1">
          <a:extLst>
            <a:ext uri="{63B3BB69-23CF-44E3-9099-C40C66FF867C}">
              <a14:compatExt xmlns:a14="http://schemas.microsoft.com/office/drawing/2010/main" spid="_x0000_s58804"/>
            </a:ext>
            <a:ext uri="{FF2B5EF4-FFF2-40B4-BE49-F238E27FC236}">
              <a16:creationId xmlns:a16="http://schemas.microsoft.com/office/drawing/2014/main" id="{00000000-0008-0000-0700-0000B4E50000}"/>
            </a:ext>
            <a:ext uri="{147F2762-F138-4A5C-976F-8EAC2B608ADB}">
              <a16:predDERef xmlns:a16="http://schemas.microsoft.com/office/drawing/2014/main" pred="{00000000-0008-0000-0700-0000B3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05" name="Drop Down 437" hidden="1">
          <a:extLst>
            <a:ext uri="{63B3BB69-23CF-44E3-9099-C40C66FF867C}">
              <a14:compatExt xmlns:a14="http://schemas.microsoft.com/office/drawing/2010/main" spid="_x0000_s58805"/>
            </a:ext>
            <a:ext uri="{FF2B5EF4-FFF2-40B4-BE49-F238E27FC236}">
              <a16:creationId xmlns:a16="http://schemas.microsoft.com/office/drawing/2014/main" id="{00000000-0008-0000-0700-0000B5E50000}"/>
            </a:ext>
            <a:ext uri="{147F2762-F138-4A5C-976F-8EAC2B608ADB}">
              <a16:predDERef xmlns:a16="http://schemas.microsoft.com/office/drawing/2014/main" pred="{00000000-0008-0000-0700-0000B4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06" name="Drop Down 438" hidden="1">
          <a:extLst>
            <a:ext uri="{63B3BB69-23CF-44E3-9099-C40C66FF867C}">
              <a14:compatExt xmlns:a14="http://schemas.microsoft.com/office/drawing/2010/main" spid="_x0000_s58806"/>
            </a:ext>
            <a:ext uri="{FF2B5EF4-FFF2-40B4-BE49-F238E27FC236}">
              <a16:creationId xmlns:a16="http://schemas.microsoft.com/office/drawing/2014/main" id="{00000000-0008-0000-0700-0000B6E50000}"/>
            </a:ext>
            <a:ext uri="{147F2762-F138-4A5C-976F-8EAC2B608ADB}">
              <a16:predDERef xmlns:a16="http://schemas.microsoft.com/office/drawing/2014/main" pred="{00000000-0008-0000-0700-0000B5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07" name="Drop Down 439" hidden="1">
          <a:extLst>
            <a:ext uri="{63B3BB69-23CF-44E3-9099-C40C66FF867C}">
              <a14:compatExt xmlns:a14="http://schemas.microsoft.com/office/drawing/2010/main" spid="_x0000_s58807"/>
            </a:ext>
            <a:ext uri="{FF2B5EF4-FFF2-40B4-BE49-F238E27FC236}">
              <a16:creationId xmlns:a16="http://schemas.microsoft.com/office/drawing/2014/main" id="{00000000-0008-0000-0700-0000B7E50000}"/>
            </a:ext>
            <a:ext uri="{147F2762-F138-4A5C-976F-8EAC2B608ADB}">
              <a16:predDERef xmlns:a16="http://schemas.microsoft.com/office/drawing/2014/main" pred="{00000000-0008-0000-0700-0000B6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08" name="Drop Down 440" hidden="1">
          <a:extLst>
            <a:ext uri="{63B3BB69-23CF-44E3-9099-C40C66FF867C}">
              <a14:compatExt xmlns:a14="http://schemas.microsoft.com/office/drawing/2010/main" spid="_x0000_s58808"/>
            </a:ext>
            <a:ext uri="{FF2B5EF4-FFF2-40B4-BE49-F238E27FC236}">
              <a16:creationId xmlns:a16="http://schemas.microsoft.com/office/drawing/2014/main" id="{00000000-0008-0000-0700-0000B8E50000}"/>
            </a:ext>
            <a:ext uri="{147F2762-F138-4A5C-976F-8EAC2B608ADB}">
              <a16:predDERef xmlns:a16="http://schemas.microsoft.com/office/drawing/2014/main" pred="{00000000-0008-0000-0700-0000B7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09" name="Drop Down 441" hidden="1">
          <a:extLst>
            <a:ext uri="{63B3BB69-23CF-44E3-9099-C40C66FF867C}">
              <a14:compatExt xmlns:a14="http://schemas.microsoft.com/office/drawing/2010/main" spid="_x0000_s58809"/>
            </a:ext>
            <a:ext uri="{FF2B5EF4-FFF2-40B4-BE49-F238E27FC236}">
              <a16:creationId xmlns:a16="http://schemas.microsoft.com/office/drawing/2014/main" id="{00000000-0008-0000-0700-0000B9E50000}"/>
            </a:ext>
            <a:ext uri="{147F2762-F138-4A5C-976F-8EAC2B608ADB}">
              <a16:predDERef xmlns:a16="http://schemas.microsoft.com/office/drawing/2014/main" pred="{00000000-0008-0000-0700-0000B8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97155</xdr:rowOff>
    </xdr:to>
    <xdr:sp macro="" textlink="">
      <xdr:nvSpPr>
        <xdr:cNvPr id="58810" name="Drop Down 442" hidden="1">
          <a:extLst>
            <a:ext uri="{63B3BB69-23CF-44E3-9099-C40C66FF867C}">
              <a14:compatExt xmlns:a14="http://schemas.microsoft.com/office/drawing/2010/main" spid="_x0000_s58810"/>
            </a:ext>
            <a:ext uri="{FF2B5EF4-FFF2-40B4-BE49-F238E27FC236}">
              <a16:creationId xmlns:a16="http://schemas.microsoft.com/office/drawing/2014/main" id="{00000000-0008-0000-0700-0000BAE50000}"/>
            </a:ext>
            <a:ext uri="{147F2762-F138-4A5C-976F-8EAC2B608ADB}">
              <a16:predDERef xmlns:a16="http://schemas.microsoft.com/office/drawing/2014/main" pred="{00000000-0008-0000-0700-0000B9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11" name="Drop Down 443" hidden="1">
          <a:extLst>
            <a:ext uri="{63B3BB69-23CF-44E3-9099-C40C66FF867C}">
              <a14:compatExt xmlns:a14="http://schemas.microsoft.com/office/drawing/2010/main" spid="_x0000_s58811"/>
            </a:ext>
            <a:ext uri="{FF2B5EF4-FFF2-40B4-BE49-F238E27FC236}">
              <a16:creationId xmlns:a16="http://schemas.microsoft.com/office/drawing/2014/main" id="{00000000-0008-0000-0700-0000BBE50000}"/>
            </a:ext>
            <a:ext uri="{147F2762-F138-4A5C-976F-8EAC2B608ADB}">
              <a16:predDERef xmlns:a16="http://schemas.microsoft.com/office/drawing/2014/main" pred="{00000000-0008-0000-0700-0000BA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12" name="Drop Down 444" hidden="1">
          <a:extLst>
            <a:ext uri="{63B3BB69-23CF-44E3-9099-C40C66FF867C}">
              <a14:compatExt xmlns:a14="http://schemas.microsoft.com/office/drawing/2010/main" spid="_x0000_s58812"/>
            </a:ext>
            <a:ext uri="{FF2B5EF4-FFF2-40B4-BE49-F238E27FC236}">
              <a16:creationId xmlns:a16="http://schemas.microsoft.com/office/drawing/2014/main" id="{00000000-0008-0000-0700-0000BCE50000}"/>
            </a:ext>
            <a:ext uri="{147F2762-F138-4A5C-976F-8EAC2B608ADB}">
              <a16:predDERef xmlns:a16="http://schemas.microsoft.com/office/drawing/2014/main" pred="{00000000-0008-0000-0700-0000BB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97155</xdr:rowOff>
    </xdr:to>
    <xdr:sp macro="" textlink="">
      <xdr:nvSpPr>
        <xdr:cNvPr id="58813" name="Drop Down 445" hidden="1">
          <a:extLst>
            <a:ext uri="{63B3BB69-23CF-44E3-9099-C40C66FF867C}">
              <a14:compatExt xmlns:a14="http://schemas.microsoft.com/office/drawing/2010/main" spid="_x0000_s58813"/>
            </a:ext>
            <a:ext uri="{FF2B5EF4-FFF2-40B4-BE49-F238E27FC236}">
              <a16:creationId xmlns:a16="http://schemas.microsoft.com/office/drawing/2014/main" id="{00000000-0008-0000-0700-0000BDE50000}"/>
            </a:ext>
            <a:ext uri="{147F2762-F138-4A5C-976F-8EAC2B608ADB}">
              <a16:predDERef xmlns:a16="http://schemas.microsoft.com/office/drawing/2014/main" pred="{00000000-0008-0000-0700-0000BC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14" name="Drop Down 446" hidden="1">
          <a:extLst>
            <a:ext uri="{63B3BB69-23CF-44E3-9099-C40C66FF867C}">
              <a14:compatExt xmlns:a14="http://schemas.microsoft.com/office/drawing/2010/main" spid="_x0000_s58814"/>
            </a:ext>
            <a:ext uri="{FF2B5EF4-FFF2-40B4-BE49-F238E27FC236}">
              <a16:creationId xmlns:a16="http://schemas.microsoft.com/office/drawing/2014/main" id="{00000000-0008-0000-0700-0000BEE50000}"/>
            </a:ext>
            <a:ext uri="{147F2762-F138-4A5C-976F-8EAC2B608ADB}">
              <a16:predDERef xmlns:a16="http://schemas.microsoft.com/office/drawing/2014/main" pred="{00000000-0008-0000-0700-0000BD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15" name="Drop Down 447" hidden="1">
          <a:extLst>
            <a:ext uri="{63B3BB69-23CF-44E3-9099-C40C66FF867C}">
              <a14:compatExt xmlns:a14="http://schemas.microsoft.com/office/drawing/2010/main" spid="_x0000_s58815"/>
            </a:ext>
            <a:ext uri="{FF2B5EF4-FFF2-40B4-BE49-F238E27FC236}">
              <a16:creationId xmlns:a16="http://schemas.microsoft.com/office/drawing/2014/main" id="{00000000-0008-0000-0700-0000BFE50000}"/>
            </a:ext>
            <a:ext uri="{147F2762-F138-4A5C-976F-8EAC2B608ADB}">
              <a16:predDERef xmlns:a16="http://schemas.microsoft.com/office/drawing/2014/main" pred="{00000000-0008-0000-0700-0000BE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16" name="Drop Down 448" hidden="1">
          <a:extLst>
            <a:ext uri="{63B3BB69-23CF-44E3-9099-C40C66FF867C}">
              <a14:compatExt xmlns:a14="http://schemas.microsoft.com/office/drawing/2010/main" spid="_x0000_s58816"/>
            </a:ext>
            <a:ext uri="{FF2B5EF4-FFF2-40B4-BE49-F238E27FC236}">
              <a16:creationId xmlns:a16="http://schemas.microsoft.com/office/drawing/2014/main" id="{00000000-0008-0000-0700-0000C0E50000}"/>
            </a:ext>
            <a:ext uri="{147F2762-F138-4A5C-976F-8EAC2B608ADB}">
              <a16:predDERef xmlns:a16="http://schemas.microsoft.com/office/drawing/2014/main" pred="{00000000-0008-0000-0700-0000BF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17" name="Drop Down 449" hidden="1">
          <a:extLst>
            <a:ext uri="{63B3BB69-23CF-44E3-9099-C40C66FF867C}">
              <a14:compatExt xmlns:a14="http://schemas.microsoft.com/office/drawing/2010/main" spid="_x0000_s58817"/>
            </a:ext>
            <a:ext uri="{FF2B5EF4-FFF2-40B4-BE49-F238E27FC236}">
              <a16:creationId xmlns:a16="http://schemas.microsoft.com/office/drawing/2014/main" id="{00000000-0008-0000-0700-0000C1E50000}"/>
            </a:ext>
            <a:ext uri="{147F2762-F138-4A5C-976F-8EAC2B608ADB}">
              <a16:predDERef xmlns:a16="http://schemas.microsoft.com/office/drawing/2014/main" pred="{00000000-0008-0000-0700-0000C0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18" name="Drop Down 450" hidden="1">
          <a:extLst>
            <a:ext uri="{63B3BB69-23CF-44E3-9099-C40C66FF867C}">
              <a14:compatExt xmlns:a14="http://schemas.microsoft.com/office/drawing/2010/main" spid="_x0000_s58818"/>
            </a:ext>
            <a:ext uri="{FF2B5EF4-FFF2-40B4-BE49-F238E27FC236}">
              <a16:creationId xmlns:a16="http://schemas.microsoft.com/office/drawing/2014/main" id="{00000000-0008-0000-0700-0000C2E50000}"/>
            </a:ext>
            <a:ext uri="{147F2762-F138-4A5C-976F-8EAC2B608ADB}">
              <a16:predDERef xmlns:a16="http://schemas.microsoft.com/office/drawing/2014/main" pred="{00000000-0008-0000-0700-0000C1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19" name="Drop Down 451" hidden="1">
          <a:extLst>
            <a:ext uri="{63B3BB69-23CF-44E3-9099-C40C66FF867C}">
              <a14:compatExt xmlns:a14="http://schemas.microsoft.com/office/drawing/2010/main" spid="_x0000_s58819"/>
            </a:ext>
            <a:ext uri="{FF2B5EF4-FFF2-40B4-BE49-F238E27FC236}">
              <a16:creationId xmlns:a16="http://schemas.microsoft.com/office/drawing/2014/main" id="{00000000-0008-0000-0700-0000C3E50000}"/>
            </a:ext>
            <a:ext uri="{147F2762-F138-4A5C-976F-8EAC2B608ADB}">
              <a16:predDERef xmlns:a16="http://schemas.microsoft.com/office/drawing/2014/main" pred="{00000000-0008-0000-0700-0000C2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20" name="Drop Down 452" hidden="1">
          <a:extLst>
            <a:ext uri="{63B3BB69-23CF-44E3-9099-C40C66FF867C}">
              <a14:compatExt xmlns:a14="http://schemas.microsoft.com/office/drawing/2010/main" spid="_x0000_s58820"/>
            </a:ext>
            <a:ext uri="{FF2B5EF4-FFF2-40B4-BE49-F238E27FC236}">
              <a16:creationId xmlns:a16="http://schemas.microsoft.com/office/drawing/2014/main" id="{00000000-0008-0000-0700-0000C4E50000}"/>
            </a:ext>
            <a:ext uri="{147F2762-F138-4A5C-976F-8EAC2B608ADB}">
              <a16:predDERef xmlns:a16="http://schemas.microsoft.com/office/drawing/2014/main" pred="{00000000-0008-0000-0700-0000C3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97155</xdr:rowOff>
    </xdr:to>
    <xdr:sp macro="" textlink="">
      <xdr:nvSpPr>
        <xdr:cNvPr id="58821" name="Drop Down 453" hidden="1">
          <a:extLst>
            <a:ext uri="{63B3BB69-23CF-44E3-9099-C40C66FF867C}">
              <a14:compatExt xmlns:a14="http://schemas.microsoft.com/office/drawing/2010/main" spid="_x0000_s58821"/>
            </a:ext>
            <a:ext uri="{FF2B5EF4-FFF2-40B4-BE49-F238E27FC236}">
              <a16:creationId xmlns:a16="http://schemas.microsoft.com/office/drawing/2014/main" id="{00000000-0008-0000-0700-0000C5E50000}"/>
            </a:ext>
            <a:ext uri="{147F2762-F138-4A5C-976F-8EAC2B608ADB}">
              <a16:predDERef xmlns:a16="http://schemas.microsoft.com/office/drawing/2014/main" pred="{00000000-0008-0000-0700-0000C4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22" name="Drop Down 454" hidden="1">
          <a:extLst>
            <a:ext uri="{63B3BB69-23CF-44E3-9099-C40C66FF867C}">
              <a14:compatExt xmlns:a14="http://schemas.microsoft.com/office/drawing/2010/main" spid="_x0000_s58822"/>
            </a:ext>
            <a:ext uri="{FF2B5EF4-FFF2-40B4-BE49-F238E27FC236}">
              <a16:creationId xmlns:a16="http://schemas.microsoft.com/office/drawing/2014/main" id="{00000000-0008-0000-0700-0000C6E50000}"/>
            </a:ext>
            <a:ext uri="{147F2762-F138-4A5C-976F-8EAC2B608ADB}">
              <a16:predDERef xmlns:a16="http://schemas.microsoft.com/office/drawing/2014/main" pred="{00000000-0008-0000-0700-0000C5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23" name="Drop Down 455" hidden="1">
          <a:extLst>
            <a:ext uri="{63B3BB69-23CF-44E3-9099-C40C66FF867C}">
              <a14:compatExt xmlns:a14="http://schemas.microsoft.com/office/drawing/2010/main" spid="_x0000_s58823"/>
            </a:ext>
            <a:ext uri="{FF2B5EF4-FFF2-40B4-BE49-F238E27FC236}">
              <a16:creationId xmlns:a16="http://schemas.microsoft.com/office/drawing/2014/main" id="{00000000-0008-0000-0700-0000C7E50000}"/>
            </a:ext>
            <a:ext uri="{147F2762-F138-4A5C-976F-8EAC2B608ADB}">
              <a16:predDERef xmlns:a16="http://schemas.microsoft.com/office/drawing/2014/main" pred="{00000000-0008-0000-0700-0000C6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50</xdr:row>
      <xdr:rowOff>0</xdr:rowOff>
    </xdr:from>
    <xdr:to>
      <xdr:col>6</xdr:col>
      <xdr:colOff>1249680</xdr:colOff>
      <xdr:row>50</xdr:row>
      <xdr:rowOff>220980</xdr:rowOff>
    </xdr:to>
    <xdr:sp macro="" textlink="">
      <xdr:nvSpPr>
        <xdr:cNvPr id="58824" name="Drop Down 456" hidden="1">
          <a:extLst>
            <a:ext uri="{63B3BB69-23CF-44E3-9099-C40C66FF867C}">
              <a14:compatExt xmlns:a14="http://schemas.microsoft.com/office/drawing/2010/main" spid="_x0000_s58824"/>
            </a:ext>
            <a:ext uri="{FF2B5EF4-FFF2-40B4-BE49-F238E27FC236}">
              <a16:creationId xmlns:a16="http://schemas.microsoft.com/office/drawing/2014/main" id="{00000000-0008-0000-0700-0000C8E50000}"/>
            </a:ext>
            <a:ext uri="{147F2762-F138-4A5C-976F-8EAC2B608ADB}">
              <a16:predDERef xmlns:a16="http://schemas.microsoft.com/office/drawing/2014/main" pred="{00000000-0008-0000-0700-0000C7E50000}"/>
            </a:ext>
          </a:extLst>
        </xdr:cNvPr>
        <xdr:cNvSpPr/>
      </xdr:nvSpPr>
      <xdr:spPr bwMode="auto">
        <a:xfrm>
          <a:off x="0" y="0"/>
          <a:ext cx="0" cy="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xdr:row>
      <xdr:rowOff>83820</xdr:rowOff>
    </xdr:from>
    <xdr:to>
      <xdr:col>6</xdr:col>
      <xdr:colOff>1249680</xdr:colOff>
      <xdr:row>9</xdr:row>
      <xdr:rowOff>304800</xdr:rowOff>
    </xdr:to>
    <xdr:sp macro="" textlink="">
      <xdr:nvSpPr>
        <xdr:cNvPr id="104" name="Drop Down 358" hidden="1">
          <a:extLst>
            <a:ext uri="{63B3BB69-23CF-44E3-9099-C40C66FF867C}">
              <a14:compatExt xmlns:a14="http://schemas.microsoft.com/office/drawing/2010/main" spid="_x0000_s58726"/>
            </a:ext>
            <a:ext uri="{FF2B5EF4-FFF2-40B4-BE49-F238E27FC236}">
              <a16:creationId xmlns:a16="http://schemas.microsoft.com/office/drawing/2014/main" id="{E3574244-E472-4FAA-AA52-BE2A0D02D4A5}"/>
            </a:ext>
            <a:ext uri="{147F2762-F138-4A5C-976F-8EAC2B608ADB}">
              <a16:predDERef xmlns:a16="http://schemas.microsoft.com/office/drawing/2014/main" pred="{00000000-0008-0000-0700-0000C8E50000}"/>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xdr:row>
      <xdr:rowOff>83820</xdr:rowOff>
    </xdr:from>
    <xdr:to>
      <xdr:col>6</xdr:col>
      <xdr:colOff>1249680</xdr:colOff>
      <xdr:row>10</xdr:row>
      <xdr:rowOff>304800</xdr:rowOff>
    </xdr:to>
    <xdr:sp macro="" textlink="">
      <xdr:nvSpPr>
        <xdr:cNvPr id="105" name="Drop Down 358" hidden="1">
          <a:extLst>
            <a:ext uri="{63B3BB69-23CF-44E3-9099-C40C66FF867C}">
              <a14:compatExt xmlns:a14="http://schemas.microsoft.com/office/drawing/2010/main" spid="_x0000_s58726"/>
            </a:ext>
            <a:ext uri="{FF2B5EF4-FFF2-40B4-BE49-F238E27FC236}">
              <a16:creationId xmlns:a16="http://schemas.microsoft.com/office/drawing/2014/main" id="{D5B1D261-EC68-41EB-94B3-C453933034B2}"/>
            </a:ext>
            <a:ext uri="{147F2762-F138-4A5C-976F-8EAC2B608ADB}">
              <a16:predDERef xmlns:a16="http://schemas.microsoft.com/office/drawing/2014/main" pred="{E3574244-E472-4FAA-AA52-BE2A0D02D4A5}"/>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xdr:row>
      <xdr:rowOff>83820</xdr:rowOff>
    </xdr:from>
    <xdr:to>
      <xdr:col>6</xdr:col>
      <xdr:colOff>1249680</xdr:colOff>
      <xdr:row>11</xdr:row>
      <xdr:rowOff>304800</xdr:rowOff>
    </xdr:to>
    <xdr:sp macro="" textlink="">
      <xdr:nvSpPr>
        <xdr:cNvPr id="106" name="Drop Down 358" hidden="1">
          <a:extLst>
            <a:ext uri="{63B3BB69-23CF-44E3-9099-C40C66FF867C}">
              <a14:compatExt xmlns:a14="http://schemas.microsoft.com/office/drawing/2010/main" spid="_x0000_s58726"/>
            </a:ext>
            <a:ext uri="{FF2B5EF4-FFF2-40B4-BE49-F238E27FC236}">
              <a16:creationId xmlns:a16="http://schemas.microsoft.com/office/drawing/2014/main" id="{499352A5-E614-4C39-91C7-1F55DED29A56}"/>
            </a:ext>
            <a:ext uri="{147F2762-F138-4A5C-976F-8EAC2B608ADB}">
              <a16:predDERef xmlns:a16="http://schemas.microsoft.com/office/drawing/2014/main" pred="{D5B1D261-EC68-41EB-94B3-C453933034B2}"/>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xdr:row>
      <xdr:rowOff>83820</xdr:rowOff>
    </xdr:from>
    <xdr:to>
      <xdr:col>6</xdr:col>
      <xdr:colOff>1249680</xdr:colOff>
      <xdr:row>12</xdr:row>
      <xdr:rowOff>304800</xdr:rowOff>
    </xdr:to>
    <xdr:sp macro="" textlink="">
      <xdr:nvSpPr>
        <xdr:cNvPr id="107" name="Drop Down 358" hidden="1">
          <a:extLst>
            <a:ext uri="{63B3BB69-23CF-44E3-9099-C40C66FF867C}">
              <a14:compatExt xmlns:a14="http://schemas.microsoft.com/office/drawing/2010/main" spid="_x0000_s58726"/>
            </a:ext>
            <a:ext uri="{FF2B5EF4-FFF2-40B4-BE49-F238E27FC236}">
              <a16:creationId xmlns:a16="http://schemas.microsoft.com/office/drawing/2014/main" id="{F36ABD24-BF98-4A20-904B-C712A1B42913}"/>
            </a:ext>
            <a:ext uri="{147F2762-F138-4A5C-976F-8EAC2B608ADB}">
              <a16:predDERef xmlns:a16="http://schemas.microsoft.com/office/drawing/2014/main" pred="{499352A5-E614-4C39-91C7-1F55DED29A56}"/>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xdr:row>
      <xdr:rowOff>83820</xdr:rowOff>
    </xdr:from>
    <xdr:to>
      <xdr:col>6</xdr:col>
      <xdr:colOff>1249680</xdr:colOff>
      <xdr:row>13</xdr:row>
      <xdr:rowOff>304800</xdr:rowOff>
    </xdr:to>
    <xdr:sp macro="" textlink="">
      <xdr:nvSpPr>
        <xdr:cNvPr id="108" name="Drop Down 358" hidden="1">
          <a:extLst>
            <a:ext uri="{63B3BB69-23CF-44E3-9099-C40C66FF867C}">
              <a14:compatExt xmlns:a14="http://schemas.microsoft.com/office/drawing/2010/main" spid="_x0000_s58726"/>
            </a:ext>
            <a:ext uri="{FF2B5EF4-FFF2-40B4-BE49-F238E27FC236}">
              <a16:creationId xmlns:a16="http://schemas.microsoft.com/office/drawing/2014/main" id="{DB583DD8-9271-4732-B93B-0D4A3E779533}"/>
            </a:ext>
            <a:ext uri="{147F2762-F138-4A5C-976F-8EAC2B608ADB}">
              <a16:predDERef xmlns:a16="http://schemas.microsoft.com/office/drawing/2014/main" pred="{F36ABD24-BF98-4A20-904B-C712A1B42913}"/>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83820</xdr:rowOff>
    </xdr:from>
    <xdr:to>
      <xdr:col>6</xdr:col>
      <xdr:colOff>1249680</xdr:colOff>
      <xdr:row>14</xdr:row>
      <xdr:rowOff>304800</xdr:rowOff>
    </xdr:to>
    <xdr:sp macro="" textlink="">
      <xdr:nvSpPr>
        <xdr:cNvPr id="109" name="Drop Down 358" hidden="1">
          <a:extLst>
            <a:ext uri="{63B3BB69-23CF-44E3-9099-C40C66FF867C}">
              <a14:compatExt xmlns:a14="http://schemas.microsoft.com/office/drawing/2010/main" spid="_x0000_s58726"/>
            </a:ext>
            <a:ext uri="{FF2B5EF4-FFF2-40B4-BE49-F238E27FC236}">
              <a16:creationId xmlns:a16="http://schemas.microsoft.com/office/drawing/2014/main" id="{CF13050F-CA77-4DBE-9E09-EB996FBBB27C}"/>
            </a:ext>
            <a:ext uri="{147F2762-F138-4A5C-976F-8EAC2B608ADB}">
              <a16:predDERef xmlns:a16="http://schemas.microsoft.com/office/drawing/2014/main" pred="{DB583DD8-9271-4732-B93B-0D4A3E779533}"/>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xdr:row>
      <xdr:rowOff>83820</xdr:rowOff>
    </xdr:from>
    <xdr:to>
      <xdr:col>6</xdr:col>
      <xdr:colOff>1249680</xdr:colOff>
      <xdr:row>15</xdr:row>
      <xdr:rowOff>304800</xdr:rowOff>
    </xdr:to>
    <xdr:sp macro="" textlink="">
      <xdr:nvSpPr>
        <xdr:cNvPr id="110" name="Drop Down 358" hidden="1">
          <a:extLst>
            <a:ext uri="{63B3BB69-23CF-44E3-9099-C40C66FF867C}">
              <a14:compatExt xmlns:a14="http://schemas.microsoft.com/office/drawing/2010/main" spid="_x0000_s58726"/>
            </a:ext>
            <a:ext uri="{FF2B5EF4-FFF2-40B4-BE49-F238E27FC236}">
              <a16:creationId xmlns:a16="http://schemas.microsoft.com/office/drawing/2014/main" id="{3A7A2C35-A66F-40BB-8F49-6108EB961F91}"/>
            </a:ext>
            <a:ext uri="{147F2762-F138-4A5C-976F-8EAC2B608ADB}">
              <a16:predDERef xmlns:a16="http://schemas.microsoft.com/office/drawing/2014/main" pred="{CF13050F-CA77-4DBE-9E09-EB996FBBB27C}"/>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xdr:row>
      <xdr:rowOff>83820</xdr:rowOff>
    </xdr:from>
    <xdr:to>
      <xdr:col>6</xdr:col>
      <xdr:colOff>1249680</xdr:colOff>
      <xdr:row>16</xdr:row>
      <xdr:rowOff>304800</xdr:rowOff>
    </xdr:to>
    <xdr:sp macro="" textlink="">
      <xdr:nvSpPr>
        <xdr:cNvPr id="111" name="Drop Down 358" hidden="1">
          <a:extLst>
            <a:ext uri="{63B3BB69-23CF-44E3-9099-C40C66FF867C}">
              <a14:compatExt xmlns:a14="http://schemas.microsoft.com/office/drawing/2010/main" spid="_x0000_s58726"/>
            </a:ext>
            <a:ext uri="{FF2B5EF4-FFF2-40B4-BE49-F238E27FC236}">
              <a16:creationId xmlns:a16="http://schemas.microsoft.com/office/drawing/2014/main" id="{E521E6F2-887A-41C4-AD68-3CE4556ADABD}"/>
            </a:ext>
            <a:ext uri="{147F2762-F138-4A5C-976F-8EAC2B608ADB}">
              <a16:predDERef xmlns:a16="http://schemas.microsoft.com/office/drawing/2014/main" pred="{3A7A2C35-A66F-40BB-8F49-6108EB961F91}"/>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xdr:row>
      <xdr:rowOff>83820</xdr:rowOff>
    </xdr:from>
    <xdr:to>
      <xdr:col>6</xdr:col>
      <xdr:colOff>1249680</xdr:colOff>
      <xdr:row>17</xdr:row>
      <xdr:rowOff>304800</xdr:rowOff>
    </xdr:to>
    <xdr:sp macro="" textlink="">
      <xdr:nvSpPr>
        <xdr:cNvPr id="112" name="Drop Down 358" hidden="1">
          <a:extLst>
            <a:ext uri="{63B3BB69-23CF-44E3-9099-C40C66FF867C}">
              <a14:compatExt xmlns:a14="http://schemas.microsoft.com/office/drawing/2010/main" spid="_x0000_s58726"/>
            </a:ext>
            <a:ext uri="{FF2B5EF4-FFF2-40B4-BE49-F238E27FC236}">
              <a16:creationId xmlns:a16="http://schemas.microsoft.com/office/drawing/2014/main" id="{F19B4168-C60D-4C4C-A611-88F441F828C3}"/>
            </a:ext>
            <a:ext uri="{147F2762-F138-4A5C-976F-8EAC2B608ADB}">
              <a16:predDERef xmlns:a16="http://schemas.microsoft.com/office/drawing/2014/main" pred="{E521E6F2-887A-41C4-AD68-3CE4556ADABD}"/>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xdr:row>
      <xdr:rowOff>83820</xdr:rowOff>
    </xdr:from>
    <xdr:to>
      <xdr:col>6</xdr:col>
      <xdr:colOff>1249680</xdr:colOff>
      <xdr:row>18</xdr:row>
      <xdr:rowOff>304800</xdr:rowOff>
    </xdr:to>
    <xdr:sp macro="" textlink="">
      <xdr:nvSpPr>
        <xdr:cNvPr id="113" name="Drop Down 358" hidden="1">
          <a:extLst>
            <a:ext uri="{63B3BB69-23CF-44E3-9099-C40C66FF867C}">
              <a14:compatExt xmlns:a14="http://schemas.microsoft.com/office/drawing/2010/main" spid="_x0000_s58726"/>
            </a:ext>
            <a:ext uri="{FF2B5EF4-FFF2-40B4-BE49-F238E27FC236}">
              <a16:creationId xmlns:a16="http://schemas.microsoft.com/office/drawing/2014/main" id="{545AB70D-2883-44B2-A4AF-1D937DD35E45}"/>
            </a:ext>
            <a:ext uri="{147F2762-F138-4A5C-976F-8EAC2B608ADB}">
              <a16:predDERef xmlns:a16="http://schemas.microsoft.com/office/drawing/2014/main" pred="{F19B4168-C60D-4C4C-A611-88F441F828C3}"/>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xdr:row>
      <xdr:rowOff>83820</xdr:rowOff>
    </xdr:from>
    <xdr:to>
      <xdr:col>6</xdr:col>
      <xdr:colOff>1249680</xdr:colOff>
      <xdr:row>19</xdr:row>
      <xdr:rowOff>304800</xdr:rowOff>
    </xdr:to>
    <xdr:sp macro="" textlink="">
      <xdr:nvSpPr>
        <xdr:cNvPr id="114" name="Drop Down 358" hidden="1">
          <a:extLst>
            <a:ext uri="{63B3BB69-23CF-44E3-9099-C40C66FF867C}">
              <a14:compatExt xmlns:a14="http://schemas.microsoft.com/office/drawing/2010/main" spid="_x0000_s58726"/>
            </a:ext>
            <a:ext uri="{FF2B5EF4-FFF2-40B4-BE49-F238E27FC236}">
              <a16:creationId xmlns:a16="http://schemas.microsoft.com/office/drawing/2014/main" id="{E3CC9804-94EC-430F-ACE0-7147FB001273}"/>
            </a:ext>
            <a:ext uri="{147F2762-F138-4A5C-976F-8EAC2B608ADB}">
              <a16:predDERef xmlns:a16="http://schemas.microsoft.com/office/drawing/2014/main" pred="{545AB70D-2883-44B2-A4AF-1D937DD35E45}"/>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20</xdr:row>
      <xdr:rowOff>83820</xdr:rowOff>
    </xdr:from>
    <xdr:to>
      <xdr:col>6</xdr:col>
      <xdr:colOff>1249680</xdr:colOff>
      <xdr:row>20</xdr:row>
      <xdr:rowOff>304800</xdr:rowOff>
    </xdr:to>
    <xdr:sp macro="" textlink="">
      <xdr:nvSpPr>
        <xdr:cNvPr id="115" name="Drop Down 358" hidden="1">
          <a:extLst>
            <a:ext uri="{63B3BB69-23CF-44E3-9099-C40C66FF867C}">
              <a14:compatExt xmlns:a14="http://schemas.microsoft.com/office/drawing/2010/main" spid="_x0000_s58726"/>
            </a:ext>
            <a:ext uri="{FF2B5EF4-FFF2-40B4-BE49-F238E27FC236}">
              <a16:creationId xmlns:a16="http://schemas.microsoft.com/office/drawing/2014/main" id="{6ACBB44B-6606-4DDD-BDAA-B0E0D6684071}"/>
            </a:ext>
            <a:ext uri="{147F2762-F138-4A5C-976F-8EAC2B608ADB}">
              <a16:predDERef xmlns:a16="http://schemas.microsoft.com/office/drawing/2014/main" pred="{E3CC9804-94EC-430F-ACE0-7147FB001273}"/>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83820</xdr:rowOff>
    </xdr:from>
    <xdr:to>
      <xdr:col>6</xdr:col>
      <xdr:colOff>1249680</xdr:colOff>
      <xdr:row>21</xdr:row>
      <xdr:rowOff>304800</xdr:rowOff>
    </xdr:to>
    <xdr:sp macro="" textlink="">
      <xdr:nvSpPr>
        <xdr:cNvPr id="116" name="Drop Down 358" hidden="1">
          <a:extLst>
            <a:ext uri="{63B3BB69-23CF-44E3-9099-C40C66FF867C}">
              <a14:compatExt xmlns:a14="http://schemas.microsoft.com/office/drawing/2010/main" spid="_x0000_s58726"/>
            </a:ext>
            <a:ext uri="{FF2B5EF4-FFF2-40B4-BE49-F238E27FC236}">
              <a16:creationId xmlns:a16="http://schemas.microsoft.com/office/drawing/2014/main" id="{213505E6-621A-4E2F-8BE6-423BB2DCA43E}"/>
            </a:ext>
            <a:ext uri="{147F2762-F138-4A5C-976F-8EAC2B608ADB}">
              <a16:predDERef xmlns:a16="http://schemas.microsoft.com/office/drawing/2014/main" pred="{6ACBB44B-6606-4DDD-BDAA-B0E0D6684071}"/>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22</xdr:row>
      <xdr:rowOff>83820</xdr:rowOff>
    </xdr:from>
    <xdr:to>
      <xdr:col>6</xdr:col>
      <xdr:colOff>1249680</xdr:colOff>
      <xdr:row>22</xdr:row>
      <xdr:rowOff>304800</xdr:rowOff>
    </xdr:to>
    <xdr:sp macro="" textlink="">
      <xdr:nvSpPr>
        <xdr:cNvPr id="117" name="Drop Down 358" hidden="1">
          <a:extLst>
            <a:ext uri="{63B3BB69-23CF-44E3-9099-C40C66FF867C}">
              <a14:compatExt xmlns:a14="http://schemas.microsoft.com/office/drawing/2010/main" spid="_x0000_s58726"/>
            </a:ext>
            <a:ext uri="{FF2B5EF4-FFF2-40B4-BE49-F238E27FC236}">
              <a16:creationId xmlns:a16="http://schemas.microsoft.com/office/drawing/2014/main" id="{74CDE2D9-8AA8-4BE2-9FDC-BA10224F33AF}"/>
            </a:ext>
            <a:ext uri="{147F2762-F138-4A5C-976F-8EAC2B608ADB}">
              <a16:predDERef xmlns:a16="http://schemas.microsoft.com/office/drawing/2014/main" pred="{213505E6-621A-4E2F-8BE6-423BB2DCA43E}"/>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23</xdr:row>
      <xdr:rowOff>83820</xdr:rowOff>
    </xdr:from>
    <xdr:to>
      <xdr:col>6</xdr:col>
      <xdr:colOff>1249680</xdr:colOff>
      <xdr:row>23</xdr:row>
      <xdr:rowOff>304800</xdr:rowOff>
    </xdr:to>
    <xdr:sp macro="" textlink="">
      <xdr:nvSpPr>
        <xdr:cNvPr id="118" name="Drop Down 358" hidden="1">
          <a:extLst>
            <a:ext uri="{63B3BB69-23CF-44E3-9099-C40C66FF867C}">
              <a14:compatExt xmlns:a14="http://schemas.microsoft.com/office/drawing/2010/main" spid="_x0000_s58726"/>
            </a:ext>
            <a:ext uri="{FF2B5EF4-FFF2-40B4-BE49-F238E27FC236}">
              <a16:creationId xmlns:a16="http://schemas.microsoft.com/office/drawing/2014/main" id="{7C5F0CE0-8389-484F-8E0A-04777658A1DC}"/>
            </a:ext>
            <a:ext uri="{147F2762-F138-4A5C-976F-8EAC2B608ADB}">
              <a16:predDERef xmlns:a16="http://schemas.microsoft.com/office/drawing/2014/main" pred="{74CDE2D9-8AA8-4BE2-9FDC-BA10224F33AF}"/>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24</xdr:row>
      <xdr:rowOff>83820</xdr:rowOff>
    </xdr:from>
    <xdr:to>
      <xdr:col>6</xdr:col>
      <xdr:colOff>1249680</xdr:colOff>
      <xdr:row>24</xdr:row>
      <xdr:rowOff>304800</xdr:rowOff>
    </xdr:to>
    <xdr:sp macro="" textlink="">
      <xdr:nvSpPr>
        <xdr:cNvPr id="119" name="Drop Down 358" hidden="1">
          <a:extLst>
            <a:ext uri="{63B3BB69-23CF-44E3-9099-C40C66FF867C}">
              <a14:compatExt xmlns:a14="http://schemas.microsoft.com/office/drawing/2010/main" spid="_x0000_s58726"/>
            </a:ext>
            <a:ext uri="{FF2B5EF4-FFF2-40B4-BE49-F238E27FC236}">
              <a16:creationId xmlns:a16="http://schemas.microsoft.com/office/drawing/2014/main" id="{4046D147-F91A-45D5-A214-0B70FD152639}"/>
            </a:ext>
            <a:ext uri="{147F2762-F138-4A5C-976F-8EAC2B608ADB}">
              <a16:predDERef xmlns:a16="http://schemas.microsoft.com/office/drawing/2014/main" pred="{7C5F0CE0-8389-484F-8E0A-04777658A1DC}"/>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25</xdr:row>
      <xdr:rowOff>83820</xdr:rowOff>
    </xdr:from>
    <xdr:to>
      <xdr:col>6</xdr:col>
      <xdr:colOff>1249680</xdr:colOff>
      <xdr:row>25</xdr:row>
      <xdr:rowOff>304800</xdr:rowOff>
    </xdr:to>
    <xdr:sp macro="" textlink="">
      <xdr:nvSpPr>
        <xdr:cNvPr id="120" name="Drop Down 358" hidden="1">
          <a:extLst>
            <a:ext uri="{63B3BB69-23CF-44E3-9099-C40C66FF867C}">
              <a14:compatExt xmlns:a14="http://schemas.microsoft.com/office/drawing/2010/main" spid="_x0000_s58726"/>
            </a:ext>
            <a:ext uri="{FF2B5EF4-FFF2-40B4-BE49-F238E27FC236}">
              <a16:creationId xmlns:a16="http://schemas.microsoft.com/office/drawing/2014/main" id="{A9170390-520A-437A-AC03-C6F7198B4AF1}"/>
            </a:ext>
            <a:ext uri="{147F2762-F138-4A5C-976F-8EAC2B608ADB}">
              <a16:predDERef xmlns:a16="http://schemas.microsoft.com/office/drawing/2014/main" pred="{4046D147-F91A-45D5-A214-0B70FD152639}"/>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26</xdr:row>
      <xdr:rowOff>83820</xdr:rowOff>
    </xdr:from>
    <xdr:to>
      <xdr:col>6</xdr:col>
      <xdr:colOff>1249680</xdr:colOff>
      <xdr:row>26</xdr:row>
      <xdr:rowOff>304800</xdr:rowOff>
    </xdr:to>
    <xdr:sp macro="" textlink="">
      <xdr:nvSpPr>
        <xdr:cNvPr id="121" name="Drop Down 358" hidden="1">
          <a:extLst>
            <a:ext uri="{63B3BB69-23CF-44E3-9099-C40C66FF867C}">
              <a14:compatExt xmlns:a14="http://schemas.microsoft.com/office/drawing/2010/main" spid="_x0000_s58726"/>
            </a:ext>
            <a:ext uri="{FF2B5EF4-FFF2-40B4-BE49-F238E27FC236}">
              <a16:creationId xmlns:a16="http://schemas.microsoft.com/office/drawing/2014/main" id="{BEC3A851-19DA-40A4-B24D-24162DD599C4}"/>
            </a:ext>
            <a:ext uri="{147F2762-F138-4A5C-976F-8EAC2B608ADB}">
              <a16:predDERef xmlns:a16="http://schemas.microsoft.com/office/drawing/2014/main" pred="{A9170390-520A-437A-AC03-C6F7198B4AF1}"/>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27</xdr:row>
      <xdr:rowOff>83820</xdr:rowOff>
    </xdr:from>
    <xdr:to>
      <xdr:col>6</xdr:col>
      <xdr:colOff>1249680</xdr:colOff>
      <xdr:row>27</xdr:row>
      <xdr:rowOff>304800</xdr:rowOff>
    </xdr:to>
    <xdr:sp macro="" textlink="">
      <xdr:nvSpPr>
        <xdr:cNvPr id="122" name="Drop Down 358" hidden="1">
          <a:extLst>
            <a:ext uri="{63B3BB69-23CF-44E3-9099-C40C66FF867C}">
              <a14:compatExt xmlns:a14="http://schemas.microsoft.com/office/drawing/2010/main" spid="_x0000_s58726"/>
            </a:ext>
            <a:ext uri="{FF2B5EF4-FFF2-40B4-BE49-F238E27FC236}">
              <a16:creationId xmlns:a16="http://schemas.microsoft.com/office/drawing/2014/main" id="{99530C65-4A24-475B-A726-0D3AD219C2B4}"/>
            </a:ext>
            <a:ext uri="{147F2762-F138-4A5C-976F-8EAC2B608ADB}">
              <a16:predDERef xmlns:a16="http://schemas.microsoft.com/office/drawing/2014/main" pred="{BEC3A851-19DA-40A4-B24D-24162DD599C4}"/>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28</xdr:row>
      <xdr:rowOff>83820</xdr:rowOff>
    </xdr:from>
    <xdr:to>
      <xdr:col>6</xdr:col>
      <xdr:colOff>1249680</xdr:colOff>
      <xdr:row>28</xdr:row>
      <xdr:rowOff>304800</xdr:rowOff>
    </xdr:to>
    <xdr:sp macro="" textlink="">
      <xdr:nvSpPr>
        <xdr:cNvPr id="123" name="Drop Down 358" hidden="1">
          <a:extLst>
            <a:ext uri="{63B3BB69-23CF-44E3-9099-C40C66FF867C}">
              <a14:compatExt xmlns:a14="http://schemas.microsoft.com/office/drawing/2010/main" spid="_x0000_s58726"/>
            </a:ext>
            <a:ext uri="{FF2B5EF4-FFF2-40B4-BE49-F238E27FC236}">
              <a16:creationId xmlns:a16="http://schemas.microsoft.com/office/drawing/2014/main" id="{8EE14312-8638-45E8-BBA9-337E5EB85FD7}"/>
            </a:ext>
            <a:ext uri="{147F2762-F138-4A5C-976F-8EAC2B608ADB}">
              <a16:predDERef xmlns:a16="http://schemas.microsoft.com/office/drawing/2014/main" pred="{99530C65-4A24-475B-A726-0D3AD219C2B4}"/>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83820</xdr:rowOff>
    </xdr:from>
    <xdr:to>
      <xdr:col>6</xdr:col>
      <xdr:colOff>1249680</xdr:colOff>
      <xdr:row>29</xdr:row>
      <xdr:rowOff>304800</xdr:rowOff>
    </xdr:to>
    <xdr:sp macro="" textlink="">
      <xdr:nvSpPr>
        <xdr:cNvPr id="124" name="Drop Down 358" hidden="1">
          <a:extLst>
            <a:ext uri="{63B3BB69-23CF-44E3-9099-C40C66FF867C}">
              <a14:compatExt xmlns:a14="http://schemas.microsoft.com/office/drawing/2010/main" spid="_x0000_s58726"/>
            </a:ext>
            <a:ext uri="{FF2B5EF4-FFF2-40B4-BE49-F238E27FC236}">
              <a16:creationId xmlns:a16="http://schemas.microsoft.com/office/drawing/2014/main" id="{3CEA6857-C181-49D3-9580-58406964C6A3}"/>
            </a:ext>
            <a:ext uri="{147F2762-F138-4A5C-976F-8EAC2B608ADB}">
              <a16:predDERef xmlns:a16="http://schemas.microsoft.com/office/drawing/2014/main" pred="{8EE14312-8638-45E8-BBA9-337E5EB85FD7}"/>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30</xdr:row>
      <xdr:rowOff>83820</xdr:rowOff>
    </xdr:from>
    <xdr:to>
      <xdr:col>6</xdr:col>
      <xdr:colOff>1249680</xdr:colOff>
      <xdr:row>30</xdr:row>
      <xdr:rowOff>304800</xdr:rowOff>
    </xdr:to>
    <xdr:sp macro="" textlink="">
      <xdr:nvSpPr>
        <xdr:cNvPr id="125" name="Drop Down 358" hidden="1">
          <a:extLst>
            <a:ext uri="{63B3BB69-23CF-44E3-9099-C40C66FF867C}">
              <a14:compatExt xmlns:a14="http://schemas.microsoft.com/office/drawing/2010/main" spid="_x0000_s58726"/>
            </a:ext>
            <a:ext uri="{FF2B5EF4-FFF2-40B4-BE49-F238E27FC236}">
              <a16:creationId xmlns:a16="http://schemas.microsoft.com/office/drawing/2014/main" id="{0E5A6611-0810-43E0-9F57-0DB361C3B2A4}"/>
            </a:ext>
            <a:ext uri="{147F2762-F138-4A5C-976F-8EAC2B608ADB}">
              <a16:predDERef xmlns:a16="http://schemas.microsoft.com/office/drawing/2014/main" pred="{3CEA6857-C181-49D3-9580-58406964C6A3}"/>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31</xdr:row>
      <xdr:rowOff>83820</xdr:rowOff>
    </xdr:from>
    <xdr:to>
      <xdr:col>6</xdr:col>
      <xdr:colOff>1249680</xdr:colOff>
      <xdr:row>31</xdr:row>
      <xdr:rowOff>304800</xdr:rowOff>
    </xdr:to>
    <xdr:sp macro="" textlink="">
      <xdr:nvSpPr>
        <xdr:cNvPr id="126" name="Drop Down 358" hidden="1">
          <a:extLst>
            <a:ext uri="{63B3BB69-23CF-44E3-9099-C40C66FF867C}">
              <a14:compatExt xmlns:a14="http://schemas.microsoft.com/office/drawing/2010/main" spid="_x0000_s58726"/>
            </a:ext>
            <a:ext uri="{FF2B5EF4-FFF2-40B4-BE49-F238E27FC236}">
              <a16:creationId xmlns:a16="http://schemas.microsoft.com/office/drawing/2014/main" id="{72BB7486-EF30-4911-B8EB-B800DA974363}"/>
            </a:ext>
            <a:ext uri="{147F2762-F138-4A5C-976F-8EAC2B608ADB}">
              <a16:predDERef xmlns:a16="http://schemas.microsoft.com/office/drawing/2014/main" pred="{0E5A6611-0810-43E0-9F57-0DB361C3B2A4}"/>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32</xdr:row>
      <xdr:rowOff>83820</xdr:rowOff>
    </xdr:from>
    <xdr:to>
      <xdr:col>6</xdr:col>
      <xdr:colOff>1249680</xdr:colOff>
      <xdr:row>32</xdr:row>
      <xdr:rowOff>304800</xdr:rowOff>
    </xdr:to>
    <xdr:sp macro="" textlink="">
      <xdr:nvSpPr>
        <xdr:cNvPr id="127" name="Drop Down 358" hidden="1">
          <a:extLst>
            <a:ext uri="{63B3BB69-23CF-44E3-9099-C40C66FF867C}">
              <a14:compatExt xmlns:a14="http://schemas.microsoft.com/office/drawing/2010/main" spid="_x0000_s58726"/>
            </a:ext>
            <a:ext uri="{FF2B5EF4-FFF2-40B4-BE49-F238E27FC236}">
              <a16:creationId xmlns:a16="http://schemas.microsoft.com/office/drawing/2014/main" id="{3B795C47-FE2F-41E2-9F96-57931079E646}"/>
            </a:ext>
            <a:ext uri="{147F2762-F138-4A5C-976F-8EAC2B608ADB}">
              <a16:predDERef xmlns:a16="http://schemas.microsoft.com/office/drawing/2014/main" pred="{72BB7486-EF30-4911-B8EB-B800DA974363}"/>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33</xdr:row>
      <xdr:rowOff>83820</xdr:rowOff>
    </xdr:from>
    <xdr:to>
      <xdr:col>6</xdr:col>
      <xdr:colOff>1249680</xdr:colOff>
      <xdr:row>33</xdr:row>
      <xdr:rowOff>304800</xdr:rowOff>
    </xdr:to>
    <xdr:sp macro="" textlink="">
      <xdr:nvSpPr>
        <xdr:cNvPr id="128" name="Drop Down 358" hidden="1">
          <a:extLst>
            <a:ext uri="{63B3BB69-23CF-44E3-9099-C40C66FF867C}">
              <a14:compatExt xmlns:a14="http://schemas.microsoft.com/office/drawing/2010/main" spid="_x0000_s58726"/>
            </a:ext>
            <a:ext uri="{FF2B5EF4-FFF2-40B4-BE49-F238E27FC236}">
              <a16:creationId xmlns:a16="http://schemas.microsoft.com/office/drawing/2014/main" id="{BB3D18B8-9079-47C4-9EF1-706D24BCEF26}"/>
            </a:ext>
            <a:ext uri="{147F2762-F138-4A5C-976F-8EAC2B608ADB}">
              <a16:predDERef xmlns:a16="http://schemas.microsoft.com/office/drawing/2014/main" pred="{3B795C47-FE2F-41E2-9F96-57931079E646}"/>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34</xdr:row>
      <xdr:rowOff>83820</xdr:rowOff>
    </xdr:from>
    <xdr:to>
      <xdr:col>6</xdr:col>
      <xdr:colOff>1249680</xdr:colOff>
      <xdr:row>34</xdr:row>
      <xdr:rowOff>304800</xdr:rowOff>
    </xdr:to>
    <xdr:sp macro="" textlink="">
      <xdr:nvSpPr>
        <xdr:cNvPr id="129" name="Drop Down 358" hidden="1">
          <a:extLst>
            <a:ext uri="{63B3BB69-23CF-44E3-9099-C40C66FF867C}">
              <a14:compatExt xmlns:a14="http://schemas.microsoft.com/office/drawing/2010/main" spid="_x0000_s58726"/>
            </a:ext>
            <a:ext uri="{FF2B5EF4-FFF2-40B4-BE49-F238E27FC236}">
              <a16:creationId xmlns:a16="http://schemas.microsoft.com/office/drawing/2014/main" id="{74C934F7-F2BD-4E04-B2F5-C68FD0C0825A}"/>
            </a:ext>
            <a:ext uri="{147F2762-F138-4A5C-976F-8EAC2B608ADB}">
              <a16:predDERef xmlns:a16="http://schemas.microsoft.com/office/drawing/2014/main" pred="{BB3D18B8-9079-47C4-9EF1-706D24BCEF26}"/>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35</xdr:row>
      <xdr:rowOff>83820</xdr:rowOff>
    </xdr:from>
    <xdr:to>
      <xdr:col>6</xdr:col>
      <xdr:colOff>1249680</xdr:colOff>
      <xdr:row>35</xdr:row>
      <xdr:rowOff>304800</xdr:rowOff>
    </xdr:to>
    <xdr:sp macro="" textlink="">
      <xdr:nvSpPr>
        <xdr:cNvPr id="130" name="Drop Down 358" hidden="1">
          <a:extLst>
            <a:ext uri="{63B3BB69-23CF-44E3-9099-C40C66FF867C}">
              <a14:compatExt xmlns:a14="http://schemas.microsoft.com/office/drawing/2010/main" spid="_x0000_s58726"/>
            </a:ext>
            <a:ext uri="{FF2B5EF4-FFF2-40B4-BE49-F238E27FC236}">
              <a16:creationId xmlns:a16="http://schemas.microsoft.com/office/drawing/2014/main" id="{67287D46-7A3C-4AEF-B857-52456D6E2358}"/>
            </a:ext>
            <a:ext uri="{147F2762-F138-4A5C-976F-8EAC2B608ADB}">
              <a16:predDERef xmlns:a16="http://schemas.microsoft.com/office/drawing/2014/main" pred="{74C934F7-F2BD-4E04-B2F5-C68FD0C0825A}"/>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36</xdr:row>
      <xdr:rowOff>83820</xdr:rowOff>
    </xdr:from>
    <xdr:to>
      <xdr:col>6</xdr:col>
      <xdr:colOff>1249680</xdr:colOff>
      <xdr:row>36</xdr:row>
      <xdr:rowOff>304800</xdr:rowOff>
    </xdr:to>
    <xdr:sp macro="" textlink="">
      <xdr:nvSpPr>
        <xdr:cNvPr id="131" name="Drop Down 358" hidden="1">
          <a:extLst>
            <a:ext uri="{63B3BB69-23CF-44E3-9099-C40C66FF867C}">
              <a14:compatExt xmlns:a14="http://schemas.microsoft.com/office/drawing/2010/main" spid="_x0000_s58726"/>
            </a:ext>
            <a:ext uri="{FF2B5EF4-FFF2-40B4-BE49-F238E27FC236}">
              <a16:creationId xmlns:a16="http://schemas.microsoft.com/office/drawing/2014/main" id="{A3706314-2020-4E69-BCFF-79D3C9BC2D69}"/>
            </a:ext>
            <a:ext uri="{147F2762-F138-4A5C-976F-8EAC2B608ADB}">
              <a16:predDERef xmlns:a16="http://schemas.microsoft.com/office/drawing/2014/main" pred="{67287D46-7A3C-4AEF-B857-52456D6E2358}"/>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37</xdr:row>
      <xdr:rowOff>83820</xdr:rowOff>
    </xdr:from>
    <xdr:to>
      <xdr:col>6</xdr:col>
      <xdr:colOff>1249680</xdr:colOff>
      <xdr:row>37</xdr:row>
      <xdr:rowOff>304800</xdr:rowOff>
    </xdr:to>
    <xdr:sp macro="" textlink="">
      <xdr:nvSpPr>
        <xdr:cNvPr id="132" name="Drop Down 358" hidden="1">
          <a:extLst>
            <a:ext uri="{63B3BB69-23CF-44E3-9099-C40C66FF867C}">
              <a14:compatExt xmlns:a14="http://schemas.microsoft.com/office/drawing/2010/main" spid="_x0000_s58726"/>
            </a:ext>
            <a:ext uri="{FF2B5EF4-FFF2-40B4-BE49-F238E27FC236}">
              <a16:creationId xmlns:a16="http://schemas.microsoft.com/office/drawing/2014/main" id="{C1F07CD8-4671-453E-A8F4-D24AA648D3D5}"/>
            </a:ext>
            <a:ext uri="{147F2762-F138-4A5C-976F-8EAC2B608ADB}">
              <a16:predDERef xmlns:a16="http://schemas.microsoft.com/office/drawing/2014/main" pred="{A3706314-2020-4E69-BCFF-79D3C9BC2D69}"/>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38</xdr:row>
      <xdr:rowOff>83820</xdr:rowOff>
    </xdr:from>
    <xdr:to>
      <xdr:col>6</xdr:col>
      <xdr:colOff>1249680</xdr:colOff>
      <xdr:row>38</xdr:row>
      <xdr:rowOff>304800</xdr:rowOff>
    </xdr:to>
    <xdr:sp macro="" textlink="">
      <xdr:nvSpPr>
        <xdr:cNvPr id="133" name="Drop Down 358" hidden="1">
          <a:extLst>
            <a:ext uri="{63B3BB69-23CF-44E3-9099-C40C66FF867C}">
              <a14:compatExt xmlns:a14="http://schemas.microsoft.com/office/drawing/2010/main" spid="_x0000_s58726"/>
            </a:ext>
            <a:ext uri="{FF2B5EF4-FFF2-40B4-BE49-F238E27FC236}">
              <a16:creationId xmlns:a16="http://schemas.microsoft.com/office/drawing/2014/main" id="{57603325-70C0-4450-A01D-D6F4B03F0799}"/>
            </a:ext>
            <a:ext uri="{147F2762-F138-4A5C-976F-8EAC2B608ADB}">
              <a16:predDERef xmlns:a16="http://schemas.microsoft.com/office/drawing/2014/main" pred="{C1F07CD8-4671-453E-A8F4-D24AA648D3D5}"/>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39</xdr:row>
      <xdr:rowOff>83820</xdr:rowOff>
    </xdr:from>
    <xdr:to>
      <xdr:col>6</xdr:col>
      <xdr:colOff>1249680</xdr:colOff>
      <xdr:row>39</xdr:row>
      <xdr:rowOff>304800</xdr:rowOff>
    </xdr:to>
    <xdr:sp macro="" textlink="">
      <xdr:nvSpPr>
        <xdr:cNvPr id="134" name="Drop Down 358" hidden="1">
          <a:extLst>
            <a:ext uri="{63B3BB69-23CF-44E3-9099-C40C66FF867C}">
              <a14:compatExt xmlns:a14="http://schemas.microsoft.com/office/drawing/2010/main" spid="_x0000_s58726"/>
            </a:ext>
            <a:ext uri="{FF2B5EF4-FFF2-40B4-BE49-F238E27FC236}">
              <a16:creationId xmlns:a16="http://schemas.microsoft.com/office/drawing/2014/main" id="{1CF4E3D7-48A1-4122-98E1-2DC6B20CB0E7}"/>
            </a:ext>
            <a:ext uri="{147F2762-F138-4A5C-976F-8EAC2B608ADB}">
              <a16:predDERef xmlns:a16="http://schemas.microsoft.com/office/drawing/2014/main" pred="{57603325-70C0-4450-A01D-D6F4B03F0799}"/>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40</xdr:row>
      <xdr:rowOff>83820</xdr:rowOff>
    </xdr:from>
    <xdr:to>
      <xdr:col>6</xdr:col>
      <xdr:colOff>1249680</xdr:colOff>
      <xdr:row>40</xdr:row>
      <xdr:rowOff>304800</xdr:rowOff>
    </xdr:to>
    <xdr:sp macro="" textlink="">
      <xdr:nvSpPr>
        <xdr:cNvPr id="135" name="Drop Down 358" hidden="1">
          <a:extLst>
            <a:ext uri="{63B3BB69-23CF-44E3-9099-C40C66FF867C}">
              <a14:compatExt xmlns:a14="http://schemas.microsoft.com/office/drawing/2010/main" spid="_x0000_s58726"/>
            </a:ext>
            <a:ext uri="{FF2B5EF4-FFF2-40B4-BE49-F238E27FC236}">
              <a16:creationId xmlns:a16="http://schemas.microsoft.com/office/drawing/2014/main" id="{F64E6388-44DD-48ED-951E-FAB1FDE008E0}"/>
            </a:ext>
            <a:ext uri="{147F2762-F138-4A5C-976F-8EAC2B608ADB}">
              <a16:predDERef xmlns:a16="http://schemas.microsoft.com/office/drawing/2014/main" pred="{1CF4E3D7-48A1-4122-98E1-2DC6B20CB0E7}"/>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41</xdr:row>
      <xdr:rowOff>83820</xdr:rowOff>
    </xdr:from>
    <xdr:to>
      <xdr:col>6</xdr:col>
      <xdr:colOff>1249680</xdr:colOff>
      <xdr:row>41</xdr:row>
      <xdr:rowOff>304800</xdr:rowOff>
    </xdr:to>
    <xdr:sp macro="" textlink="">
      <xdr:nvSpPr>
        <xdr:cNvPr id="136" name="Drop Down 358" hidden="1">
          <a:extLst>
            <a:ext uri="{63B3BB69-23CF-44E3-9099-C40C66FF867C}">
              <a14:compatExt xmlns:a14="http://schemas.microsoft.com/office/drawing/2010/main" spid="_x0000_s58726"/>
            </a:ext>
            <a:ext uri="{FF2B5EF4-FFF2-40B4-BE49-F238E27FC236}">
              <a16:creationId xmlns:a16="http://schemas.microsoft.com/office/drawing/2014/main" id="{45B05AB0-9E4E-4AD7-A2E1-81C80BB42A07}"/>
            </a:ext>
            <a:ext uri="{147F2762-F138-4A5C-976F-8EAC2B608ADB}">
              <a16:predDERef xmlns:a16="http://schemas.microsoft.com/office/drawing/2014/main" pred="{F64E6388-44DD-48ED-951E-FAB1FDE008E0}"/>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42</xdr:row>
      <xdr:rowOff>83820</xdr:rowOff>
    </xdr:from>
    <xdr:to>
      <xdr:col>6</xdr:col>
      <xdr:colOff>1249680</xdr:colOff>
      <xdr:row>42</xdr:row>
      <xdr:rowOff>304800</xdr:rowOff>
    </xdr:to>
    <xdr:sp macro="" textlink="">
      <xdr:nvSpPr>
        <xdr:cNvPr id="137" name="Drop Down 358" hidden="1">
          <a:extLst>
            <a:ext uri="{63B3BB69-23CF-44E3-9099-C40C66FF867C}">
              <a14:compatExt xmlns:a14="http://schemas.microsoft.com/office/drawing/2010/main" spid="_x0000_s58726"/>
            </a:ext>
            <a:ext uri="{FF2B5EF4-FFF2-40B4-BE49-F238E27FC236}">
              <a16:creationId xmlns:a16="http://schemas.microsoft.com/office/drawing/2014/main" id="{21772A4E-E2A4-4700-BC26-6666C77B4B2C}"/>
            </a:ext>
            <a:ext uri="{147F2762-F138-4A5C-976F-8EAC2B608ADB}">
              <a16:predDERef xmlns:a16="http://schemas.microsoft.com/office/drawing/2014/main" pred="{45B05AB0-9E4E-4AD7-A2E1-81C80BB42A07}"/>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43</xdr:row>
      <xdr:rowOff>83820</xdr:rowOff>
    </xdr:from>
    <xdr:to>
      <xdr:col>6</xdr:col>
      <xdr:colOff>1249680</xdr:colOff>
      <xdr:row>43</xdr:row>
      <xdr:rowOff>304800</xdr:rowOff>
    </xdr:to>
    <xdr:sp macro="" textlink="">
      <xdr:nvSpPr>
        <xdr:cNvPr id="138" name="Drop Down 358" hidden="1">
          <a:extLst>
            <a:ext uri="{63B3BB69-23CF-44E3-9099-C40C66FF867C}">
              <a14:compatExt xmlns:a14="http://schemas.microsoft.com/office/drawing/2010/main" spid="_x0000_s58726"/>
            </a:ext>
            <a:ext uri="{FF2B5EF4-FFF2-40B4-BE49-F238E27FC236}">
              <a16:creationId xmlns:a16="http://schemas.microsoft.com/office/drawing/2014/main" id="{DEECAB65-88DF-415B-873C-0C78F486C56D}"/>
            </a:ext>
            <a:ext uri="{147F2762-F138-4A5C-976F-8EAC2B608ADB}">
              <a16:predDERef xmlns:a16="http://schemas.microsoft.com/office/drawing/2014/main" pred="{21772A4E-E2A4-4700-BC26-6666C77B4B2C}"/>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44</xdr:row>
      <xdr:rowOff>83820</xdr:rowOff>
    </xdr:from>
    <xdr:to>
      <xdr:col>6</xdr:col>
      <xdr:colOff>1249680</xdr:colOff>
      <xdr:row>44</xdr:row>
      <xdr:rowOff>304800</xdr:rowOff>
    </xdr:to>
    <xdr:sp macro="" textlink="">
      <xdr:nvSpPr>
        <xdr:cNvPr id="139" name="Drop Down 358" hidden="1">
          <a:extLst>
            <a:ext uri="{63B3BB69-23CF-44E3-9099-C40C66FF867C}">
              <a14:compatExt xmlns:a14="http://schemas.microsoft.com/office/drawing/2010/main" spid="_x0000_s58726"/>
            </a:ext>
            <a:ext uri="{FF2B5EF4-FFF2-40B4-BE49-F238E27FC236}">
              <a16:creationId xmlns:a16="http://schemas.microsoft.com/office/drawing/2014/main" id="{F29B5176-5DE2-464A-A15C-F3A7BE39BA91}"/>
            </a:ext>
            <a:ext uri="{147F2762-F138-4A5C-976F-8EAC2B608ADB}">
              <a16:predDERef xmlns:a16="http://schemas.microsoft.com/office/drawing/2014/main" pred="{DEECAB65-88DF-415B-873C-0C78F486C56D}"/>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45</xdr:row>
      <xdr:rowOff>83820</xdr:rowOff>
    </xdr:from>
    <xdr:to>
      <xdr:col>6</xdr:col>
      <xdr:colOff>1249680</xdr:colOff>
      <xdr:row>45</xdr:row>
      <xdr:rowOff>304800</xdr:rowOff>
    </xdr:to>
    <xdr:sp macro="" textlink="">
      <xdr:nvSpPr>
        <xdr:cNvPr id="140" name="Drop Down 358" hidden="1">
          <a:extLst>
            <a:ext uri="{63B3BB69-23CF-44E3-9099-C40C66FF867C}">
              <a14:compatExt xmlns:a14="http://schemas.microsoft.com/office/drawing/2010/main" spid="_x0000_s58726"/>
            </a:ext>
            <a:ext uri="{FF2B5EF4-FFF2-40B4-BE49-F238E27FC236}">
              <a16:creationId xmlns:a16="http://schemas.microsoft.com/office/drawing/2014/main" id="{669E1B20-78C9-46DA-BADE-806C8CD6A4CD}"/>
            </a:ext>
            <a:ext uri="{147F2762-F138-4A5C-976F-8EAC2B608ADB}">
              <a16:predDERef xmlns:a16="http://schemas.microsoft.com/office/drawing/2014/main" pred="{F29B5176-5DE2-464A-A15C-F3A7BE39BA91}"/>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46</xdr:row>
      <xdr:rowOff>83820</xdr:rowOff>
    </xdr:from>
    <xdr:to>
      <xdr:col>6</xdr:col>
      <xdr:colOff>1249680</xdr:colOff>
      <xdr:row>46</xdr:row>
      <xdr:rowOff>304800</xdr:rowOff>
    </xdr:to>
    <xdr:sp macro="" textlink="">
      <xdr:nvSpPr>
        <xdr:cNvPr id="141" name="Drop Down 358" hidden="1">
          <a:extLst>
            <a:ext uri="{63B3BB69-23CF-44E3-9099-C40C66FF867C}">
              <a14:compatExt xmlns:a14="http://schemas.microsoft.com/office/drawing/2010/main" spid="_x0000_s58726"/>
            </a:ext>
            <a:ext uri="{FF2B5EF4-FFF2-40B4-BE49-F238E27FC236}">
              <a16:creationId xmlns:a16="http://schemas.microsoft.com/office/drawing/2014/main" id="{947FA61A-6811-4C36-8D3C-0C2825BEBBE9}"/>
            </a:ext>
            <a:ext uri="{147F2762-F138-4A5C-976F-8EAC2B608ADB}">
              <a16:predDERef xmlns:a16="http://schemas.microsoft.com/office/drawing/2014/main" pred="{669E1B20-78C9-46DA-BADE-806C8CD6A4CD}"/>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47</xdr:row>
      <xdr:rowOff>83820</xdr:rowOff>
    </xdr:from>
    <xdr:to>
      <xdr:col>6</xdr:col>
      <xdr:colOff>1249680</xdr:colOff>
      <xdr:row>47</xdr:row>
      <xdr:rowOff>304800</xdr:rowOff>
    </xdr:to>
    <xdr:sp macro="" textlink="">
      <xdr:nvSpPr>
        <xdr:cNvPr id="142" name="Drop Down 358" hidden="1">
          <a:extLst>
            <a:ext uri="{63B3BB69-23CF-44E3-9099-C40C66FF867C}">
              <a14:compatExt xmlns:a14="http://schemas.microsoft.com/office/drawing/2010/main" spid="_x0000_s58726"/>
            </a:ext>
            <a:ext uri="{FF2B5EF4-FFF2-40B4-BE49-F238E27FC236}">
              <a16:creationId xmlns:a16="http://schemas.microsoft.com/office/drawing/2014/main" id="{0C1A9F66-ADAF-48DF-955A-7D4EDDD9BE75}"/>
            </a:ext>
            <a:ext uri="{147F2762-F138-4A5C-976F-8EAC2B608ADB}">
              <a16:predDERef xmlns:a16="http://schemas.microsoft.com/office/drawing/2014/main" pred="{947FA61A-6811-4C36-8D3C-0C2825BEBBE9}"/>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48</xdr:row>
      <xdr:rowOff>83820</xdr:rowOff>
    </xdr:from>
    <xdr:to>
      <xdr:col>6</xdr:col>
      <xdr:colOff>1249680</xdr:colOff>
      <xdr:row>48</xdr:row>
      <xdr:rowOff>304800</xdr:rowOff>
    </xdr:to>
    <xdr:sp macro="" textlink="">
      <xdr:nvSpPr>
        <xdr:cNvPr id="143" name="Drop Down 358" hidden="1">
          <a:extLst>
            <a:ext uri="{63B3BB69-23CF-44E3-9099-C40C66FF867C}">
              <a14:compatExt xmlns:a14="http://schemas.microsoft.com/office/drawing/2010/main" spid="_x0000_s58726"/>
            </a:ext>
            <a:ext uri="{FF2B5EF4-FFF2-40B4-BE49-F238E27FC236}">
              <a16:creationId xmlns:a16="http://schemas.microsoft.com/office/drawing/2014/main" id="{A4D5D104-7BFF-46B0-A1C2-82FA324F7E8E}"/>
            </a:ext>
            <a:ext uri="{147F2762-F138-4A5C-976F-8EAC2B608ADB}">
              <a16:predDERef xmlns:a16="http://schemas.microsoft.com/office/drawing/2014/main" pred="{0C1A9F66-ADAF-48DF-955A-7D4EDDD9BE75}"/>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49</xdr:row>
      <xdr:rowOff>83820</xdr:rowOff>
    </xdr:from>
    <xdr:to>
      <xdr:col>6</xdr:col>
      <xdr:colOff>1249680</xdr:colOff>
      <xdr:row>49</xdr:row>
      <xdr:rowOff>304800</xdr:rowOff>
    </xdr:to>
    <xdr:sp macro="" textlink="">
      <xdr:nvSpPr>
        <xdr:cNvPr id="144" name="Drop Down 358" hidden="1">
          <a:extLst>
            <a:ext uri="{63B3BB69-23CF-44E3-9099-C40C66FF867C}">
              <a14:compatExt xmlns:a14="http://schemas.microsoft.com/office/drawing/2010/main" spid="_x0000_s58726"/>
            </a:ext>
            <a:ext uri="{FF2B5EF4-FFF2-40B4-BE49-F238E27FC236}">
              <a16:creationId xmlns:a16="http://schemas.microsoft.com/office/drawing/2014/main" id="{24144DBC-A8B8-4976-9656-94DA7164A090}"/>
            </a:ext>
            <a:ext uri="{147F2762-F138-4A5C-976F-8EAC2B608ADB}">
              <a16:predDERef xmlns:a16="http://schemas.microsoft.com/office/drawing/2014/main" pred="{A4D5D104-7BFF-46B0-A1C2-82FA324F7E8E}"/>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wsDr>
</file>

<file path=xl/drawings/drawing4.xml><?xml version="1.0" encoding="utf-8"?>
<xdr:wsDr xmlns:xdr="http://schemas.openxmlformats.org/drawingml/2006/spreadsheetDrawing" xmlns:a="http://schemas.openxmlformats.org/drawingml/2006/main">
  <xdr:twoCellAnchor editAs="oneCell">
    <xdr:from>
      <xdr:col>6</xdr:col>
      <xdr:colOff>38100</xdr:colOff>
      <xdr:row>3</xdr:row>
      <xdr:rowOff>30480</xdr:rowOff>
    </xdr:from>
    <xdr:to>
      <xdr:col>6</xdr:col>
      <xdr:colOff>1318260</xdr:colOff>
      <xdr:row>4</xdr:row>
      <xdr:rowOff>76200</xdr:rowOff>
    </xdr:to>
    <xdr:sp macro="" textlink="">
      <xdr:nvSpPr>
        <xdr:cNvPr id="2" name="Button 1" hidden="1">
          <a:extLst>
            <a:ext uri="{63B3BB69-23CF-44E3-9099-C40C66FF867C}">
              <a14:compatExt xmlns:a14="http://schemas.microsoft.com/office/drawing/2010/main" spid="_x0000_s58369"/>
            </a:ext>
            <a:ext uri="{FF2B5EF4-FFF2-40B4-BE49-F238E27FC236}">
              <a16:creationId xmlns:a16="http://schemas.microsoft.com/office/drawing/2014/main" id="{EADDDE4C-2C32-4773-AA64-B7487B4D863D}"/>
            </a:ext>
          </a:extLst>
        </xdr:cNvPr>
        <xdr:cNvSpPr/>
      </xdr:nvSpPr>
      <xdr:spPr bwMode="auto">
        <a:xfrm>
          <a:off x="5991225" y="601980"/>
          <a:ext cx="1280160" cy="236220"/>
        </a:xfrm>
        <a:prstGeom prst="rect">
          <a:avLst/>
        </a:prstGeom>
        <a:noFill/>
        <a:ln w="9525">
          <a:miter lim="800000"/>
          <a:headEnd/>
          <a:tailEnd/>
        </a:ln>
      </xdr:spPr>
      <xdr:txBody>
        <a:bodyPr vertOverflow="clip" wrap="square" lIns="36576" tIns="22860" rIns="36576" bIns="22860" anchor="ctr" upright="1"/>
        <a:lstStyle/>
        <a:p>
          <a:pPr algn="ctr" rtl="0">
            <a:defRPr sz="1000"/>
          </a:pPr>
          <a:r>
            <a:rPr lang="en-IN" sz="1000" b="0" i="0" u="none" strike="noStrike" baseline="0">
              <a:solidFill>
                <a:srgbClr val="000000"/>
              </a:solidFill>
              <a:latin typeface="Verdana"/>
              <a:ea typeface="Verdana"/>
            </a:rPr>
            <a:t>Reset responses</a:t>
          </a:r>
        </a:p>
      </xdr:txBody>
    </xdr:sp>
    <xdr:clientData fPrintsWithSheet="0"/>
  </xdr:twoCellAnchor>
  <xdr:twoCellAnchor editAs="oneCell">
    <xdr:from>
      <xdr:col>10</xdr:col>
      <xdr:colOff>30480</xdr:colOff>
      <xdr:row>3</xdr:row>
      <xdr:rowOff>30480</xdr:rowOff>
    </xdr:from>
    <xdr:to>
      <xdr:col>10</xdr:col>
      <xdr:colOff>1303020</xdr:colOff>
      <xdr:row>4</xdr:row>
      <xdr:rowOff>76200</xdr:rowOff>
    </xdr:to>
    <xdr:sp macro="" textlink="">
      <xdr:nvSpPr>
        <xdr:cNvPr id="3" name="Button 2" hidden="1">
          <a:extLst>
            <a:ext uri="{63B3BB69-23CF-44E3-9099-C40C66FF867C}">
              <a14:compatExt xmlns:a14="http://schemas.microsoft.com/office/drawing/2010/main" spid="_x0000_s58370"/>
            </a:ext>
            <a:ext uri="{FF2B5EF4-FFF2-40B4-BE49-F238E27FC236}">
              <a16:creationId xmlns:a16="http://schemas.microsoft.com/office/drawing/2014/main" id="{D6C5D685-B51C-4CC7-91BE-8E308F89A207}"/>
            </a:ext>
          </a:extLst>
        </xdr:cNvPr>
        <xdr:cNvSpPr/>
      </xdr:nvSpPr>
      <xdr:spPr bwMode="auto">
        <a:xfrm>
          <a:off x="12270105" y="601980"/>
          <a:ext cx="1272540" cy="236220"/>
        </a:xfrm>
        <a:prstGeom prst="rect">
          <a:avLst/>
        </a:prstGeom>
        <a:noFill/>
        <a:ln w="9525">
          <a:miter lim="800000"/>
          <a:headEnd/>
          <a:tailEnd/>
        </a:ln>
      </xdr:spPr>
      <xdr:txBody>
        <a:bodyPr vertOverflow="clip" wrap="square" lIns="36576" tIns="22860" rIns="36576" bIns="22860" anchor="ctr" upright="1"/>
        <a:lstStyle/>
        <a:p>
          <a:pPr algn="ctr" rtl="0">
            <a:defRPr sz="1000"/>
          </a:pPr>
          <a:r>
            <a:rPr lang="en-IN" sz="1000" b="0" i="0" u="none" strike="noStrike" baseline="0">
              <a:solidFill>
                <a:srgbClr val="000000"/>
              </a:solidFill>
              <a:latin typeface="Verdana"/>
              <a:ea typeface="Verdana"/>
            </a:rPr>
            <a:t>Reset comments</a:t>
          </a:r>
        </a:p>
      </xdr:txBody>
    </xdr:sp>
    <xdr:clientData fPrint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4" name="Drop Down 357" hidden="1">
          <a:extLst>
            <a:ext uri="{63B3BB69-23CF-44E3-9099-C40C66FF867C}">
              <a14:compatExt xmlns:a14="http://schemas.microsoft.com/office/drawing/2010/main" spid="_x0000_s58725"/>
            </a:ext>
            <a:ext uri="{FF2B5EF4-FFF2-40B4-BE49-F238E27FC236}">
              <a16:creationId xmlns:a16="http://schemas.microsoft.com/office/drawing/2014/main" id="{BFE18CC3-5577-4ACF-9F49-3434F674453D}"/>
            </a:ext>
            <a:ext uri="{147F2762-F138-4A5C-976F-8EAC2B608ADB}">
              <a16:predDERef xmlns:a16="http://schemas.microsoft.com/office/drawing/2014/main" pred="{00000000-0008-0000-0700-000002E4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8</xdr:row>
      <xdr:rowOff>83820</xdr:rowOff>
    </xdr:from>
    <xdr:to>
      <xdr:col>6</xdr:col>
      <xdr:colOff>1249680</xdr:colOff>
      <xdr:row>9</xdr:row>
      <xdr:rowOff>114300</xdr:rowOff>
    </xdr:to>
    <xdr:sp macro="" textlink="">
      <xdr:nvSpPr>
        <xdr:cNvPr id="5" name="Drop Down 358" hidden="1">
          <a:extLst>
            <a:ext uri="{63B3BB69-23CF-44E3-9099-C40C66FF867C}">
              <a14:compatExt xmlns:a14="http://schemas.microsoft.com/office/drawing/2010/main" spid="_x0000_s58726"/>
            </a:ext>
            <a:ext uri="{FF2B5EF4-FFF2-40B4-BE49-F238E27FC236}">
              <a16:creationId xmlns:a16="http://schemas.microsoft.com/office/drawing/2014/main" id="{01E268EA-DF68-49A9-8EDC-5CA3F5A3CF71}"/>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xdr:row>
      <xdr:rowOff>83820</xdr:rowOff>
    </xdr:from>
    <xdr:to>
      <xdr:col>6</xdr:col>
      <xdr:colOff>1249680</xdr:colOff>
      <xdr:row>9</xdr:row>
      <xdr:rowOff>304800</xdr:rowOff>
    </xdr:to>
    <xdr:sp macro="" textlink="">
      <xdr:nvSpPr>
        <xdr:cNvPr id="6" name="Drop Down 359" hidden="1">
          <a:extLst>
            <a:ext uri="{63B3BB69-23CF-44E3-9099-C40C66FF867C}">
              <a14:compatExt xmlns:a14="http://schemas.microsoft.com/office/drawing/2010/main" spid="_x0000_s58727"/>
            </a:ext>
            <a:ext uri="{FF2B5EF4-FFF2-40B4-BE49-F238E27FC236}">
              <a16:creationId xmlns:a16="http://schemas.microsoft.com/office/drawing/2014/main" id="{F828CD28-A32A-46FB-9410-2D43E70B8AEE}"/>
            </a:ext>
          </a:extLst>
        </xdr:cNvPr>
        <xdr:cNvSpPr/>
      </xdr:nvSpPr>
      <xdr:spPr bwMode="auto">
        <a:xfrm>
          <a:off x="6059805" y="2398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xdr:row>
      <xdr:rowOff>83820</xdr:rowOff>
    </xdr:from>
    <xdr:to>
      <xdr:col>6</xdr:col>
      <xdr:colOff>1249680</xdr:colOff>
      <xdr:row>10</xdr:row>
      <xdr:rowOff>304800</xdr:rowOff>
    </xdr:to>
    <xdr:sp macro="" textlink="">
      <xdr:nvSpPr>
        <xdr:cNvPr id="7" name="Drop Down 360" hidden="1">
          <a:extLst>
            <a:ext uri="{63B3BB69-23CF-44E3-9099-C40C66FF867C}">
              <a14:compatExt xmlns:a14="http://schemas.microsoft.com/office/drawing/2010/main" spid="_x0000_s58728"/>
            </a:ext>
            <a:ext uri="{FF2B5EF4-FFF2-40B4-BE49-F238E27FC236}">
              <a16:creationId xmlns:a16="http://schemas.microsoft.com/office/drawing/2014/main" id="{4BA11861-7B8F-4BDA-B416-6C8525A43BF4}"/>
            </a:ext>
          </a:extLst>
        </xdr:cNvPr>
        <xdr:cNvSpPr/>
      </xdr:nvSpPr>
      <xdr:spPr bwMode="auto">
        <a:xfrm>
          <a:off x="6059805" y="2779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xdr:row>
      <xdr:rowOff>83820</xdr:rowOff>
    </xdr:from>
    <xdr:to>
      <xdr:col>6</xdr:col>
      <xdr:colOff>1249680</xdr:colOff>
      <xdr:row>11</xdr:row>
      <xdr:rowOff>304800</xdr:rowOff>
    </xdr:to>
    <xdr:sp macro="" textlink="">
      <xdr:nvSpPr>
        <xdr:cNvPr id="8" name="Drop Down 361" hidden="1">
          <a:extLst>
            <a:ext uri="{63B3BB69-23CF-44E3-9099-C40C66FF867C}">
              <a14:compatExt xmlns:a14="http://schemas.microsoft.com/office/drawing/2010/main" spid="_x0000_s58729"/>
            </a:ext>
            <a:ext uri="{FF2B5EF4-FFF2-40B4-BE49-F238E27FC236}">
              <a16:creationId xmlns:a16="http://schemas.microsoft.com/office/drawing/2014/main" id="{92166129-9321-4C31-A224-504E6B01F970}"/>
            </a:ext>
          </a:extLst>
        </xdr:cNvPr>
        <xdr:cNvSpPr/>
      </xdr:nvSpPr>
      <xdr:spPr bwMode="auto">
        <a:xfrm>
          <a:off x="6059805" y="3160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xdr:row>
      <xdr:rowOff>83820</xdr:rowOff>
    </xdr:from>
    <xdr:to>
      <xdr:col>6</xdr:col>
      <xdr:colOff>1249680</xdr:colOff>
      <xdr:row>12</xdr:row>
      <xdr:rowOff>304800</xdr:rowOff>
    </xdr:to>
    <xdr:sp macro="" textlink="">
      <xdr:nvSpPr>
        <xdr:cNvPr id="9" name="Drop Down 362" hidden="1">
          <a:extLst>
            <a:ext uri="{63B3BB69-23CF-44E3-9099-C40C66FF867C}">
              <a14:compatExt xmlns:a14="http://schemas.microsoft.com/office/drawing/2010/main" spid="_x0000_s58730"/>
            </a:ext>
            <a:ext uri="{FF2B5EF4-FFF2-40B4-BE49-F238E27FC236}">
              <a16:creationId xmlns:a16="http://schemas.microsoft.com/office/drawing/2014/main" id="{9959C765-5440-48D6-B278-0874F6BF999B}"/>
            </a:ext>
          </a:extLst>
        </xdr:cNvPr>
        <xdr:cNvSpPr/>
      </xdr:nvSpPr>
      <xdr:spPr bwMode="auto">
        <a:xfrm>
          <a:off x="6059805" y="3541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xdr:row>
      <xdr:rowOff>83820</xdr:rowOff>
    </xdr:from>
    <xdr:to>
      <xdr:col>6</xdr:col>
      <xdr:colOff>1249680</xdr:colOff>
      <xdr:row>13</xdr:row>
      <xdr:rowOff>304800</xdr:rowOff>
    </xdr:to>
    <xdr:sp macro="" textlink="">
      <xdr:nvSpPr>
        <xdr:cNvPr id="10" name="Drop Down 363" hidden="1">
          <a:extLst>
            <a:ext uri="{63B3BB69-23CF-44E3-9099-C40C66FF867C}">
              <a14:compatExt xmlns:a14="http://schemas.microsoft.com/office/drawing/2010/main" spid="_x0000_s58731"/>
            </a:ext>
            <a:ext uri="{FF2B5EF4-FFF2-40B4-BE49-F238E27FC236}">
              <a16:creationId xmlns:a16="http://schemas.microsoft.com/office/drawing/2014/main" id="{50189919-0E8B-4458-975C-C59D22CDD321}"/>
            </a:ext>
          </a:extLst>
        </xdr:cNvPr>
        <xdr:cNvSpPr/>
      </xdr:nvSpPr>
      <xdr:spPr bwMode="auto">
        <a:xfrm>
          <a:off x="6059805" y="3922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83820</xdr:rowOff>
    </xdr:from>
    <xdr:to>
      <xdr:col>6</xdr:col>
      <xdr:colOff>1249680</xdr:colOff>
      <xdr:row>15</xdr:row>
      <xdr:rowOff>114300</xdr:rowOff>
    </xdr:to>
    <xdr:sp macro="" textlink="">
      <xdr:nvSpPr>
        <xdr:cNvPr id="11" name="Drop Down 364" hidden="1">
          <a:extLst>
            <a:ext uri="{63B3BB69-23CF-44E3-9099-C40C66FF867C}">
              <a14:compatExt xmlns:a14="http://schemas.microsoft.com/office/drawing/2010/main" spid="_x0000_s58732"/>
            </a:ext>
            <a:ext uri="{FF2B5EF4-FFF2-40B4-BE49-F238E27FC236}">
              <a16:creationId xmlns:a16="http://schemas.microsoft.com/office/drawing/2014/main" id="{A94E4BFD-B977-4463-ACA3-6B5A9AD23195}"/>
            </a:ext>
          </a:extLst>
        </xdr:cNvPr>
        <xdr:cNvSpPr/>
      </xdr:nvSpPr>
      <xdr:spPr bwMode="auto">
        <a:xfrm>
          <a:off x="6059805" y="4303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xdr:row>
      <xdr:rowOff>83820</xdr:rowOff>
    </xdr:from>
    <xdr:to>
      <xdr:col>6</xdr:col>
      <xdr:colOff>1249680</xdr:colOff>
      <xdr:row>15</xdr:row>
      <xdr:rowOff>304800</xdr:rowOff>
    </xdr:to>
    <xdr:sp macro="" textlink="">
      <xdr:nvSpPr>
        <xdr:cNvPr id="12" name="Drop Down 365" hidden="1">
          <a:extLst>
            <a:ext uri="{63B3BB69-23CF-44E3-9099-C40C66FF867C}">
              <a14:compatExt xmlns:a14="http://schemas.microsoft.com/office/drawing/2010/main" spid="_x0000_s58733"/>
            </a:ext>
            <a:ext uri="{FF2B5EF4-FFF2-40B4-BE49-F238E27FC236}">
              <a16:creationId xmlns:a16="http://schemas.microsoft.com/office/drawing/2014/main" id="{420B2277-FB83-4FEE-869A-9F3C93D99E3F}"/>
            </a:ext>
          </a:extLst>
        </xdr:cNvPr>
        <xdr:cNvSpPr/>
      </xdr:nvSpPr>
      <xdr:spPr bwMode="auto">
        <a:xfrm>
          <a:off x="6059805" y="4684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xdr:row>
      <xdr:rowOff>83820</xdr:rowOff>
    </xdr:from>
    <xdr:to>
      <xdr:col>6</xdr:col>
      <xdr:colOff>1249680</xdr:colOff>
      <xdr:row>16</xdr:row>
      <xdr:rowOff>304800</xdr:rowOff>
    </xdr:to>
    <xdr:sp macro="" textlink="">
      <xdr:nvSpPr>
        <xdr:cNvPr id="13" name="Drop Down 366" hidden="1">
          <a:extLst>
            <a:ext uri="{63B3BB69-23CF-44E3-9099-C40C66FF867C}">
              <a14:compatExt xmlns:a14="http://schemas.microsoft.com/office/drawing/2010/main" spid="_x0000_s58734"/>
            </a:ext>
            <a:ext uri="{FF2B5EF4-FFF2-40B4-BE49-F238E27FC236}">
              <a16:creationId xmlns:a16="http://schemas.microsoft.com/office/drawing/2014/main" id="{7619A5B2-1A70-493B-AA0D-8F7F528FC377}"/>
            </a:ext>
          </a:extLst>
        </xdr:cNvPr>
        <xdr:cNvSpPr/>
      </xdr:nvSpPr>
      <xdr:spPr bwMode="auto">
        <a:xfrm>
          <a:off x="6059805" y="5065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17</xdr:row>
      <xdr:rowOff>83820</xdr:rowOff>
    </xdr:from>
    <xdr:to>
      <xdr:col>6</xdr:col>
      <xdr:colOff>1249680</xdr:colOff>
      <xdr:row>17</xdr:row>
      <xdr:rowOff>304800</xdr:rowOff>
    </xdr:to>
    <xdr:sp macro="" textlink="">
      <xdr:nvSpPr>
        <xdr:cNvPr id="14" name="Drop Down 367" hidden="1">
          <a:extLst>
            <a:ext uri="{63B3BB69-23CF-44E3-9099-C40C66FF867C}">
              <a14:compatExt xmlns:a14="http://schemas.microsoft.com/office/drawing/2010/main" spid="_x0000_s58735"/>
            </a:ext>
            <a:ext uri="{FF2B5EF4-FFF2-40B4-BE49-F238E27FC236}">
              <a16:creationId xmlns:a16="http://schemas.microsoft.com/office/drawing/2014/main" id="{60FBD690-2132-4D0B-86DB-0989B9E0491C}"/>
            </a:ext>
          </a:extLst>
        </xdr:cNvPr>
        <xdr:cNvSpPr/>
      </xdr:nvSpPr>
      <xdr:spPr bwMode="auto">
        <a:xfrm>
          <a:off x="6059805" y="5446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18</xdr:row>
      <xdr:rowOff>83820</xdr:rowOff>
    </xdr:from>
    <xdr:to>
      <xdr:col>6</xdr:col>
      <xdr:colOff>1249680</xdr:colOff>
      <xdr:row>19</xdr:row>
      <xdr:rowOff>114300</xdr:rowOff>
    </xdr:to>
    <xdr:sp macro="" textlink="">
      <xdr:nvSpPr>
        <xdr:cNvPr id="15" name="Drop Down 368" hidden="1">
          <a:extLst>
            <a:ext uri="{63B3BB69-23CF-44E3-9099-C40C66FF867C}">
              <a14:compatExt xmlns:a14="http://schemas.microsoft.com/office/drawing/2010/main" spid="_x0000_s58736"/>
            </a:ext>
            <a:ext uri="{FF2B5EF4-FFF2-40B4-BE49-F238E27FC236}">
              <a16:creationId xmlns:a16="http://schemas.microsoft.com/office/drawing/2014/main" id="{038DA536-935D-420A-BC35-D65F8A6A01F0}"/>
            </a:ext>
          </a:extLst>
        </xdr:cNvPr>
        <xdr:cNvSpPr/>
      </xdr:nvSpPr>
      <xdr:spPr bwMode="auto">
        <a:xfrm>
          <a:off x="6059805" y="582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19</xdr:row>
      <xdr:rowOff>83820</xdr:rowOff>
    </xdr:from>
    <xdr:to>
      <xdr:col>6</xdr:col>
      <xdr:colOff>1249680</xdr:colOff>
      <xdr:row>19</xdr:row>
      <xdr:rowOff>304800</xdr:rowOff>
    </xdr:to>
    <xdr:sp macro="" textlink="">
      <xdr:nvSpPr>
        <xdr:cNvPr id="16" name="Drop Down 369" hidden="1">
          <a:extLst>
            <a:ext uri="{63B3BB69-23CF-44E3-9099-C40C66FF867C}">
              <a14:compatExt xmlns:a14="http://schemas.microsoft.com/office/drawing/2010/main" spid="_x0000_s58737"/>
            </a:ext>
            <a:ext uri="{FF2B5EF4-FFF2-40B4-BE49-F238E27FC236}">
              <a16:creationId xmlns:a16="http://schemas.microsoft.com/office/drawing/2014/main" id="{26EABE16-046A-49ED-A7EC-905211CA8F5F}"/>
            </a:ext>
          </a:extLst>
        </xdr:cNvPr>
        <xdr:cNvSpPr/>
      </xdr:nvSpPr>
      <xdr:spPr bwMode="auto">
        <a:xfrm>
          <a:off x="6059805" y="6208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26</xdr:row>
      <xdr:rowOff>83820</xdr:rowOff>
    </xdr:from>
    <xdr:to>
      <xdr:col>6</xdr:col>
      <xdr:colOff>1249680</xdr:colOff>
      <xdr:row>26</xdr:row>
      <xdr:rowOff>304800</xdr:rowOff>
    </xdr:to>
    <xdr:sp macro="" textlink="">
      <xdr:nvSpPr>
        <xdr:cNvPr id="17" name="Drop Down 370" hidden="1">
          <a:extLst>
            <a:ext uri="{63B3BB69-23CF-44E3-9099-C40C66FF867C}">
              <a14:compatExt xmlns:a14="http://schemas.microsoft.com/office/drawing/2010/main" spid="_x0000_s58738"/>
            </a:ext>
            <a:ext uri="{FF2B5EF4-FFF2-40B4-BE49-F238E27FC236}">
              <a16:creationId xmlns:a16="http://schemas.microsoft.com/office/drawing/2014/main" id="{04631608-EFCD-493F-BC9D-47032FB1249B}"/>
            </a:ext>
          </a:extLst>
        </xdr:cNvPr>
        <xdr:cNvSpPr/>
      </xdr:nvSpPr>
      <xdr:spPr bwMode="auto">
        <a:xfrm>
          <a:off x="6059805" y="8875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27</xdr:row>
      <xdr:rowOff>83820</xdr:rowOff>
    </xdr:from>
    <xdr:to>
      <xdr:col>6</xdr:col>
      <xdr:colOff>1249680</xdr:colOff>
      <xdr:row>27</xdr:row>
      <xdr:rowOff>304800</xdr:rowOff>
    </xdr:to>
    <xdr:sp macro="" textlink="">
      <xdr:nvSpPr>
        <xdr:cNvPr id="18" name="Drop Down 371" hidden="1">
          <a:extLst>
            <a:ext uri="{63B3BB69-23CF-44E3-9099-C40C66FF867C}">
              <a14:compatExt xmlns:a14="http://schemas.microsoft.com/office/drawing/2010/main" spid="_x0000_s58739"/>
            </a:ext>
            <a:ext uri="{FF2B5EF4-FFF2-40B4-BE49-F238E27FC236}">
              <a16:creationId xmlns:a16="http://schemas.microsoft.com/office/drawing/2014/main" id="{5EDD72C1-AC71-4B31-ADF5-EADA4B614707}"/>
            </a:ext>
          </a:extLst>
        </xdr:cNvPr>
        <xdr:cNvSpPr/>
      </xdr:nvSpPr>
      <xdr:spPr bwMode="auto">
        <a:xfrm>
          <a:off x="6059805" y="9256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19" name="Drop Down 372" hidden="1">
          <a:extLst>
            <a:ext uri="{63B3BB69-23CF-44E3-9099-C40C66FF867C}">
              <a14:compatExt xmlns:a14="http://schemas.microsoft.com/office/drawing/2010/main" spid="_x0000_s58740"/>
            </a:ext>
            <a:ext uri="{FF2B5EF4-FFF2-40B4-BE49-F238E27FC236}">
              <a16:creationId xmlns:a16="http://schemas.microsoft.com/office/drawing/2014/main" id="{3DBC405E-7EAA-467B-9D61-E68A0EC9F84E}"/>
            </a:ext>
          </a:extLst>
        </xdr:cNvPr>
        <xdr:cNvSpPr/>
      </xdr:nvSpPr>
      <xdr:spPr bwMode="auto">
        <a:xfrm>
          <a:off x="6059805" y="11161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20" name="Drop Down 373" hidden="1">
          <a:extLst>
            <a:ext uri="{63B3BB69-23CF-44E3-9099-C40C66FF867C}">
              <a14:compatExt xmlns:a14="http://schemas.microsoft.com/office/drawing/2010/main" spid="_x0000_s58741"/>
            </a:ext>
            <a:ext uri="{FF2B5EF4-FFF2-40B4-BE49-F238E27FC236}">
              <a16:creationId xmlns:a16="http://schemas.microsoft.com/office/drawing/2014/main" id="{66F3FCBF-B2DD-4BC7-A88A-9A475B0AB0A4}"/>
            </a:ext>
          </a:extLst>
        </xdr:cNvPr>
        <xdr:cNvSpPr/>
      </xdr:nvSpPr>
      <xdr:spPr bwMode="auto">
        <a:xfrm>
          <a:off x="6059805" y="11542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97155</xdr:rowOff>
    </xdr:to>
    <xdr:sp macro="" textlink="">
      <xdr:nvSpPr>
        <xdr:cNvPr id="21" name="Drop Down 374" hidden="1">
          <a:extLst>
            <a:ext uri="{63B3BB69-23CF-44E3-9099-C40C66FF867C}">
              <a14:compatExt xmlns:a14="http://schemas.microsoft.com/office/drawing/2010/main" spid="_x0000_s58742"/>
            </a:ext>
            <a:ext uri="{FF2B5EF4-FFF2-40B4-BE49-F238E27FC236}">
              <a16:creationId xmlns:a16="http://schemas.microsoft.com/office/drawing/2014/main" id="{0DFBD762-41CA-43EB-B261-F80F2FAF58F8}"/>
            </a:ext>
            <a:ext uri="{147F2762-F138-4A5C-976F-8EAC2B608ADB}">
              <a16:predDERef xmlns:a16="http://schemas.microsoft.com/office/drawing/2014/main" pred="{00000000-0008-0000-0700-000075E50000}"/>
            </a:ext>
          </a:extLst>
        </xdr:cNvPr>
        <xdr:cNvSpPr/>
      </xdr:nvSpPr>
      <xdr:spPr bwMode="auto">
        <a:xfrm>
          <a:off x="6059805" y="12030075"/>
          <a:ext cx="1143000" cy="97155"/>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97155</xdr:rowOff>
    </xdr:to>
    <xdr:sp macro="" textlink="">
      <xdr:nvSpPr>
        <xdr:cNvPr id="22" name="Drop Down 375" hidden="1">
          <a:extLst>
            <a:ext uri="{63B3BB69-23CF-44E3-9099-C40C66FF867C}">
              <a14:compatExt xmlns:a14="http://schemas.microsoft.com/office/drawing/2010/main" spid="_x0000_s58743"/>
            </a:ext>
            <a:ext uri="{FF2B5EF4-FFF2-40B4-BE49-F238E27FC236}">
              <a16:creationId xmlns:a16="http://schemas.microsoft.com/office/drawing/2014/main" id="{464259B9-599C-4138-BF41-4C4FB6B5519B}"/>
            </a:ext>
          </a:extLst>
        </xdr:cNvPr>
        <xdr:cNvSpPr/>
      </xdr:nvSpPr>
      <xdr:spPr bwMode="auto">
        <a:xfrm>
          <a:off x="6059805" y="12113895"/>
          <a:ext cx="1143000" cy="97155"/>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23" name="Drop Down 376" hidden="1">
          <a:extLst>
            <a:ext uri="{63B3BB69-23CF-44E3-9099-C40C66FF867C}">
              <a14:compatExt xmlns:a14="http://schemas.microsoft.com/office/drawing/2010/main" spid="_x0000_s58744"/>
            </a:ext>
            <a:ext uri="{FF2B5EF4-FFF2-40B4-BE49-F238E27FC236}">
              <a16:creationId xmlns:a16="http://schemas.microsoft.com/office/drawing/2014/main" id="{62ABDEA1-DEB7-42D2-B2A5-6FB3E27DDDF9}"/>
            </a:ext>
            <a:ext uri="{147F2762-F138-4A5C-976F-8EAC2B608ADB}">
              <a16:predDERef xmlns:a16="http://schemas.microsoft.com/office/drawing/2014/main" pred="{00000000-0008-0000-0700-000077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24" name="Drop Down 377" hidden="1">
          <a:extLst>
            <a:ext uri="{63B3BB69-23CF-44E3-9099-C40C66FF867C}">
              <a14:compatExt xmlns:a14="http://schemas.microsoft.com/office/drawing/2010/main" spid="_x0000_s58745"/>
            </a:ext>
            <a:ext uri="{FF2B5EF4-FFF2-40B4-BE49-F238E27FC236}">
              <a16:creationId xmlns:a16="http://schemas.microsoft.com/office/drawing/2014/main" id="{C3F4A444-99B6-485D-AD54-94237CFD9C08}"/>
            </a:ext>
            <a:ext uri="{147F2762-F138-4A5C-976F-8EAC2B608ADB}">
              <a16:predDERef xmlns:a16="http://schemas.microsoft.com/office/drawing/2014/main" pred="{00000000-0008-0000-0700-000078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25" name="Drop Down 378" hidden="1">
          <a:extLst>
            <a:ext uri="{63B3BB69-23CF-44E3-9099-C40C66FF867C}">
              <a14:compatExt xmlns:a14="http://schemas.microsoft.com/office/drawing/2010/main" spid="_x0000_s58746"/>
            </a:ext>
            <a:ext uri="{FF2B5EF4-FFF2-40B4-BE49-F238E27FC236}">
              <a16:creationId xmlns:a16="http://schemas.microsoft.com/office/drawing/2014/main" id="{AF2449B9-7871-487B-A299-5152ED0C6A0E}"/>
            </a:ext>
            <a:ext uri="{147F2762-F138-4A5C-976F-8EAC2B608ADB}">
              <a16:predDERef xmlns:a16="http://schemas.microsoft.com/office/drawing/2014/main" pred="{00000000-0008-0000-0700-000079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26" name="Drop Down 379" hidden="1">
          <a:extLst>
            <a:ext uri="{63B3BB69-23CF-44E3-9099-C40C66FF867C}">
              <a14:compatExt xmlns:a14="http://schemas.microsoft.com/office/drawing/2010/main" spid="_x0000_s58747"/>
            </a:ext>
            <a:ext uri="{FF2B5EF4-FFF2-40B4-BE49-F238E27FC236}">
              <a16:creationId xmlns:a16="http://schemas.microsoft.com/office/drawing/2014/main" id="{872ADDD6-EB5E-4B89-8CB9-2CE536089CEF}"/>
            </a:ext>
            <a:ext uri="{147F2762-F138-4A5C-976F-8EAC2B608ADB}">
              <a16:predDERef xmlns:a16="http://schemas.microsoft.com/office/drawing/2014/main" pred="{00000000-0008-0000-0700-00007A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27" name="Drop Down 380" hidden="1">
          <a:extLst>
            <a:ext uri="{63B3BB69-23CF-44E3-9099-C40C66FF867C}">
              <a14:compatExt xmlns:a14="http://schemas.microsoft.com/office/drawing/2010/main" spid="_x0000_s58748"/>
            </a:ext>
            <a:ext uri="{FF2B5EF4-FFF2-40B4-BE49-F238E27FC236}">
              <a16:creationId xmlns:a16="http://schemas.microsoft.com/office/drawing/2014/main" id="{E5DFA106-8D16-44CB-8AA2-698307997D75}"/>
            </a:ext>
            <a:ext uri="{147F2762-F138-4A5C-976F-8EAC2B608ADB}">
              <a16:predDERef xmlns:a16="http://schemas.microsoft.com/office/drawing/2014/main" pred="{00000000-0008-0000-0700-00007B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28" name="Drop Down 381" hidden="1">
          <a:extLst>
            <a:ext uri="{63B3BB69-23CF-44E3-9099-C40C66FF867C}">
              <a14:compatExt xmlns:a14="http://schemas.microsoft.com/office/drawing/2010/main" spid="_x0000_s58749"/>
            </a:ext>
            <a:ext uri="{FF2B5EF4-FFF2-40B4-BE49-F238E27FC236}">
              <a16:creationId xmlns:a16="http://schemas.microsoft.com/office/drawing/2014/main" id="{8B7B06D2-64E4-4D00-85FA-1C4E5D53C62F}"/>
            </a:ext>
            <a:ext uri="{147F2762-F138-4A5C-976F-8EAC2B608ADB}">
              <a16:predDERef xmlns:a16="http://schemas.microsoft.com/office/drawing/2014/main" pred="{00000000-0008-0000-0700-00007C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29" name="Drop Down 382" hidden="1">
          <a:extLst>
            <a:ext uri="{63B3BB69-23CF-44E3-9099-C40C66FF867C}">
              <a14:compatExt xmlns:a14="http://schemas.microsoft.com/office/drawing/2010/main" spid="_x0000_s58750"/>
            </a:ext>
            <a:ext uri="{FF2B5EF4-FFF2-40B4-BE49-F238E27FC236}">
              <a16:creationId xmlns:a16="http://schemas.microsoft.com/office/drawing/2014/main" id="{86A39246-29AF-4754-913F-873079D633BB}"/>
            </a:ext>
            <a:ext uri="{147F2762-F138-4A5C-976F-8EAC2B608ADB}">
              <a16:predDERef xmlns:a16="http://schemas.microsoft.com/office/drawing/2014/main" pred="{00000000-0008-0000-0700-00007D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30" name="Drop Down 383" hidden="1">
          <a:extLst>
            <a:ext uri="{63B3BB69-23CF-44E3-9099-C40C66FF867C}">
              <a14:compatExt xmlns:a14="http://schemas.microsoft.com/office/drawing/2010/main" spid="_x0000_s58751"/>
            </a:ext>
            <a:ext uri="{FF2B5EF4-FFF2-40B4-BE49-F238E27FC236}">
              <a16:creationId xmlns:a16="http://schemas.microsoft.com/office/drawing/2014/main" id="{A3FEC725-1208-4555-949E-7DEFD7025848}"/>
            </a:ext>
            <a:ext uri="{147F2762-F138-4A5C-976F-8EAC2B608ADB}">
              <a16:predDERef xmlns:a16="http://schemas.microsoft.com/office/drawing/2014/main" pred="{00000000-0008-0000-0700-00007E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31" name="Drop Down 384" hidden="1">
          <a:extLst>
            <a:ext uri="{63B3BB69-23CF-44E3-9099-C40C66FF867C}">
              <a14:compatExt xmlns:a14="http://schemas.microsoft.com/office/drawing/2010/main" spid="_x0000_s58752"/>
            </a:ext>
            <a:ext uri="{FF2B5EF4-FFF2-40B4-BE49-F238E27FC236}">
              <a16:creationId xmlns:a16="http://schemas.microsoft.com/office/drawing/2014/main" id="{B9D0E7CB-CFCE-466E-A794-108699A6D666}"/>
            </a:ext>
            <a:ext uri="{147F2762-F138-4A5C-976F-8EAC2B608ADB}">
              <a16:predDERef xmlns:a16="http://schemas.microsoft.com/office/drawing/2014/main" pred="{00000000-0008-0000-0700-00007F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32" name="Drop Down 385" hidden="1">
          <a:extLst>
            <a:ext uri="{63B3BB69-23CF-44E3-9099-C40C66FF867C}">
              <a14:compatExt xmlns:a14="http://schemas.microsoft.com/office/drawing/2010/main" spid="_x0000_s58753"/>
            </a:ext>
            <a:ext uri="{FF2B5EF4-FFF2-40B4-BE49-F238E27FC236}">
              <a16:creationId xmlns:a16="http://schemas.microsoft.com/office/drawing/2014/main" id="{0288A37E-FB1B-4A81-8C8D-49F9FBC5AF38}"/>
            </a:ext>
            <a:ext uri="{147F2762-F138-4A5C-976F-8EAC2B608ADB}">
              <a16:predDERef xmlns:a16="http://schemas.microsoft.com/office/drawing/2014/main" pred="{00000000-0008-0000-0700-000080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33" name="Drop Down 386" hidden="1">
          <a:extLst>
            <a:ext uri="{63B3BB69-23CF-44E3-9099-C40C66FF867C}">
              <a14:compatExt xmlns:a14="http://schemas.microsoft.com/office/drawing/2010/main" spid="_x0000_s58754"/>
            </a:ext>
            <a:ext uri="{FF2B5EF4-FFF2-40B4-BE49-F238E27FC236}">
              <a16:creationId xmlns:a16="http://schemas.microsoft.com/office/drawing/2014/main" id="{77ECD067-168A-4E12-A46A-1E233B5C6848}"/>
            </a:ext>
            <a:ext uri="{147F2762-F138-4A5C-976F-8EAC2B608ADB}">
              <a16:predDERef xmlns:a16="http://schemas.microsoft.com/office/drawing/2014/main" pred="{00000000-0008-0000-0700-000081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34" name="Drop Down 387" hidden="1">
          <a:extLst>
            <a:ext uri="{63B3BB69-23CF-44E3-9099-C40C66FF867C}">
              <a14:compatExt xmlns:a14="http://schemas.microsoft.com/office/drawing/2010/main" spid="_x0000_s58755"/>
            </a:ext>
            <a:ext uri="{FF2B5EF4-FFF2-40B4-BE49-F238E27FC236}">
              <a16:creationId xmlns:a16="http://schemas.microsoft.com/office/drawing/2014/main" id="{79ACE45A-94E9-47D8-9FD7-E6576BE1DF3E}"/>
            </a:ext>
            <a:ext uri="{147F2762-F138-4A5C-976F-8EAC2B608ADB}">
              <a16:predDERef xmlns:a16="http://schemas.microsoft.com/office/drawing/2014/main" pred="{00000000-0008-0000-0700-000082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35" name="Drop Down 388" hidden="1">
          <a:extLst>
            <a:ext uri="{63B3BB69-23CF-44E3-9099-C40C66FF867C}">
              <a14:compatExt xmlns:a14="http://schemas.microsoft.com/office/drawing/2010/main" spid="_x0000_s58756"/>
            </a:ext>
            <a:ext uri="{FF2B5EF4-FFF2-40B4-BE49-F238E27FC236}">
              <a16:creationId xmlns:a16="http://schemas.microsoft.com/office/drawing/2014/main" id="{554AA441-7593-44FD-B08A-AB8FEEB64258}"/>
            </a:ext>
            <a:ext uri="{147F2762-F138-4A5C-976F-8EAC2B608ADB}">
              <a16:predDERef xmlns:a16="http://schemas.microsoft.com/office/drawing/2014/main" pred="{00000000-0008-0000-0700-000083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21</xdr:row>
      <xdr:rowOff>83820</xdr:rowOff>
    </xdr:from>
    <xdr:to>
      <xdr:col>6</xdr:col>
      <xdr:colOff>1249680</xdr:colOff>
      <xdr:row>21</xdr:row>
      <xdr:rowOff>304800</xdr:rowOff>
    </xdr:to>
    <xdr:sp macro="" textlink="">
      <xdr:nvSpPr>
        <xdr:cNvPr id="36" name="Drop Down 389" hidden="1">
          <a:extLst>
            <a:ext uri="{63B3BB69-23CF-44E3-9099-C40C66FF867C}">
              <a14:compatExt xmlns:a14="http://schemas.microsoft.com/office/drawing/2010/main" spid="_x0000_s58757"/>
            </a:ext>
            <a:ext uri="{FF2B5EF4-FFF2-40B4-BE49-F238E27FC236}">
              <a16:creationId xmlns:a16="http://schemas.microsoft.com/office/drawing/2014/main" id="{C9DA7DFE-1A40-4BBC-B351-82D209DA10D3}"/>
            </a:ext>
          </a:extLst>
        </xdr:cNvPr>
        <xdr:cNvSpPr/>
      </xdr:nvSpPr>
      <xdr:spPr bwMode="auto">
        <a:xfrm>
          <a:off x="6059805" y="6970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22</xdr:row>
      <xdr:rowOff>83820</xdr:rowOff>
    </xdr:from>
    <xdr:to>
      <xdr:col>6</xdr:col>
      <xdr:colOff>1249680</xdr:colOff>
      <xdr:row>22</xdr:row>
      <xdr:rowOff>304800</xdr:rowOff>
    </xdr:to>
    <xdr:sp macro="" textlink="">
      <xdr:nvSpPr>
        <xdr:cNvPr id="37" name="Drop Down 390" hidden="1">
          <a:extLst>
            <a:ext uri="{63B3BB69-23CF-44E3-9099-C40C66FF867C}">
              <a14:compatExt xmlns:a14="http://schemas.microsoft.com/office/drawing/2010/main" spid="_x0000_s58758"/>
            </a:ext>
            <a:ext uri="{FF2B5EF4-FFF2-40B4-BE49-F238E27FC236}">
              <a16:creationId xmlns:a16="http://schemas.microsoft.com/office/drawing/2014/main" id="{9BBD46F2-8764-4933-959C-B76FC68177AB}"/>
            </a:ext>
          </a:extLst>
        </xdr:cNvPr>
        <xdr:cNvSpPr/>
      </xdr:nvSpPr>
      <xdr:spPr bwMode="auto">
        <a:xfrm>
          <a:off x="6059805" y="7351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23</xdr:row>
      <xdr:rowOff>83820</xdr:rowOff>
    </xdr:from>
    <xdr:to>
      <xdr:col>6</xdr:col>
      <xdr:colOff>1249680</xdr:colOff>
      <xdr:row>23</xdr:row>
      <xdr:rowOff>304800</xdr:rowOff>
    </xdr:to>
    <xdr:sp macro="" textlink="">
      <xdr:nvSpPr>
        <xdr:cNvPr id="38" name="Drop Down 391" hidden="1">
          <a:extLst>
            <a:ext uri="{63B3BB69-23CF-44E3-9099-C40C66FF867C}">
              <a14:compatExt xmlns:a14="http://schemas.microsoft.com/office/drawing/2010/main" spid="_x0000_s58759"/>
            </a:ext>
            <a:ext uri="{FF2B5EF4-FFF2-40B4-BE49-F238E27FC236}">
              <a16:creationId xmlns:a16="http://schemas.microsoft.com/office/drawing/2014/main" id="{DF317F74-66F7-43A3-A674-74F79EA87F50}"/>
            </a:ext>
          </a:extLst>
        </xdr:cNvPr>
        <xdr:cNvSpPr/>
      </xdr:nvSpPr>
      <xdr:spPr bwMode="auto">
        <a:xfrm>
          <a:off x="6059805" y="7732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24</xdr:row>
      <xdr:rowOff>83820</xdr:rowOff>
    </xdr:from>
    <xdr:to>
      <xdr:col>6</xdr:col>
      <xdr:colOff>1249680</xdr:colOff>
      <xdr:row>24</xdr:row>
      <xdr:rowOff>304800</xdr:rowOff>
    </xdr:to>
    <xdr:sp macro="" textlink="">
      <xdr:nvSpPr>
        <xdr:cNvPr id="39" name="Drop Down 392" hidden="1">
          <a:extLst>
            <a:ext uri="{63B3BB69-23CF-44E3-9099-C40C66FF867C}">
              <a14:compatExt xmlns:a14="http://schemas.microsoft.com/office/drawing/2010/main" spid="_x0000_s58760"/>
            </a:ext>
            <a:ext uri="{FF2B5EF4-FFF2-40B4-BE49-F238E27FC236}">
              <a16:creationId xmlns:a16="http://schemas.microsoft.com/office/drawing/2014/main" id="{D6306C87-3C63-4E67-AAD9-40D097D2CEEF}"/>
            </a:ext>
          </a:extLst>
        </xdr:cNvPr>
        <xdr:cNvSpPr/>
      </xdr:nvSpPr>
      <xdr:spPr bwMode="auto">
        <a:xfrm>
          <a:off x="6059805" y="8113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25</xdr:row>
      <xdr:rowOff>83820</xdr:rowOff>
    </xdr:from>
    <xdr:to>
      <xdr:col>6</xdr:col>
      <xdr:colOff>1249680</xdr:colOff>
      <xdr:row>25</xdr:row>
      <xdr:rowOff>304800</xdr:rowOff>
    </xdr:to>
    <xdr:sp macro="" textlink="">
      <xdr:nvSpPr>
        <xdr:cNvPr id="40" name="Drop Down 393" hidden="1">
          <a:extLst>
            <a:ext uri="{63B3BB69-23CF-44E3-9099-C40C66FF867C}">
              <a14:compatExt xmlns:a14="http://schemas.microsoft.com/office/drawing/2010/main" spid="_x0000_s58761"/>
            </a:ext>
            <a:ext uri="{FF2B5EF4-FFF2-40B4-BE49-F238E27FC236}">
              <a16:creationId xmlns:a16="http://schemas.microsoft.com/office/drawing/2014/main" id="{A7002A5A-D09E-4497-940C-01191709CF95}"/>
            </a:ext>
          </a:extLst>
        </xdr:cNvPr>
        <xdr:cNvSpPr/>
      </xdr:nvSpPr>
      <xdr:spPr bwMode="auto">
        <a:xfrm>
          <a:off x="6059805" y="8494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41" name="Drop Down 394" hidden="1">
          <a:extLst>
            <a:ext uri="{63B3BB69-23CF-44E3-9099-C40C66FF867C}">
              <a14:compatExt xmlns:a14="http://schemas.microsoft.com/office/drawing/2010/main" spid="_x0000_s58762"/>
            </a:ext>
            <a:ext uri="{FF2B5EF4-FFF2-40B4-BE49-F238E27FC236}">
              <a16:creationId xmlns:a16="http://schemas.microsoft.com/office/drawing/2014/main" id="{A4298FF6-0E39-4049-AB7D-E45AD1C327C6}"/>
            </a:ext>
          </a:extLst>
        </xdr:cNvPr>
        <xdr:cNvSpPr/>
      </xdr:nvSpPr>
      <xdr:spPr bwMode="auto">
        <a:xfrm>
          <a:off x="6059805" y="98278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42" name="Drop Down 395" hidden="1">
          <a:extLst>
            <a:ext uri="{63B3BB69-23CF-44E3-9099-C40C66FF867C}">
              <a14:compatExt xmlns:a14="http://schemas.microsoft.com/office/drawing/2010/main" spid="_x0000_s58763"/>
            </a:ext>
            <a:ext uri="{FF2B5EF4-FFF2-40B4-BE49-F238E27FC236}">
              <a16:creationId xmlns:a16="http://schemas.microsoft.com/office/drawing/2014/main" id="{A7BF3F3F-648F-442B-8E98-AB8FA040AA4B}"/>
            </a:ext>
          </a:extLst>
        </xdr:cNvPr>
        <xdr:cNvSpPr/>
      </xdr:nvSpPr>
      <xdr:spPr bwMode="auto">
        <a:xfrm>
          <a:off x="6059805" y="102088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43" name="Drop Down 396" hidden="1">
          <a:extLst>
            <a:ext uri="{63B3BB69-23CF-44E3-9099-C40C66FF867C}">
              <a14:compatExt xmlns:a14="http://schemas.microsoft.com/office/drawing/2010/main" spid="_x0000_s58764"/>
            </a:ext>
            <a:ext uri="{FF2B5EF4-FFF2-40B4-BE49-F238E27FC236}">
              <a16:creationId xmlns:a16="http://schemas.microsoft.com/office/drawing/2014/main" id="{08E753BB-07B8-4095-AD7A-D07B6F123B60}"/>
            </a:ext>
          </a:extLst>
        </xdr:cNvPr>
        <xdr:cNvSpPr/>
      </xdr:nvSpPr>
      <xdr:spPr bwMode="auto">
        <a:xfrm>
          <a:off x="6059805" y="10780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44" name="Drop Down 397" hidden="1">
          <a:extLst>
            <a:ext uri="{63B3BB69-23CF-44E3-9099-C40C66FF867C}">
              <a14:compatExt xmlns:a14="http://schemas.microsoft.com/office/drawing/2010/main" spid="_x0000_s58765"/>
            </a:ext>
            <a:ext uri="{FF2B5EF4-FFF2-40B4-BE49-F238E27FC236}">
              <a16:creationId xmlns:a16="http://schemas.microsoft.com/office/drawing/2014/main" id="{C415C31D-B9EA-489C-BCE1-B8AED3522BE0}"/>
            </a:ext>
          </a:extLst>
        </xdr:cNvPr>
        <xdr:cNvSpPr/>
      </xdr:nvSpPr>
      <xdr:spPr bwMode="auto">
        <a:xfrm>
          <a:off x="6059805" y="128758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45" name="Drop Down 398" hidden="1">
          <a:extLst>
            <a:ext uri="{63B3BB69-23CF-44E3-9099-C40C66FF867C}">
              <a14:compatExt xmlns:a14="http://schemas.microsoft.com/office/drawing/2010/main" spid="_x0000_s58766"/>
            </a:ext>
            <a:ext uri="{FF2B5EF4-FFF2-40B4-BE49-F238E27FC236}">
              <a16:creationId xmlns:a16="http://schemas.microsoft.com/office/drawing/2014/main" id="{2DCB04CB-5C4E-420D-BE63-7083C186207B}"/>
            </a:ext>
          </a:extLst>
        </xdr:cNvPr>
        <xdr:cNvSpPr/>
      </xdr:nvSpPr>
      <xdr:spPr bwMode="auto">
        <a:xfrm>
          <a:off x="6059805" y="1344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46" name="Drop Down 399" hidden="1">
          <a:extLst>
            <a:ext uri="{63B3BB69-23CF-44E3-9099-C40C66FF867C}">
              <a14:compatExt xmlns:a14="http://schemas.microsoft.com/office/drawing/2010/main" spid="_x0000_s58767"/>
            </a:ext>
            <a:ext uri="{FF2B5EF4-FFF2-40B4-BE49-F238E27FC236}">
              <a16:creationId xmlns:a16="http://schemas.microsoft.com/office/drawing/2014/main" id="{647DD806-C9A8-47E8-B404-D13D366997E3}"/>
            </a:ext>
          </a:extLst>
        </xdr:cNvPr>
        <xdr:cNvSpPr/>
      </xdr:nvSpPr>
      <xdr:spPr bwMode="auto">
        <a:xfrm>
          <a:off x="6059805" y="13828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47" name="Drop Down 400" hidden="1">
          <a:extLst>
            <a:ext uri="{63B3BB69-23CF-44E3-9099-C40C66FF867C}">
              <a14:compatExt xmlns:a14="http://schemas.microsoft.com/office/drawing/2010/main" spid="_x0000_s58768"/>
            </a:ext>
            <a:ext uri="{FF2B5EF4-FFF2-40B4-BE49-F238E27FC236}">
              <a16:creationId xmlns:a16="http://schemas.microsoft.com/office/drawing/2014/main" id="{37FF2461-003A-4869-8ECA-2C6543FC4D51}"/>
            </a:ext>
          </a:extLst>
        </xdr:cNvPr>
        <xdr:cNvSpPr/>
      </xdr:nvSpPr>
      <xdr:spPr bwMode="auto">
        <a:xfrm>
          <a:off x="6059805" y="14209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97155</xdr:rowOff>
    </xdr:to>
    <xdr:sp macro="" textlink="">
      <xdr:nvSpPr>
        <xdr:cNvPr id="48" name="Drop Down 401" hidden="1">
          <a:extLst>
            <a:ext uri="{63B3BB69-23CF-44E3-9099-C40C66FF867C}">
              <a14:compatExt xmlns:a14="http://schemas.microsoft.com/office/drawing/2010/main" spid="_x0000_s58769"/>
            </a:ext>
            <a:ext uri="{FF2B5EF4-FFF2-40B4-BE49-F238E27FC236}">
              <a16:creationId xmlns:a16="http://schemas.microsoft.com/office/drawing/2014/main" id="{907EB545-24DC-41A8-8369-07E6AAEEE9BC}"/>
            </a:ext>
          </a:extLst>
        </xdr:cNvPr>
        <xdr:cNvSpPr/>
      </xdr:nvSpPr>
      <xdr:spPr bwMode="auto">
        <a:xfrm>
          <a:off x="6059805" y="14780895"/>
          <a:ext cx="1143000" cy="97155"/>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49" name="Drop Down 402" hidden="1">
          <a:extLst>
            <a:ext uri="{63B3BB69-23CF-44E3-9099-C40C66FF867C}">
              <a14:compatExt xmlns:a14="http://schemas.microsoft.com/office/drawing/2010/main" spid="_x0000_s58770"/>
            </a:ext>
            <a:ext uri="{FF2B5EF4-FFF2-40B4-BE49-F238E27FC236}">
              <a16:creationId xmlns:a16="http://schemas.microsoft.com/office/drawing/2014/main" id="{41D437D2-5D89-44FC-B88F-ADA69731D295}"/>
            </a:ext>
          </a:extLst>
        </xdr:cNvPr>
        <xdr:cNvSpPr/>
      </xdr:nvSpPr>
      <xdr:spPr bwMode="auto">
        <a:xfrm>
          <a:off x="6059805" y="151618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50" name="Drop Down 403" hidden="1">
          <a:extLst>
            <a:ext uri="{63B3BB69-23CF-44E3-9099-C40C66FF867C}">
              <a14:compatExt xmlns:a14="http://schemas.microsoft.com/office/drawing/2010/main" spid="_x0000_s58771"/>
            </a:ext>
            <a:ext uri="{FF2B5EF4-FFF2-40B4-BE49-F238E27FC236}">
              <a16:creationId xmlns:a16="http://schemas.microsoft.com/office/drawing/2014/main" id="{B05930CA-6528-49A4-B818-807D5E9D1244}"/>
            </a:ext>
          </a:extLst>
        </xdr:cNvPr>
        <xdr:cNvSpPr/>
      </xdr:nvSpPr>
      <xdr:spPr bwMode="auto">
        <a:xfrm>
          <a:off x="6059805" y="155428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51" name="Drop Down 404" hidden="1">
          <a:extLst>
            <a:ext uri="{63B3BB69-23CF-44E3-9099-C40C66FF867C}">
              <a14:compatExt xmlns:a14="http://schemas.microsoft.com/office/drawing/2010/main" spid="_x0000_s58772"/>
            </a:ext>
            <a:ext uri="{FF2B5EF4-FFF2-40B4-BE49-F238E27FC236}">
              <a16:creationId xmlns:a16="http://schemas.microsoft.com/office/drawing/2014/main" id="{6000C46F-6652-479B-AA56-CDEF6AA96400}"/>
            </a:ext>
          </a:extLst>
        </xdr:cNvPr>
        <xdr:cNvSpPr/>
      </xdr:nvSpPr>
      <xdr:spPr bwMode="auto">
        <a:xfrm>
          <a:off x="6059805" y="159238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52" name="Drop Down 405" hidden="1">
          <a:extLst>
            <a:ext uri="{63B3BB69-23CF-44E3-9099-C40C66FF867C}">
              <a14:compatExt xmlns:a14="http://schemas.microsoft.com/office/drawing/2010/main" spid="_x0000_s58773"/>
            </a:ext>
            <a:ext uri="{FF2B5EF4-FFF2-40B4-BE49-F238E27FC236}">
              <a16:creationId xmlns:a16="http://schemas.microsoft.com/office/drawing/2014/main" id="{B2C1B441-0FCB-44D8-A86D-0F0A84E5332C}"/>
            </a:ext>
          </a:extLst>
        </xdr:cNvPr>
        <xdr:cNvSpPr/>
      </xdr:nvSpPr>
      <xdr:spPr bwMode="auto">
        <a:xfrm>
          <a:off x="6059805" y="163048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53" name="Drop Down 406" hidden="1">
          <a:extLst>
            <a:ext uri="{63B3BB69-23CF-44E3-9099-C40C66FF867C}">
              <a14:compatExt xmlns:a14="http://schemas.microsoft.com/office/drawing/2010/main" spid="_x0000_s58774"/>
            </a:ext>
            <a:ext uri="{FF2B5EF4-FFF2-40B4-BE49-F238E27FC236}">
              <a16:creationId xmlns:a16="http://schemas.microsoft.com/office/drawing/2014/main" id="{134187BD-AD68-4B6D-AD41-9D64A3260071}"/>
            </a:ext>
          </a:extLst>
        </xdr:cNvPr>
        <xdr:cNvSpPr/>
      </xdr:nvSpPr>
      <xdr:spPr bwMode="auto">
        <a:xfrm>
          <a:off x="6059805" y="170668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54" name="Drop Down 407" hidden="1">
          <a:extLst>
            <a:ext uri="{63B3BB69-23CF-44E3-9099-C40C66FF867C}">
              <a14:compatExt xmlns:a14="http://schemas.microsoft.com/office/drawing/2010/main" spid="_x0000_s58775"/>
            </a:ext>
            <a:ext uri="{FF2B5EF4-FFF2-40B4-BE49-F238E27FC236}">
              <a16:creationId xmlns:a16="http://schemas.microsoft.com/office/drawing/2014/main" id="{BDEECB5D-F48F-4796-BF25-A5102E24A51C}"/>
            </a:ext>
          </a:extLst>
        </xdr:cNvPr>
        <xdr:cNvSpPr/>
      </xdr:nvSpPr>
      <xdr:spPr bwMode="auto">
        <a:xfrm>
          <a:off x="6059805" y="174478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55" name="Drop Down 408" hidden="1">
          <a:extLst>
            <a:ext uri="{63B3BB69-23CF-44E3-9099-C40C66FF867C}">
              <a14:compatExt xmlns:a14="http://schemas.microsoft.com/office/drawing/2010/main" spid="_x0000_s58776"/>
            </a:ext>
            <a:ext uri="{FF2B5EF4-FFF2-40B4-BE49-F238E27FC236}">
              <a16:creationId xmlns:a16="http://schemas.microsoft.com/office/drawing/2014/main" id="{DBE85F94-60E0-4C65-A0EB-15662526410A}"/>
            </a:ext>
          </a:extLst>
        </xdr:cNvPr>
        <xdr:cNvSpPr/>
      </xdr:nvSpPr>
      <xdr:spPr bwMode="auto">
        <a:xfrm>
          <a:off x="6059805" y="178288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56" name="Drop Down 409" hidden="1">
          <a:extLst>
            <a:ext uri="{63B3BB69-23CF-44E3-9099-C40C66FF867C}">
              <a14:compatExt xmlns:a14="http://schemas.microsoft.com/office/drawing/2010/main" spid="_x0000_s58777"/>
            </a:ext>
            <a:ext uri="{FF2B5EF4-FFF2-40B4-BE49-F238E27FC236}">
              <a16:creationId xmlns:a16="http://schemas.microsoft.com/office/drawing/2014/main" id="{EBEF20CC-0710-41C3-9C90-B997490A4DBB}"/>
            </a:ext>
          </a:extLst>
        </xdr:cNvPr>
        <xdr:cNvSpPr/>
      </xdr:nvSpPr>
      <xdr:spPr bwMode="auto">
        <a:xfrm>
          <a:off x="6059805" y="182098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57" name="Drop Down 410" hidden="1">
          <a:extLst>
            <a:ext uri="{63B3BB69-23CF-44E3-9099-C40C66FF867C}">
              <a14:compatExt xmlns:a14="http://schemas.microsoft.com/office/drawing/2010/main" spid="_x0000_s58778"/>
            </a:ext>
            <a:ext uri="{FF2B5EF4-FFF2-40B4-BE49-F238E27FC236}">
              <a16:creationId xmlns:a16="http://schemas.microsoft.com/office/drawing/2014/main" id="{BBC9E67D-D6C7-4433-8411-A25A9FF5384D}"/>
            </a:ext>
            <a:ext uri="{147F2762-F138-4A5C-976F-8EAC2B608ADB}">
              <a16:predDERef xmlns:a16="http://schemas.microsoft.com/office/drawing/2014/main" pred="{00000000-0008-0000-0700-000099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58" name="Drop Down 411" hidden="1">
          <a:extLst>
            <a:ext uri="{63B3BB69-23CF-44E3-9099-C40C66FF867C}">
              <a14:compatExt xmlns:a14="http://schemas.microsoft.com/office/drawing/2010/main" spid="_x0000_s58779"/>
            </a:ext>
            <a:ext uri="{FF2B5EF4-FFF2-40B4-BE49-F238E27FC236}">
              <a16:creationId xmlns:a16="http://schemas.microsoft.com/office/drawing/2014/main" id="{BFF962EF-C9DF-4A4D-B8AB-9C61AD7F5EA8}"/>
            </a:ext>
            <a:ext uri="{147F2762-F138-4A5C-976F-8EAC2B608ADB}">
              <a16:predDERef xmlns:a16="http://schemas.microsoft.com/office/drawing/2014/main" pred="{00000000-0008-0000-0700-00009A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59" name="Drop Down 412" hidden="1">
          <a:extLst>
            <a:ext uri="{63B3BB69-23CF-44E3-9099-C40C66FF867C}">
              <a14:compatExt xmlns:a14="http://schemas.microsoft.com/office/drawing/2010/main" spid="_x0000_s58780"/>
            </a:ext>
            <a:ext uri="{FF2B5EF4-FFF2-40B4-BE49-F238E27FC236}">
              <a16:creationId xmlns:a16="http://schemas.microsoft.com/office/drawing/2014/main" id="{A63DF591-C325-4541-8807-986D0B50ECDB}"/>
            </a:ext>
            <a:ext uri="{147F2762-F138-4A5C-976F-8EAC2B608ADB}">
              <a16:predDERef xmlns:a16="http://schemas.microsoft.com/office/drawing/2014/main" pred="{00000000-0008-0000-0700-00009B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60" name="Drop Down 413" hidden="1">
          <a:extLst>
            <a:ext uri="{63B3BB69-23CF-44E3-9099-C40C66FF867C}">
              <a14:compatExt xmlns:a14="http://schemas.microsoft.com/office/drawing/2010/main" spid="_x0000_s58781"/>
            </a:ext>
            <a:ext uri="{FF2B5EF4-FFF2-40B4-BE49-F238E27FC236}">
              <a16:creationId xmlns:a16="http://schemas.microsoft.com/office/drawing/2014/main" id="{E258527F-AFC7-458D-99CC-0CBF5758BEBC}"/>
            </a:ext>
            <a:ext uri="{147F2762-F138-4A5C-976F-8EAC2B608ADB}">
              <a16:predDERef xmlns:a16="http://schemas.microsoft.com/office/drawing/2014/main" pred="{00000000-0008-0000-0700-00009C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61" name="Drop Down 414" hidden="1">
          <a:extLst>
            <a:ext uri="{63B3BB69-23CF-44E3-9099-C40C66FF867C}">
              <a14:compatExt xmlns:a14="http://schemas.microsoft.com/office/drawing/2010/main" spid="_x0000_s58782"/>
            </a:ext>
            <a:ext uri="{FF2B5EF4-FFF2-40B4-BE49-F238E27FC236}">
              <a16:creationId xmlns:a16="http://schemas.microsoft.com/office/drawing/2014/main" id="{6F9208BE-F92D-4160-9B53-90D10DE92D45}"/>
            </a:ext>
            <a:ext uri="{147F2762-F138-4A5C-976F-8EAC2B608ADB}">
              <a16:predDERef xmlns:a16="http://schemas.microsoft.com/office/drawing/2014/main" pred="{00000000-0008-0000-0700-00009D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62" name="Drop Down 415" hidden="1">
          <a:extLst>
            <a:ext uri="{63B3BB69-23CF-44E3-9099-C40C66FF867C}">
              <a14:compatExt xmlns:a14="http://schemas.microsoft.com/office/drawing/2010/main" spid="_x0000_s58783"/>
            </a:ext>
            <a:ext uri="{FF2B5EF4-FFF2-40B4-BE49-F238E27FC236}">
              <a16:creationId xmlns:a16="http://schemas.microsoft.com/office/drawing/2014/main" id="{0D2E48D3-1D8F-4947-891F-2B7339B6DC24}"/>
            </a:ext>
            <a:ext uri="{147F2762-F138-4A5C-976F-8EAC2B608ADB}">
              <a16:predDERef xmlns:a16="http://schemas.microsoft.com/office/drawing/2014/main" pred="{00000000-0008-0000-0700-00009E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63" name="Drop Down 416" hidden="1">
          <a:extLst>
            <a:ext uri="{63B3BB69-23CF-44E3-9099-C40C66FF867C}">
              <a14:compatExt xmlns:a14="http://schemas.microsoft.com/office/drawing/2010/main" spid="_x0000_s58784"/>
            </a:ext>
            <a:ext uri="{FF2B5EF4-FFF2-40B4-BE49-F238E27FC236}">
              <a16:creationId xmlns:a16="http://schemas.microsoft.com/office/drawing/2014/main" id="{D3FD6ED3-1EE0-46B8-AB8F-1BFDB6E12B62}"/>
            </a:ext>
            <a:ext uri="{147F2762-F138-4A5C-976F-8EAC2B608ADB}">
              <a16:predDERef xmlns:a16="http://schemas.microsoft.com/office/drawing/2014/main" pred="{00000000-0008-0000-0700-00009F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97155</xdr:rowOff>
    </xdr:to>
    <xdr:sp macro="" textlink="">
      <xdr:nvSpPr>
        <xdr:cNvPr id="64" name="Drop Down 417" hidden="1">
          <a:extLst>
            <a:ext uri="{63B3BB69-23CF-44E3-9099-C40C66FF867C}">
              <a14:compatExt xmlns:a14="http://schemas.microsoft.com/office/drawing/2010/main" spid="_x0000_s58785"/>
            </a:ext>
            <a:ext uri="{FF2B5EF4-FFF2-40B4-BE49-F238E27FC236}">
              <a16:creationId xmlns:a16="http://schemas.microsoft.com/office/drawing/2014/main" id="{11BB2BC4-35CB-44C2-94C9-390CE2EB909D}"/>
            </a:ext>
            <a:ext uri="{147F2762-F138-4A5C-976F-8EAC2B608ADB}">
              <a16:predDERef xmlns:a16="http://schemas.microsoft.com/office/drawing/2014/main" pred="{00000000-0008-0000-0700-0000A0E50000}"/>
            </a:ext>
          </a:extLst>
        </xdr:cNvPr>
        <xdr:cNvSpPr/>
      </xdr:nvSpPr>
      <xdr:spPr bwMode="auto">
        <a:xfrm>
          <a:off x="6059805" y="18507075"/>
          <a:ext cx="1143000" cy="97155"/>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65" name="Drop Down 418" hidden="1">
          <a:extLst>
            <a:ext uri="{63B3BB69-23CF-44E3-9099-C40C66FF867C}">
              <a14:compatExt xmlns:a14="http://schemas.microsoft.com/office/drawing/2010/main" spid="_x0000_s58786"/>
            </a:ext>
            <a:ext uri="{FF2B5EF4-FFF2-40B4-BE49-F238E27FC236}">
              <a16:creationId xmlns:a16="http://schemas.microsoft.com/office/drawing/2014/main" id="{AFD0F654-2E7F-4FF1-AFFA-16CC3631B914}"/>
            </a:ext>
            <a:ext uri="{147F2762-F138-4A5C-976F-8EAC2B608ADB}">
              <a16:predDERef xmlns:a16="http://schemas.microsoft.com/office/drawing/2014/main" pred="{00000000-0008-0000-0700-0000A1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66" name="Drop Down 419" hidden="1">
          <a:extLst>
            <a:ext uri="{63B3BB69-23CF-44E3-9099-C40C66FF867C}">
              <a14:compatExt xmlns:a14="http://schemas.microsoft.com/office/drawing/2010/main" spid="_x0000_s58787"/>
            </a:ext>
            <a:ext uri="{FF2B5EF4-FFF2-40B4-BE49-F238E27FC236}">
              <a16:creationId xmlns:a16="http://schemas.microsoft.com/office/drawing/2014/main" id="{36681846-A748-4567-A1D5-6D4988EBFACE}"/>
            </a:ext>
            <a:ext uri="{147F2762-F138-4A5C-976F-8EAC2B608ADB}">
              <a16:predDERef xmlns:a16="http://schemas.microsoft.com/office/drawing/2014/main" pred="{00000000-0008-0000-0700-0000A2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67" name="Drop Down 420" hidden="1">
          <a:extLst>
            <a:ext uri="{63B3BB69-23CF-44E3-9099-C40C66FF867C}">
              <a14:compatExt xmlns:a14="http://schemas.microsoft.com/office/drawing/2010/main" spid="_x0000_s58788"/>
            </a:ext>
            <a:ext uri="{FF2B5EF4-FFF2-40B4-BE49-F238E27FC236}">
              <a16:creationId xmlns:a16="http://schemas.microsoft.com/office/drawing/2014/main" id="{DAC8B28D-BE26-451A-BACD-DC65C020E580}"/>
            </a:ext>
            <a:ext uri="{147F2762-F138-4A5C-976F-8EAC2B608ADB}">
              <a16:predDERef xmlns:a16="http://schemas.microsoft.com/office/drawing/2014/main" pred="{00000000-0008-0000-0700-0000A3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68" name="Drop Down 421" hidden="1">
          <a:extLst>
            <a:ext uri="{63B3BB69-23CF-44E3-9099-C40C66FF867C}">
              <a14:compatExt xmlns:a14="http://schemas.microsoft.com/office/drawing/2010/main" spid="_x0000_s58789"/>
            </a:ext>
            <a:ext uri="{FF2B5EF4-FFF2-40B4-BE49-F238E27FC236}">
              <a16:creationId xmlns:a16="http://schemas.microsoft.com/office/drawing/2014/main" id="{E437133C-4F9D-4A7C-8BCB-E5EB2820D237}"/>
            </a:ext>
            <a:ext uri="{147F2762-F138-4A5C-976F-8EAC2B608ADB}">
              <a16:predDERef xmlns:a16="http://schemas.microsoft.com/office/drawing/2014/main" pred="{00000000-0008-0000-0700-0000A4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69" name="Drop Down 422" hidden="1">
          <a:extLst>
            <a:ext uri="{63B3BB69-23CF-44E3-9099-C40C66FF867C}">
              <a14:compatExt xmlns:a14="http://schemas.microsoft.com/office/drawing/2010/main" spid="_x0000_s58790"/>
            </a:ext>
            <a:ext uri="{FF2B5EF4-FFF2-40B4-BE49-F238E27FC236}">
              <a16:creationId xmlns:a16="http://schemas.microsoft.com/office/drawing/2014/main" id="{5DA0B2E8-81AC-40F4-ABE5-F2EACEDD9745}"/>
            </a:ext>
            <a:ext uri="{147F2762-F138-4A5C-976F-8EAC2B608ADB}">
              <a16:predDERef xmlns:a16="http://schemas.microsoft.com/office/drawing/2014/main" pred="{00000000-0008-0000-0700-0000A5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70" name="Drop Down 423" hidden="1">
          <a:extLst>
            <a:ext uri="{63B3BB69-23CF-44E3-9099-C40C66FF867C}">
              <a14:compatExt xmlns:a14="http://schemas.microsoft.com/office/drawing/2010/main" spid="_x0000_s58791"/>
            </a:ext>
            <a:ext uri="{FF2B5EF4-FFF2-40B4-BE49-F238E27FC236}">
              <a16:creationId xmlns:a16="http://schemas.microsoft.com/office/drawing/2014/main" id="{71184A8C-CB3F-4D93-B055-76C5733CC618}"/>
            </a:ext>
            <a:ext uri="{147F2762-F138-4A5C-976F-8EAC2B608ADB}">
              <a16:predDERef xmlns:a16="http://schemas.microsoft.com/office/drawing/2014/main" pred="{00000000-0008-0000-0700-0000A6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71" name="Drop Down 424" hidden="1">
          <a:extLst>
            <a:ext uri="{63B3BB69-23CF-44E3-9099-C40C66FF867C}">
              <a14:compatExt xmlns:a14="http://schemas.microsoft.com/office/drawing/2010/main" spid="_x0000_s58792"/>
            </a:ext>
            <a:ext uri="{FF2B5EF4-FFF2-40B4-BE49-F238E27FC236}">
              <a16:creationId xmlns:a16="http://schemas.microsoft.com/office/drawing/2014/main" id="{B4FFD539-06E0-4E54-B631-2F7A12067424}"/>
            </a:ext>
            <a:ext uri="{147F2762-F138-4A5C-976F-8EAC2B608ADB}">
              <a16:predDERef xmlns:a16="http://schemas.microsoft.com/office/drawing/2014/main" pred="{00000000-0008-0000-0700-0000A7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72" name="Drop Down 425" hidden="1">
          <a:extLst>
            <a:ext uri="{63B3BB69-23CF-44E3-9099-C40C66FF867C}">
              <a14:compatExt xmlns:a14="http://schemas.microsoft.com/office/drawing/2010/main" spid="_x0000_s58793"/>
            </a:ext>
            <a:ext uri="{FF2B5EF4-FFF2-40B4-BE49-F238E27FC236}">
              <a16:creationId xmlns:a16="http://schemas.microsoft.com/office/drawing/2014/main" id="{13E133C2-CFD9-490C-B19E-B3848D54D08C}"/>
            </a:ext>
            <a:ext uri="{147F2762-F138-4A5C-976F-8EAC2B608ADB}">
              <a16:predDERef xmlns:a16="http://schemas.microsoft.com/office/drawing/2014/main" pred="{00000000-0008-0000-0700-0000A8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73" name="Drop Down 426" hidden="1">
          <a:extLst>
            <a:ext uri="{63B3BB69-23CF-44E3-9099-C40C66FF867C}">
              <a14:compatExt xmlns:a14="http://schemas.microsoft.com/office/drawing/2010/main" spid="_x0000_s58794"/>
            </a:ext>
            <a:ext uri="{FF2B5EF4-FFF2-40B4-BE49-F238E27FC236}">
              <a16:creationId xmlns:a16="http://schemas.microsoft.com/office/drawing/2014/main" id="{A2127CB5-EEC6-4143-A34C-A8E6F2D3E445}"/>
            </a:ext>
            <a:ext uri="{147F2762-F138-4A5C-976F-8EAC2B608ADB}">
              <a16:predDERef xmlns:a16="http://schemas.microsoft.com/office/drawing/2014/main" pred="{00000000-0008-0000-0700-0000A9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74" name="Drop Down 427" hidden="1">
          <a:extLst>
            <a:ext uri="{63B3BB69-23CF-44E3-9099-C40C66FF867C}">
              <a14:compatExt xmlns:a14="http://schemas.microsoft.com/office/drawing/2010/main" spid="_x0000_s58795"/>
            </a:ext>
            <a:ext uri="{FF2B5EF4-FFF2-40B4-BE49-F238E27FC236}">
              <a16:creationId xmlns:a16="http://schemas.microsoft.com/office/drawing/2014/main" id="{096F1FBE-8113-436A-9170-3567A85854D1}"/>
            </a:ext>
            <a:ext uri="{147F2762-F138-4A5C-976F-8EAC2B608ADB}">
              <a16:predDERef xmlns:a16="http://schemas.microsoft.com/office/drawing/2014/main" pred="{00000000-0008-0000-0700-0000AA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75" name="Drop Down 428" hidden="1">
          <a:extLst>
            <a:ext uri="{63B3BB69-23CF-44E3-9099-C40C66FF867C}">
              <a14:compatExt xmlns:a14="http://schemas.microsoft.com/office/drawing/2010/main" spid="_x0000_s58796"/>
            </a:ext>
            <a:ext uri="{FF2B5EF4-FFF2-40B4-BE49-F238E27FC236}">
              <a16:creationId xmlns:a16="http://schemas.microsoft.com/office/drawing/2014/main" id="{B7136C5D-FC2E-4301-8C0C-A9414817F1D0}"/>
            </a:ext>
            <a:ext uri="{147F2762-F138-4A5C-976F-8EAC2B608ADB}">
              <a16:predDERef xmlns:a16="http://schemas.microsoft.com/office/drawing/2014/main" pred="{00000000-0008-0000-0700-0000AB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76" name="Drop Down 429" hidden="1">
          <a:extLst>
            <a:ext uri="{63B3BB69-23CF-44E3-9099-C40C66FF867C}">
              <a14:compatExt xmlns:a14="http://schemas.microsoft.com/office/drawing/2010/main" spid="_x0000_s58797"/>
            </a:ext>
            <a:ext uri="{FF2B5EF4-FFF2-40B4-BE49-F238E27FC236}">
              <a16:creationId xmlns:a16="http://schemas.microsoft.com/office/drawing/2014/main" id="{6D257EFD-A8A9-4ED1-ADF3-D47CA6AACFA7}"/>
            </a:ext>
            <a:ext uri="{147F2762-F138-4A5C-976F-8EAC2B608ADB}">
              <a16:predDERef xmlns:a16="http://schemas.microsoft.com/office/drawing/2014/main" pred="{00000000-0008-0000-0700-0000AC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77" name="Drop Down 430" hidden="1">
          <a:extLst>
            <a:ext uri="{63B3BB69-23CF-44E3-9099-C40C66FF867C}">
              <a14:compatExt xmlns:a14="http://schemas.microsoft.com/office/drawing/2010/main" spid="_x0000_s58798"/>
            </a:ext>
            <a:ext uri="{FF2B5EF4-FFF2-40B4-BE49-F238E27FC236}">
              <a16:creationId xmlns:a16="http://schemas.microsoft.com/office/drawing/2014/main" id="{24E2EE75-DAC7-46C9-8361-1BA42F2DC6F5}"/>
            </a:ext>
            <a:ext uri="{147F2762-F138-4A5C-976F-8EAC2B608ADB}">
              <a16:predDERef xmlns:a16="http://schemas.microsoft.com/office/drawing/2014/main" pred="{00000000-0008-0000-0700-0000AD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78" name="Drop Down 431" hidden="1">
          <a:extLst>
            <a:ext uri="{63B3BB69-23CF-44E3-9099-C40C66FF867C}">
              <a14:compatExt xmlns:a14="http://schemas.microsoft.com/office/drawing/2010/main" spid="_x0000_s58799"/>
            </a:ext>
            <a:ext uri="{FF2B5EF4-FFF2-40B4-BE49-F238E27FC236}">
              <a16:creationId xmlns:a16="http://schemas.microsoft.com/office/drawing/2014/main" id="{681BD55B-9AE0-440A-A55F-387EB86C01C3}"/>
            </a:ext>
            <a:ext uri="{147F2762-F138-4A5C-976F-8EAC2B608ADB}">
              <a16:predDERef xmlns:a16="http://schemas.microsoft.com/office/drawing/2014/main" pred="{00000000-0008-0000-0700-0000AE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79" name="Drop Down 432" hidden="1">
          <a:extLst>
            <a:ext uri="{63B3BB69-23CF-44E3-9099-C40C66FF867C}">
              <a14:compatExt xmlns:a14="http://schemas.microsoft.com/office/drawing/2010/main" spid="_x0000_s58800"/>
            </a:ext>
            <a:ext uri="{FF2B5EF4-FFF2-40B4-BE49-F238E27FC236}">
              <a16:creationId xmlns:a16="http://schemas.microsoft.com/office/drawing/2014/main" id="{56A7C0E1-7CBC-442E-92CA-C1BA56383E69}"/>
            </a:ext>
            <a:ext uri="{147F2762-F138-4A5C-976F-8EAC2B608ADB}">
              <a16:predDERef xmlns:a16="http://schemas.microsoft.com/office/drawing/2014/main" pred="{00000000-0008-0000-0700-0000AF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80" name="Drop Down 433" hidden="1">
          <a:extLst>
            <a:ext uri="{63B3BB69-23CF-44E3-9099-C40C66FF867C}">
              <a14:compatExt xmlns:a14="http://schemas.microsoft.com/office/drawing/2010/main" spid="_x0000_s58801"/>
            </a:ext>
            <a:ext uri="{FF2B5EF4-FFF2-40B4-BE49-F238E27FC236}">
              <a16:creationId xmlns:a16="http://schemas.microsoft.com/office/drawing/2014/main" id="{71865278-0433-4384-AAA9-656062E06823}"/>
            </a:ext>
            <a:ext uri="{147F2762-F138-4A5C-976F-8EAC2B608ADB}">
              <a16:predDERef xmlns:a16="http://schemas.microsoft.com/office/drawing/2014/main" pred="{00000000-0008-0000-0700-0000B0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81" name="Drop Down 434" hidden="1">
          <a:extLst>
            <a:ext uri="{63B3BB69-23CF-44E3-9099-C40C66FF867C}">
              <a14:compatExt xmlns:a14="http://schemas.microsoft.com/office/drawing/2010/main" spid="_x0000_s58802"/>
            </a:ext>
            <a:ext uri="{FF2B5EF4-FFF2-40B4-BE49-F238E27FC236}">
              <a16:creationId xmlns:a16="http://schemas.microsoft.com/office/drawing/2014/main" id="{DA112921-2952-4427-987B-EDEA53CEDE53}"/>
            </a:ext>
            <a:ext uri="{147F2762-F138-4A5C-976F-8EAC2B608ADB}">
              <a16:predDERef xmlns:a16="http://schemas.microsoft.com/office/drawing/2014/main" pred="{00000000-0008-0000-0700-0000B1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82" name="Drop Down 435" hidden="1">
          <a:extLst>
            <a:ext uri="{63B3BB69-23CF-44E3-9099-C40C66FF867C}">
              <a14:compatExt xmlns:a14="http://schemas.microsoft.com/office/drawing/2010/main" spid="_x0000_s58803"/>
            </a:ext>
            <a:ext uri="{FF2B5EF4-FFF2-40B4-BE49-F238E27FC236}">
              <a16:creationId xmlns:a16="http://schemas.microsoft.com/office/drawing/2014/main" id="{4590BC1C-596B-4E99-92A5-7537ECC057A5}"/>
            </a:ext>
            <a:ext uri="{147F2762-F138-4A5C-976F-8EAC2B608ADB}">
              <a16:predDERef xmlns:a16="http://schemas.microsoft.com/office/drawing/2014/main" pred="{00000000-0008-0000-0700-0000B2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83" name="Drop Down 436" hidden="1">
          <a:extLst>
            <a:ext uri="{63B3BB69-23CF-44E3-9099-C40C66FF867C}">
              <a14:compatExt xmlns:a14="http://schemas.microsoft.com/office/drawing/2010/main" spid="_x0000_s58804"/>
            </a:ext>
            <a:ext uri="{FF2B5EF4-FFF2-40B4-BE49-F238E27FC236}">
              <a16:creationId xmlns:a16="http://schemas.microsoft.com/office/drawing/2014/main" id="{1E917D90-DE2A-4109-AD9E-BFAE6673172B}"/>
            </a:ext>
            <a:ext uri="{147F2762-F138-4A5C-976F-8EAC2B608ADB}">
              <a16:predDERef xmlns:a16="http://schemas.microsoft.com/office/drawing/2014/main" pred="{00000000-0008-0000-0700-0000B3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84" name="Drop Down 437" hidden="1">
          <a:extLst>
            <a:ext uri="{63B3BB69-23CF-44E3-9099-C40C66FF867C}">
              <a14:compatExt xmlns:a14="http://schemas.microsoft.com/office/drawing/2010/main" spid="_x0000_s58805"/>
            </a:ext>
            <a:ext uri="{FF2B5EF4-FFF2-40B4-BE49-F238E27FC236}">
              <a16:creationId xmlns:a16="http://schemas.microsoft.com/office/drawing/2014/main" id="{0418AAA1-98A3-46F6-8366-F26C60F10F13}"/>
            </a:ext>
            <a:ext uri="{147F2762-F138-4A5C-976F-8EAC2B608ADB}">
              <a16:predDERef xmlns:a16="http://schemas.microsoft.com/office/drawing/2014/main" pred="{00000000-0008-0000-0700-0000B4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85" name="Drop Down 438" hidden="1">
          <a:extLst>
            <a:ext uri="{63B3BB69-23CF-44E3-9099-C40C66FF867C}">
              <a14:compatExt xmlns:a14="http://schemas.microsoft.com/office/drawing/2010/main" spid="_x0000_s58806"/>
            </a:ext>
            <a:ext uri="{FF2B5EF4-FFF2-40B4-BE49-F238E27FC236}">
              <a16:creationId xmlns:a16="http://schemas.microsoft.com/office/drawing/2014/main" id="{C3CFC149-D0D7-48A6-8BB9-B0E463BCC817}"/>
            </a:ext>
            <a:ext uri="{147F2762-F138-4A5C-976F-8EAC2B608ADB}">
              <a16:predDERef xmlns:a16="http://schemas.microsoft.com/office/drawing/2014/main" pred="{00000000-0008-0000-0700-0000B5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86" name="Drop Down 439" hidden="1">
          <a:extLst>
            <a:ext uri="{63B3BB69-23CF-44E3-9099-C40C66FF867C}">
              <a14:compatExt xmlns:a14="http://schemas.microsoft.com/office/drawing/2010/main" spid="_x0000_s58807"/>
            </a:ext>
            <a:ext uri="{FF2B5EF4-FFF2-40B4-BE49-F238E27FC236}">
              <a16:creationId xmlns:a16="http://schemas.microsoft.com/office/drawing/2014/main" id="{ED1DD544-2F10-40AA-AB28-E00747529056}"/>
            </a:ext>
            <a:ext uri="{147F2762-F138-4A5C-976F-8EAC2B608ADB}">
              <a16:predDERef xmlns:a16="http://schemas.microsoft.com/office/drawing/2014/main" pred="{00000000-0008-0000-0700-0000B6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87" name="Drop Down 440" hidden="1">
          <a:extLst>
            <a:ext uri="{63B3BB69-23CF-44E3-9099-C40C66FF867C}">
              <a14:compatExt xmlns:a14="http://schemas.microsoft.com/office/drawing/2010/main" spid="_x0000_s58808"/>
            </a:ext>
            <a:ext uri="{FF2B5EF4-FFF2-40B4-BE49-F238E27FC236}">
              <a16:creationId xmlns:a16="http://schemas.microsoft.com/office/drawing/2014/main" id="{1107AED4-7CBA-4987-A2C2-5AC18DC8C1F8}"/>
            </a:ext>
            <a:ext uri="{147F2762-F138-4A5C-976F-8EAC2B608ADB}">
              <a16:predDERef xmlns:a16="http://schemas.microsoft.com/office/drawing/2014/main" pred="{00000000-0008-0000-0700-0000B7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88" name="Drop Down 441" hidden="1">
          <a:extLst>
            <a:ext uri="{63B3BB69-23CF-44E3-9099-C40C66FF867C}">
              <a14:compatExt xmlns:a14="http://schemas.microsoft.com/office/drawing/2010/main" spid="_x0000_s58809"/>
            </a:ext>
            <a:ext uri="{FF2B5EF4-FFF2-40B4-BE49-F238E27FC236}">
              <a16:creationId xmlns:a16="http://schemas.microsoft.com/office/drawing/2014/main" id="{62E2DCD8-7E7E-422E-BD02-2AF85568F6EE}"/>
            </a:ext>
            <a:ext uri="{147F2762-F138-4A5C-976F-8EAC2B608ADB}">
              <a16:predDERef xmlns:a16="http://schemas.microsoft.com/office/drawing/2014/main" pred="{00000000-0008-0000-0700-0000B8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97155</xdr:rowOff>
    </xdr:to>
    <xdr:sp macro="" textlink="">
      <xdr:nvSpPr>
        <xdr:cNvPr id="89" name="Drop Down 442" hidden="1">
          <a:extLst>
            <a:ext uri="{63B3BB69-23CF-44E3-9099-C40C66FF867C}">
              <a14:compatExt xmlns:a14="http://schemas.microsoft.com/office/drawing/2010/main" spid="_x0000_s58810"/>
            </a:ext>
            <a:ext uri="{FF2B5EF4-FFF2-40B4-BE49-F238E27FC236}">
              <a16:creationId xmlns:a16="http://schemas.microsoft.com/office/drawing/2014/main" id="{FB2C33FC-25CF-485D-841B-458B483EF1CC}"/>
            </a:ext>
            <a:ext uri="{147F2762-F138-4A5C-976F-8EAC2B608ADB}">
              <a16:predDERef xmlns:a16="http://schemas.microsoft.com/office/drawing/2014/main" pred="{00000000-0008-0000-0700-0000B9E50000}"/>
            </a:ext>
          </a:extLst>
        </xdr:cNvPr>
        <xdr:cNvSpPr/>
      </xdr:nvSpPr>
      <xdr:spPr bwMode="auto">
        <a:xfrm>
          <a:off x="6059805" y="18507075"/>
          <a:ext cx="1143000" cy="97155"/>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90" name="Drop Down 443" hidden="1">
          <a:extLst>
            <a:ext uri="{63B3BB69-23CF-44E3-9099-C40C66FF867C}">
              <a14:compatExt xmlns:a14="http://schemas.microsoft.com/office/drawing/2010/main" spid="_x0000_s58811"/>
            </a:ext>
            <a:ext uri="{FF2B5EF4-FFF2-40B4-BE49-F238E27FC236}">
              <a16:creationId xmlns:a16="http://schemas.microsoft.com/office/drawing/2014/main" id="{FDC859CB-8BAD-42EE-BBE8-9643011E9ED1}"/>
            </a:ext>
            <a:ext uri="{147F2762-F138-4A5C-976F-8EAC2B608ADB}">
              <a16:predDERef xmlns:a16="http://schemas.microsoft.com/office/drawing/2014/main" pred="{00000000-0008-0000-0700-0000BA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91" name="Drop Down 444" hidden="1">
          <a:extLst>
            <a:ext uri="{63B3BB69-23CF-44E3-9099-C40C66FF867C}">
              <a14:compatExt xmlns:a14="http://schemas.microsoft.com/office/drawing/2010/main" spid="_x0000_s58812"/>
            </a:ext>
            <a:ext uri="{FF2B5EF4-FFF2-40B4-BE49-F238E27FC236}">
              <a16:creationId xmlns:a16="http://schemas.microsoft.com/office/drawing/2014/main" id="{AD30F218-9278-45A3-BC0C-6B3A5A76F39B}"/>
            </a:ext>
            <a:ext uri="{147F2762-F138-4A5C-976F-8EAC2B608ADB}">
              <a16:predDERef xmlns:a16="http://schemas.microsoft.com/office/drawing/2014/main" pred="{00000000-0008-0000-0700-0000BB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97155</xdr:rowOff>
    </xdr:to>
    <xdr:sp macro="" textlink="">
      <xdr:nvSpPr>
        <xdr:cNvPr id="92" name="Drop Down 445" hidden="1">
          <a:extLst>
            <a:ext uri="{63B3BB69-23CF-44E3-9099-C40C66FF867C}">
              <a14:compatExt xmlns:a14="http://schemas.microsoft.com/office/drawing/2010/main" spid="_x0000_s58813"/>
            </a:ext>
            <a:ext uri="{FF2B5EF4-FFF2-40B4-BE49-F238E27FC236}">
              <a16:creationId xmlns:a16="http://schemas.microsoft.com/office/drawing/2014/main" id="{8A3084DD-53FB-450A-9744-62B3479FBBFE}"/>
            </a:ext>
            <a:ext uri="{147F2762-F138-4A5C-976F-8EAC2B608ADB}">
              <a16:predDERef xmlns:a16="http://schemas.microsoft.com/office/drawing/2014/main" pred="{00000000-0008-0000-0700-0000BCE50000}"/>
            </a:ext>
          </a:extLst>
        </xdr:cNvPr>
        <xdr:cNvSpPr/>
      </xdr:nvSpPr>
      <xdr:spPr bwMode="auto">
        <a:xfrm>
          <a:off x="6059805" y="18507075"/>
          <a:ext cx="1143000" cy="97155"/>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93" name="Drop Down 446" hidden="1">
          <a:extLst>
            <a:ext uri="{63B3BB69-23CF-44E3-9099-C40C66FF867C}">
              <a14:compatExt xmlns:a14="http://schemas.microsoft.com/office/drawing/2010/main" spid="_x0000_s58814"/>
            </a:ext>
            <a:ext uri="{FF2B5EF4-FFF2-40B4-BE49-F238E27FC236}">
              <a16:creationId xmlns:a16="http://schemas.microsoft.com/office/drawing/2014/main" id="{9872EA87-C13E-4A27-A7F5-34D898862843}"/>
            </a:ext>
            <a:ext uri="{147F2762-F138-4A5C-976F-8EAC2B608ADB}">
              <a16:predDERef xmlns:a16="http://schemas.microsoft.com/office/drawing/2014/main" pred="{00000000-0008-0000-0700-0000BD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94" name="Drop Down 447" hidden="1">
          <a:extLst>
            <a:ext uri="{63B3BB69-23CF-44E3-9099-C40C66FF867C}">
              <a14:compatExt xmlns:a14="http://schemas.microsoft.com/office/drawing/2010/main" spid="_x0000_s58815"/>
            </a:ext>
            <a:ext uri="{FF2B5EF4-FFF2-40B4-BE49-F238E27FC236}">
              <a16:creationId xmlns:a16="http://schemas.microsoft.com/office/drawing/2014/main" id="{317CD7C3-CB8F-4E46-A05D-5CA4B998472D}"/>
            </a:ext>
            <a:ext uri="{147F2762-F138-4A5C-976F-8EAC2B608ADB}">
              <a16:predDERef xmlns:a16="http://schemas.microsoft.com/office/drawing/2014/main" pred="{00000000-0008-0000-0700-0000BE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95" name="Drop Down 448" hidden="1">
          <a:extLst>
            <a:ext uri="{63B3BB69-23CF-44E3-9099-C40C66FF867C}">
              <a14:compatExt xmlns:a14="http://schemas.microsoft.com/office/drawing/2010/main" spid="_x0000_s58816"/>
            </a:ext>
            <a:ext uri="{FF2B5EF4-FFF2-40B4-BE49-F238E27FC236}">
              <a16:creationId xmlns:a16="http://schemas.microsoft.com/office/drawing/2014/main" id="{39483F51-B583-4B48-95AB-576B1645B299}"/>
            </a:ext>
            <a:ext uri="{147F2762-F138-4A5C-976F-8EAC2B608ADB}">
              <a16:predDERef xmlns:a16="http://schemas.microsoft.com/office/drawing/2014/main" pred="{00000000-0008-0000-0700-0000BF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96" name="Drop Down 449" hidden="1">
          <a:extLst>
            <a:ext uri="{63B3BB69-23CF-44E3-9099-C40C66FF867C}">
              <a14:compatExt xmlns:a14="http://schemas.microsoft.com/office/drawing/2010/main" spid="_x0000_s58817"/>
            </a:ext>
            <a:ext uri="{FF2B5EF4-FFF2-40B4-BE49-F238E27FC236}">
              <a16:creationId xmlns:a16="http://schemas.microsoft.com/office/drawing/2014/main" id="{9FADF697-60C4-47F4-8999-0FA9C01D87F4}"/>
            </a:ext>
            <a:ext uri="{147F2762-F138-4A5C-976F-8EAC2B608ADB}">
              <a16:predDERef xmlns:a16="http://schemas.microsoft.com/office/drawing/2014/main" pred="{00000000-0008-0000-0700-0000C0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97" name="Drop Down 450" hidden="1">
          <a:extLst>
            <a:ext uri="{63B3BB69-23CF-44E3-9099-C40C66FF867C}">
              <a14:compatExt xmlns:a14="http://schemas.microsoft.com/office/drawing/2010/main" spid="_x0000_s58818"/>
            </a:ext>
            <a:ext uri="{FF2B5EF4-FFF2-40B4-BE49-F238E27FC236}">
              <a16:creationId xmlns:a16="http://schemas.microsoft.com/office/drawing/2014/main" id="{3A90EDE7-D86D-491D-A08B-2C141367B453}"/>
            </a:ext>
            <a:ext uri="{147F2762-F138-4A5C-976F-8EAC2B608ADB}">
              <a16:predDERef xmlns:a16="http://schemas.microsoft.com/office/drawing/2014/main" pred="{00000000-0008-0000-0700-0000C1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98" name="Drop Down 451" hidden="1">
          <a:extLst>
            <a:ext uri="{63B3BB69-23CF-44E3-9099-C40C66FF867C}">
              <a14:compatExt xmlns:a14="http://schemas.microsoft.com/office/drawing/2010/main" spid="_x0000_s58819"/>
            </a:ext>
            <a:ext uri="{FF2B5EF4-FFF2-40B4-BE49-F238E27FC236}">
              <a16:creationId xmlns:a16="http://schemas.microsoft.com/office/drawing/2014/main" id="{33A047E4-D80D-4730-B3A3-7A701BABBB51}"/>
            </a:ext>
            <a:ext uri="{147F2762-F138-4A5C-976F-8EAC2B608ADB}">
              <a16:predDERef xmlns:a16="http://schemas.microsoft.com/office/drawing/2014/main" pred="{00000000-0008-0000-0700-0000C2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99" name="Drop Down 452" hidden="1">
          <a:extLst>
            <a:ext uri="{63B3BB69-23CF-44E3-9099-C40C66FF867C}">
              <a14:compatExt xmlns:a14="http://schemas.microsoft.com/office/drawing/2010/main" spid="_x0000_s58820"/>
            </a:ext>
            <a:ext uri="{FF2B5EF4-FFF2-40B4-BE49-F238E27FC236}">
              <a16:creationId xmlns:a16="http://schemas.microsoft.com/office/drawing/2014/main" id="{1E87C193-DB7B-400E-837C-5254E3804DEA}"/>
            </a:ext>
            <a:ext uri="{147F2762-F138-4A5C-976F-8EAC2B608ADB}">
              <a16:predDERef xmlns:a16="http://schemas.microsoft.com/office/drawing/2014/main" pred="{00000000-0008-0000-0700-0000C3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97155</xdr:rowOff>
    </xdr:to>
    <xdr:sp macro="" textlink="">
      <xdr:nvSpPr>
        <xdr:cNvPr id="100" name="Drop Down 453" hidden="1">
          <a:extLst>
            <a:ext uri="{63B3BB69-23CF-44E3-9099-C40C66FF867C}">
              <a14:compatExt xmlns:a14="http://schemas.microsoft.com/office/drawing/2010/main" spid="_x0000_s58821"/>
            </a:ext>
            <a:ext uri="{FF2B5EF4-FFF2-40B4-BE49-F238E27FC236}">
              <a16:creationId xmlns:a16="http://schemas.microsoft.com/office/drawing/2014/main" id="{FCB3AD1D-73D4-449D-84FD-DAB573532C9B}"/>
            </a:ext>
            <a:ext uri="{147F2762-F138-4A5C-976F-8EAC2B608ADB}">
              <a16:predDERef xmlns:a16="http://schemas.microsoft.com/office/drawing/2014/main" pred="{00000000-0008-0000-0700-0000C4E50000}"/>
            </a:ext>
          </a:extLst>
        </xdr:cNvPr>
        <xdr:cNvSpPr/>
      </xdr:nvSpPr>
      <xdr:spPr bwMode="auto">
        <a:xfrm>
          <a:off x="6059805" y="18507075"/>
          <a:ext cx="1143000" cy="97155"/>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101" name="Drop Down 454" hidden="1">
          <a:extLst>
            <a:ext uri="{63B3BB69-23CF-44E3-9099-C40C66FF867C}">
              <a14:compatExt xmlns:a14="http://schemas.microsoft.com/office/drawing/2010/main" spid="_x0000_s58822"/>
            </a:ext>
            <a:ext uri="{FF2B5EF4-FFF2-40B4-BE49-F238E27FC236}">
              <a16:creationId xmlns:a16="http://schemas.microsoft.com/office/drawing/2014/main" id="{7375FEA2-328B-40AE-85FE-0F2D35972111}"/>
            </a:ext>
            <a:ext uri="{147F2762-F138-4A5C-976F-8EAC2B608ADB}">
              <a16:predDERef xmlns:a16="http://schemas.microsoft.com/office/drawing/2014/main" pred="{00000000-0008-0000-0700-0000C5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102" name="Drop Down 455" hidden="1">
          <a:extLst>
            <a:ext uri="{63B3BB69-23CF-44E3-9099-C40C66FF867C}">
              <a14:compatExt xmlns:a14="http://schemas.microsoft.com/office/drawing/2010/main" spid="_x0000_s58823"/>
            </a:ext>
            <a:ext uri="{FF2B5EF4-FFF2-40B4-BE49-F238E27FC236}">
              <a16:creationId xmlns:a16="http://schemas.microsoft.com/office/drawing/2014/main" id="{5FF4E05A-5DE0-42DE-9601-E85D48C62E22}"/>
            </a:ext>
            <a:ext uri="{147F2762-F138-4A5C-976F-8EAC2B608ADB}">
              <a16:predDERef xmlns:a16="http://schemas.microsoft.com/office/drawing/2014/main" pred="{00000000-0008-0000-0700-0000C6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29</xdr:row>
      <xdr:rowOff>0</xdr:rowOff>
    </xdr:from>
    <xdr:to>
      <xdr:col>6</xdr:col>
      <xdr:colOff>1249680</xdr:colOff>
      <xdr:row>29</xdr:row>
      <xdr:rowOff>220980</xdr:rowOff>
    </xdr:to>
    <xdr:sp macro="" textlink="">
      <xdr:nvSpPr>
        <xdr:cNvPr id="103" name="Drop Down 456" hidden="1">
          <a:extLst>
            <a:ext uri="{63B3BB69-23CF-44E3-9099-C40C66FF867C}">
              <a14:compatExt xmlns:a14="http://schemas.microsoft.com/office/drawing/2010/main" spid="_x0000_s58824"/>
            </a:ext>
            <a:ext uri="{FF2B5EF4-FFF2-40B4-BE49-F238E27FC236}">
              <a16:creationId xmlns:a16="http://schemas.microsoft.com/office/drawing/2014/main" id="{3A137FE2-0717-4AF4-B375-39F3ACB32C30}"/>
            </a:ext>
            <a:ext uri="{147F2762-F138-4A5C-976F-8EAC2B608ADB}">
              <a16:predDERef xmlns:a16="http://schemas.microsoft.com/office/drawing/2014/main" pred="{00000000-0008-0000-0700-0000C7E50000}"/>
            </a:ext>
          </a:extLst>
        </xdr:cNvPr>
        <xdr:cNvSpPr/>
      </xdr:nvSpPr>
      <xdr:spPr bwMode="auto">
        <a:xfrm>
          <a:off x="6059805" y="1850707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9</xdr:row>
      <xdr:rowOff>83820</xdr:rowOff>
    </xdr:from>
    <xdr:to>
      <xdr:col>6</xdr:col>
      <xdr:colOff>1249680</xdr:colOff>
      <xdr:row>9</xdr:row>
      <xdr:rowOff>304800</xdr:rowOff>
    </xdr:to>
    <xdr:sp macro="" textlink="">
      <xdr:nvSpPr>
        <xdr:cNvPr id="104" name="Drop Down 358" hidden="1">
          <a:extLst>
            <a:ext uri="{63B3BB69-23CF-44E3-9099-C40C66FF867C}">
              <a14:compatExt xmlns:a14="http://schemas.microsoft.com/office/drawing/2010/main" spid="_x0000_s58726"/>
            </a:ext>
            <a:ext uri="{FF2B5EF4-FFF2-40B4-BE49-F238E27FC236}">
              <a16:creationId xmlns:a16="http://schemas.microsoft.com/office/drawing/2014/main" id="{7A77C1E0-05F0-47CB-8A9C-AC5CFBB730A7}"/>
            </a:ext>
            <a:ext uri="{147F2762-F138-4A5C-976F-8EAC2B608ADB}">
              <a16:predDERef xmlns:a16="http://schemas.microsoft.com/office/drawing/2014/main" pred="{3A137FE2-0717-4AF4-B375-39F3ACB32C30}"/>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10</xdr:row>
      <xdr:rowOff>83820</xdr:rowOff>
    </xdr:from>
    <xdr:to>
      <xdr:col>6</xdr:col>
      <xdr:colOff>1249680</xdr:colOff>
      <xdr:row>10</xdr:row>
      <xdr:rowOff>304800</xdr:rowOff>
    </xdr:to>
    <xdr:sp macro="" textlink="">
      <xdr:nvSpPr>
        <xdr:cNvPr id="105" name="Drop Down 358" hidden="1">
          <a:extLst>
            <a:ext uri="{63B3BB69-23CF-44E3-9099-C40C66FF867C}">
              <a14:compatExt xmlns:a14="http://schemas.microsoft.com/office/drawing/2010/main" spid="_x0000_s58726"/>
            </a:ext>
            <a:ext uri="{FF2B5EF4-FFF2-40B4-BE49-F238E27FC236}">
              <a16:creationId xmlns:a16="http://schemas.microsoft.com/office/drawing/2014/main" id="{3C49016F-8420-4BBE-8D18-7A14691C922E}"/>
            </a:ext>
            <a:ext uri="{147F2762-F138-4A5C-976F-8EAC2B608ADB}">
              <a16:predDERef xmlns:a16="http://schemas.microsoft.com/office/drawing/2014/main" pred="{7A77C1E0-05F0-47CB-8A9C-AC5CFBB730A7}"/>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11</xdr:row>
      <xdr:rowOff>83820</xdr:rowOff>
    </xdr:from>
    <xdr:to>
      <xdr:col>6</xdr:col>
      <xdr:colOff>1249680</xdr:colOff>
      <xdr:row>11</xdr:row>
      <xdr:rowOff>304800</xdr:rowOff>
    </xdr:to>
    <xdr:sp macro="" textlink="">
      <xdr:nvSpPr>
        <xdr:cNvPr id="106" name="Drop Down 358" hidden="1">
          <a:extLst>
            <a:ext uri="{63B3BB69-23CF-44E3-9099-C40C66FF867C}">
              <a14:compatExt xmlns:a14="http://schemas.microsoft.com/office/drawing/2010/main" spid="_x0000_s58726"/>
            </a:ext>
            <a:ext uri="{FF2B5EF4-FFF2-40B4-BE49-F238E27FC236}">
              <a16:creationId xmlns:a16="http://schemas.microsoft.com/office/drawing/2014/main" id="{D54B6A14-71A6-4A25-9182-37907EA92DC0}"/>
            </a:ext>
            <a:ext uri="{147F2762-F138-4A5C-976F-8EAC2B608ADB}">
              <a16:predDERef xmlns:a16="http://schemas.microsoft.com/office/drawing/2014/main" pred="{3C49016F-8420-4BBE-8D18-7A14691C922E}"/>
            </a:ext>
          </a:extLst>
        </xdr:cNvPr>
        <xdr:cNvSpPr/>
      </xdr:nvSpPr>
      <xdr:spPr bwMode="auto">
        <a:xfrm>
          <a:off x="6059805" y="20173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xdr:row>
      <xdr:rowOff>83820</xdr:rowOff>
    </xdr:from>
    <xdr:to>
      <xdr:col>6</xdr:col>
      <xdr:colOff>1249680</xdr:colOff>
      <xdr:row>12</xdr:row>
      <xdr:rowOff>304800</xdr:rowOff>
    </xdr:to>
    <xdr:sp macro="" textlink="">
      <xdr:nvSpPr>
        <xdr:cNvPr id="107" name="Drop Down 361" hidden="1">
          <a:extLst>
            <a:ext uri="{63B3BB69-23CF-44E3-9099-C40C66FF867C}">
              <a14:compatExt xmlns:a14="http://schemas.microsoft.com/office/drawing/2010/main" spid="_x0000_s58729"/>
            </a:ext>
            <a:ext uri="{FF2B5EF4-FFF2-40B4-BE49-F238E27FC236}">
              <a16:creationId xmlns:a16="http://schemas.microsoft.com/office/drawing/2014/main" id="{044EA77E-7D66-4223-9610-E6C93240F2C8}"/>
            </a:ext>
            <a:ext uri="{147F2762-F138-4A5C-976F-8EAC2B608ADB}">
              <a16:predDERef xmlns:a16="http://schemas.microsoft.com/office/drawing/2014/main" pred="{D54B6A14-71A6-4A25-9182-37907EA92DC0}"/>
            </a:ext>
          </a:extLst>
        </xdr:cNvPr>
        <xdr:cNvSpPr/>
      </xdr:nvSpPr>
      <xdr:spPr bwMode="auto">
        <a:xfrm>
          <a:off x="6059805" y="29698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12</xdr:row>
      <xdr:rowOff>83820</xdr:rowOff>
    </xdr:from>
    <xdr:to>
      <xdr:col>6</xdr:col>
      <xdr:colOff>1249680</xdr:colOff>
      <xdr:row>12</xdr:row>
      <xdr:rowOff>304800</xdr:rowOff>
    </xdr:to>
    <xdr:sp macro="" textlink="">
      <xdr:nvSpPr>
        <xdr:cNvPr id="108" name="Drop Down 358" hidden="1">
          <a:extLst>
            <a:ext uri="{63B3BB69-23CF-44E3-9099-C40C66FF867C}">
              <a14:compatExt xmlns:a14="http://schemas.microsoft.com/office/drawing/2010/main" spid="_x0000_s58726"/>
            </a:ext>
            <a:ext uri="{FF2B5EF4-FFF2-40B4-BE49-F238E27FC236}">
              <a16:creationId xmlns:a16="http://schemas.microsoft.com/office/drawing/2014/main" id="{A29638B9-A03C-43D3-8AB5-1E932E9E04AC}"/>
            </a:ext>
            <a:ext uri="{147F2762-F138-4A5C-976F-8EAC2B608ADB}">
              <a16:predDERef xmlns:a16="http://schemas.microsoft.com/office/drawing/2014/main" pred="{044EA77E-7D66-4223-9610-E6C93240F2C8}"/>
            </a:ext>
          </a:extLst>
        </xdr:cNvPr>
        <xdr:cNvSpPr/>
      </xdr:nvSpPr>
      <xdr:spPr bwMode="auto">
        <a:xfrm>
          <a:off x="6059805" y="29698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xdr:row>
      <xdr:rowOff>83820</xdr:rowOff>
    </xdr:from>
    <xdr:to>
      <xdr:col>6</xdr:col>
      <xdr:colOff>1249680</xdr:colOff>
      <xdr:row>13</xdr:row>
      <xdr:rowOff>304800</xdr:rowOff>
    </xdr:to>
    <xdr:sp macro="" textlink="">
      <xdr:nvSpPr>
        <xdr:cNvPr id="109" name="Drop Down 361" hidden="1">
          <a:extLst>
            <a:ext uri="{63B3BB69-23CF-44E3-9099-C40C66FF867C}">
              <a14:compatExt xmlns:a14="http://schemas.microsoft.com/office/drawing/2010/main" spid="_x0000_s58729"/>
            </a:ext>
            <a:ext uri="{FF2B5EF4-FFF2-40B4-BE49-F238E27FC236}">
              <a16:creationId xmlns:a16="http://schemas.microsoft.com/office/drawing/2014/main" id="{EC2580FE-C8F0-479F-B3FD-75B985FE9B10}"/>
            </a:ext>
            <a:ext uri="{147F2762-F138-4A5C-976F-8EAC2B608ADB}">
              <a16:predDERef xmlns:a16="http://schemas.microsoft.com/office/drawing/2014/main" pred="{A29638B9-A03C-43D3-8AB5-1E932E9E04AC}"/>
            </a:ext>
          </a:extLst>
        </xdr:cNvPr>
        <xdr:cNvSpPr/>
      </xdr:nvSpPr>
      <xdr:spPr bwMode="auto">
        <a:xfrm>
          <a:off x="6059805" y="29698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13</xdr:row>
      <xdr:rowOff>83820</xdr:rowOff>
    </xdr:from>
    <xdr:to>
      <xdr:col>6</xdr:col>
      <xdr:colOff>1249680</xdr:colOff>
      <xdr:row>13</xdr:row>
      <xdr:rowOff>304800</xdr:rowOff>
    </xdr:to>
    <xdr:sp macro="" textlink="">
      <xdr:nvSpPr>
        <xdr:cNvPr id="110" name="Drop Down 358" hidden="1">
          <a:extLst>
            <a:ext uri="{63B3BB69-23CF-44E3-9099-C40C66FF867C}">
              <a14:compatExt xmlns:a14="http://schemas.microsoft.com/office/drawing/2010/main" spid="_x0000_s58726"/>
            </a:ext>
            <a:ext uri="{FF2B5EF4-FFF2-40B4-BE49-F238E27FC236}">
              <a16:creationId xmlns:a16="http://schemas.microsoft.com/office/drawing/2014/main" id="{F8057254-7323-411F-A600-A86702752DA8}"/>
            </a:ext>
            <a:ext uri="{147F2762-F138-4A5C-976F-8EAC2B608ADB}">
              <a16:predDERef xmlns:a16="http://schemas.microsoft.com/office/drawing/2014/main" pred="{EC2580FE-C8F0-479F-B3FD-75B985FE9B10}"/>
            </a:ext>
          </a:extLst>
        </xdr:cNvPr>
        <xdr:cNvSpPr/>
      </xdr:nvSpPr>
      <xdr:spPr bwMode="auto">
        <a:xfrm>
          <a:off x="6059805" y="29698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83820</xdr:rowOff>
    </xdr:from>
    <xdr:to>
      <xdr:col>6</xdr:col>
      <xdr:colOff>1249680</xdr:colOff>
      <xdr:row>15</xdr:row>
      <xdr:rowOff>114300</xdr:rowOff>
    </xdr:to>
    <xdr:sp macro="" textlink="">
      <xdr:nvSpPr>
        <xdr:cNvPr id="111" name="Drop Down 361" hidden="1">
          <a:extLst>
            <a:ext uri="{63B3BB69-23CF-44E3-9099-C40C66FF867C}">
              <a14:compatExt xmlns:a14="http://schemas.microsoft.com/office/drawing/2010/main" spid="_x0000_s58729"/>
            </a:ext>
            <a:ext uri="{FF2B5EF4-FFF2-40B4-BE49-F238E27FC236}">
              <a16:creationId xmlns:a16="http://schemas.microsoft.com/office/drawing/2014/main" id="{E3E5CA24-50FD-4C24-9C3D-547209A0226F}"/>
            </a:ext>
            <a:ext uri="{147F2762-F138-4A5C-976F-8EAC2B608ADB}">
              <a16:predDERef xmlns:a16="http://schemas.microsoft.com/office/drawing/2014/main" pred="{F8057254-7323-411F-A600-A86702752DA8}"/>
            </a:ext>
          </a:extLst>
        </xdr:cNvPr>
        <xdr:cNvSpPr/>
      </xdr:nvSpPr>
      <xdr:spPr bwMode="auto">
        <a:xfrm>
          <a:off x="6059805" y="29698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14</xdr:row>
      <xdr:rowOff>83820</xdr:rowOff>
    </xdr:from>
    <xdr:to>
      <xdr:col>6</xdr:col>
      <xdr:colOff>1249680</xdr:colOff>
      <xdr:row>15</xdr:row>
      <xdr:rowOff>114300</xdr:rowOff>
    </xdr:to>
    <xdr:sp macro="" textlink="">
      <xdr:nvSpPr>
        <xdr:cNvPr id="112" name="Drop Down 358" hidden="1">
          <a:extLst>
            <a:ext uri="{63B3BB69-23CF-44E3-9099-C40C66FF867C}">
              <a14:compatExt xmlns:a14="http://schemas.microsoft.com/office/drawing/2010/main" spid="_x0000_s58726"/>
            </a:ext>
            <a:ext uri="{FF2B5EF4-FFF2-40B4-BE49-F238E27FC236}">
              <a16:creationId xmlns:a16="http://schemas.microsoft.com/office/drawing/2014/main" id="{6F4BD3BA-1828-48F5-BF0E-45355FDF5708}"/>
            </a:ext>
            <a:ext uri="{147F2762-F138-4A5C-976F-8EAC2B608ADB}">
              <a16:predDERef xmlns:a16="http://schemas.microsoft.com/office/drawing/2014/main" pred="{E3E5CA24-50FD-4C24-9C3D-547209A0226F}"/>
            </a:ext>
          </a:extLst>
        </xdr:cNvPr>
        <xdr:cNvSpPr/>
      </xdr:nvSpPr>
      <xdr:spPr bwMode="auto">
        <a:xfrm>
          <a:off x="6059805" y="29698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xdr:row>
      <xdr:rowOff>83820</xdr:rowOff>
    </xdr:from>
    <xdr:to>
      <xdr:col>6</xdr:col>
      <xdr:colOff>1249680</xdr:colOff>
      <xdr:row>15</xdr:row>
      <xdr:rowOff>304800</xdr:rowOff>
    </xdr:to>
    <xdr:sp macro="" textlink="">
      <xdr:nvSpPr>
        <xdr:cNvPr id="113" name="Drop Down 361" hidden="1">
          <a:extLst>
            <a:ext uri="{63B3BB69-23CF-44E3-9099-C40C66FF867C}">
              <a14:compatExt xmlns:a14="http://schemas.microsoft.com/office/drawing/2010/main" spid="_x0000_s58729"/>
            </a:ext>
            <a:ext uri="{FF2B5EF4-FFF2-40B4-BE49-F238E27FC236}">
              <a16:creationId xmlns:a16="http://schemas.microsoft.com/office/drawing/2014/main" id="{F6BAC922-1A7D-4691-855B-8E68D078D6C0}"/>
            </a:ext>
            <a:ext uri="{147F2762-F138-4A5C-976F-8EAC2B608ADB}">
              <a16:predDERef xmlns:a16="http://schemas.microsoft.com/office/drawing/2014/main" pred="{6F4BD3BA-1828-48F5-BF0E-45355FDF5708}"/>
            </a:ext>
          </a:extLst>
        </xdr:cNvPr>
        <xdr:cNvSpPr/>
      </xdr:nvSpPr>
      <xdr:spPr bwMode="auto">
        <a:xfrm>
          <a:off x="6059805" y="29698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15</xdr:row>
      <xdr:rowOff>83820</xdr:rowOff>
    </xdr:from>
    <xdr:to>
      <xdr:col>6</xdr:col>
      <xdr:colOff>1249680</xdr:colOff>
      <xdr:row>15</xdr:row>
      <xdr:rowOff>304800</xdr:rowOff>
    </xdr:to>
    <xdr:sp macro="" textlink="">
      <xdr:nvSpPr>
        <xdr:cNvPr id="114" name="Drop Down 358" hidden="1">
          <a:extLst>
            <a:ext uri="{63B3BB69-23CF-44E3-9099-C40C66FF867C}">
              <a14:compatExt xmlns:a14="http://schemas.microsoft.com/office/drawing/2010/main" spid="_x0000_s58726"/>
            </a:ext>
            <a:ext uri="{FF2B5EF4-FFF2-40B4-BE49-F238E27FC236}">
              <a16:creationId xmlns:a16="http://schemas.microsoft.com/office/drawing/2014/main" id="{FF3BA21E-1244-4E33-9C15-C5D029DBDE31}"/>
            </a:ext>
            <a:ext uri="{147F2762-F138-4A5C-976F-8EAC2B608ADB}">
              <a16:predDERef xmlns:a16="http://schemas.microsoft.com/office/drawing/2014/main" pred="{F6BAC922-1A7D-4691-855B-8E68D078D6C0}"/>
            </a:ext>
          </a:extLst>
        </xdr:cNvPr>
        <xdr:cNvSpPr/>
      </xdr:nvSpPr>
      <xdr:spPr bwMode="auto">
        <a:xfrm>
          <a:off x="6059805" y="29698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xdr:row>
      <xdr:rowOff>83820</xdr:rowOff>
    </xdr:from>
    <xdr:to>
      <xdr:col>6</xdr:col>
      <xdr:colOff>1249680</xdr:colOff>
      <xdr:row>16</xdr:row>
      <xdr:rowOff>304800</xdr:rowOff>
    </xdr:to>
    <xdr:sp macro="" textlink="">
      <xdr:nvSpPr>
        <xdr:cNvPr id="115" name="Drop Down 361" hidden="1">
          <a:extLst>
            <a:ext uri="{63B3BB69-23CF-44E3-9099-C40C66FF867C}">
              <a14:compatExt xmlns:a14="http://schemas.microsoft.com/office/drawing/2010/main" spid="_x0000_s58729"/>
            </a:ext>
            <a:ext uri="{FF2B5EF4-FFF2-40B4-BE49-F238E27FC236}">
              <a16:creationId xmlns:a16="http://schemas.microsoft.com/office/drawing/2014/main" id="{947FEF80-728B-487B-B924-B8AAC75B7A3F}"/>
            </a:ext>
            <a:ext uri="{147F2762-F138-4A5C-976F-8EAC2B608ADB}">
              <a16:predDERef xmlns:a16="http://schemas.microsoft.com/office/drawing/2014/main" pred="{FF3BA21E-1244-4E33-9C15-C5D029DBDE31}"/>
            </a:ext>
          </a:extLst>
        </xdr:cNvPr>
        <xdr:cNvSpPr/>
      </xdr:nvSpPr>
      <xdr:spPr bwMode="auto">
        <a:xfrm>
          <a:off x="6059805" y="29698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6</xdr:col>
      <xdr:colOff>106680</xdr:colOff>
      <xdr:row>16</xdr:row>
      <xdr:rowOff>83820</xdr:rowOff>
    </xdr:from>
    <xdr:to>
      <xdr:col>6</xdr:col>
      <xdr:colOff>1249680</xdr:colOff>
      <xdr:row>16</xdr:row>
      <xdr:rowOff>304800</xdr:rowOff>
    </xdr:to>
    <xdr:sp macro="" textlink="">
      <xdr:nvSpPr>
        <xdr:cNvPr id="116" name="Drop Down 358" hidden="1">
          <a:extLst>
            <a:ext uri="{63B3BB69-23CF-44E3-9099-C40C66FF867C}">
              <a14:compatExt xmlns:a14="http://schemas.microsoft.com/office/drawing/2010/main" spid="_x0000_s58726"/>
            </a:ext>
            <a:ext uri="{FF2B5EF4-FFF2-40B4-BE49-F238E27FC236}">
              <a16:creationId xmlns:a16="http://schemas.microsoft.com/office/drawing/2014/main" id="{609BA555-5276-4271-AFA2-85857B74A3AD}"/>
            </a:ext>
            <a:ext uri="{147F2762-F138-4A5C-976F-8EAC2B608ADB}">
              <a16:predDERef xmlns:a16="http://schemas.microsoft.com/office/drawing/2014/main" pred="{947FEF80-728B-487B-B924-B8AAC75B7A3F}"/>
            </a:ext>
          </a:extLst>
        </xdr:cNvPr>
        <xdr:cNvSpPr/>
      </xdr:nvSpPr>
      <xdr:spPr bwMode="auto">
        <a:xfrm>
          <a:off x="6059805" y="2969895"/>
          <a:ext cx="1143000" cy="220980"/>
        </a:xfrm>
        <a:prstGeom prst="rect">
          <a:avLst/>
        </a:prstGeom>
        <a:noFill/>
        <a:ln w="9525">
          <a:miter lim="800000"/>
          <a:headEnd/>
          <a:tailEnd/>
        </a:ln>
        <a:extLst>
          <a:ext uri="{909E8E84-426E-40DD-AFC4-6F175D3DCCD1}">
            <a14:hiddenFill xmlns:a14="http://schemas.microsoft.com/office/drawing/2010/main">
              <a:noFill/>
            </a14:hiddenFill>
          </a:ext>
        </a:extLst>
      </xdr:spPr>
    </xdr:sp>
    <xdr:clientData fLocksWithSheet="0"/>
  </xdr:twoCellAnchor>
</xdr:wsDr>
</file>

<file path=xl/drawings/drawing5.xml><?xml version="1.0" encoding="utf-8"?>
<xdr:wsDr xmlns:xdr="http://schemas.openxmlformats.org/drawingml/2006/spreadsheetDrawing" xmlns:a="http://schemas.openxmlformats.org/drawingml/2006/main">
  <xdr:twoCellAnchor>
    <xdr:from>
      <xdr:col>5</xdr:col>
      <xdr:colOff>330200</xdr:colOff>
      <xdr:row>8</xdr:row>
      <xdr:rowOff>25400</xdr:rowOff>
    </xdr:from>
    <xdr:to>
      <xdr:col>14</xdr:col>
      <xdr:colOff>571500</xdr:colOff>
      <xdr:row>19</xdr:row>
      <xdr:rowOff>101600</xdr:rowOff>
    </xdr:to>
    <xdr:graphicFrame macro="">
      <xdr:nvGraphicFramePr>
        <xdr:cNvPr id="2" name="Chart 1">
          <a:extLst>
            <a:ext uri="{FF2B5EF4-FFF2-40B4-BE49-F238E27FC236}">
              <a16:creationId xmlns:a16="http://schemas.microsoft.com/office/drawing/2014/main" id="{DB6283E5-D73F-ED44-8045-EC90F2BE30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361950</xdr:colOff>
      <xdr:row>21</xdr:row>
      <xdr:rowOff>120650</xdr:rowOff>
    </xdr:from>
    <xdr:to>
      <xdr:col>14</xdr:col>
      <xdr:colOff>241300</xdr:colOff>
      <xdr:row>31</xdr:row>
      <xdr:rowOff>12700</xdr:rowOff>
    </xdr:to>
    <xdr:graphicFrame macro="">
      <xdr:nvGraphicFramePr>
        <xdr:cNvPr id="3" name="Chart 2">
          <a:extLst>
            <a:ext uri="{FF2B5EF4-FFF2-40B4-BE49-F238E27FC236}">
              <a16:creationId xmlns:a16="http://schemas.microsoft.com/office/drawing/2014/main" id="{D2C0B650-E83F-3848-BA5A-A1A5158F6B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482600</xdr:colOff>
      <xdr:row>33</xdr:row>
      <xdr:rowOff>127000</xdr:rowOff>
    </xdr:from>
    <xdr:to>
      <xdr:col>14</xdr:col>
      <xdr:colOff>228600</xdr:colOff>
      <xdr:row>43</xdr:row>
      <xdr:rowOff>19050</xdr:rowOff>
    </xdr:to>
    <xdr:graphicFrame macro="">
      <xdr:nvGraphicFramePr>
        <xdr:cNvPr id="4" name="Chart 3">
          <a:extLst>
            <a:ext uri="{FF2B5EF4-FFF2-40B4-BE49-F238E27FC236}">
              <a16:creationId xmlns:a16="http://schemas.microsoft.com/office/drawing/2014/main" id="{C7E9B0AA-81D0-C44C-8265-7FEDA468F4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482600</xdr:colOff>
      <xdr:row>48</xdr:row>
      <xdr:rowOff>139700</xdr:rowOff>
    </xdr:from>
    <xdr:to>
      <xdr:col>15</xdr:col>
      <xdr:colOff>139700</xdr:colOff>
      <xdr:row>57</xdr:row>
      <xdr:rowOff>165100</xdr:rowOff>
    </xdr:to>
    <xdr:graphicFrame macro="">
      <xdr:nvGraphicFramePr>
        <xdr:cNvPr id="5" name="Chart 4">
          <a:extLst>
            <a:ext uri="{FF2B5EF4-FFF2-40B4-BE49-F238E27FC236}">
              <a16:creationId xmlns:a16="http://schemas.microsoft.com/office/drawing/2014/main" id="{8330F55C-0F41-6B4B-8E44-957F5CE188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qutay/Downloads/Assessment-Tool_Detailed%20-%20Editabl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ferences"/>
      <sheetName val="Targets"/>
      <sheetName val="Content"/>
      <sheetName val="Assessment - Protect"/>
      <sheetName val="Assessment - Identify"/>
      <sheetName val="Assessment - Recovery"/>
      <sheetName val="Result"/>
      <sheetName val="Results - Phase 1"/>
      <sheetName val="Assessment - Respond "/>
      <sheetName val="Results - Phase 3"/>
      <sheetName val="Sheet1"/>
      <sheetName val="MMAT ref"/>
      <sheetName val="Assessment - Detect"/>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2">
          <cell r="F2" t="str">
            <v>Maturity model for Phase 2 - Detect</v>
          </cell>
        </row>
        <row r="7">
          <cell r="G7" t="str">
            <v>Response</v>
          </cell>
          <cell r="H7" t="str">
            <v>Score</v>
          </cell>
          <cell r="I7" t="str">
            <v>Comments</v>
          </cell>
        </row>
        <row r="8">
          <cell r="B8" t="str">
            <v>2.1</v>
          </cell>
          <cell r="C8">
            <v>2</v>
          </cell>
          <cell r="E8" t="str">
            <v>Category</v>
          </cell>
          <cell r="F8" t="str">
            <v>Critically Assessment</v>
          </cell>
          <cell r="H8" t="str">
            <v/>
          </cell>
          <cell r="I8" t="str">
            <v/>
          </cell>
        </row>
        <row r="9">
          <cell r="B9" t="str">
            <v>2.1.01</v>
          </cell>
          <cell r="C9">
            <v>5</v>
          </cell>
          <cell r="E9">
            <v>1</v>
          </cell>
          <cell r="F9" t="str">
            <v>Is Security Content Automation Protocol (SCAP) vulnerability compliant detecting tool implemented in the organization?</v>
          </cell>
          <cell r="G9" t="str">
            <v>Select</v>
          </cell>
          <cell r="AA9">
            <v>1</v>
          </cell>
          <cell r="AB9" t="str">
            <v/>
          </cell>
        </row>
        <row r="10">
          <cell r="B10" t="str">
            <v>2.1.02</v>
          </cell>
          <cell r="C10">
            <v>4</v>
          </cell>
          <cell r="E10">
            <v>2</v>
          </cell>
          <cell r="F10" t="str">
            <v>Is Active Discovery Tool has been implemented to identify all transmissions done on the secured information?</v>
          </cell>
          <cell r="G10" t="str">
            <v>Select,</v>
          </cell>
          <cell r="I10" t="str">
            <v/>
          </cell>
          <cell r="J10" t="str">
            <v xml:space="preserve">          Select:</v>
          </cell>
        </row>
        <row r="11">
          <cell r="B11" t="str">
            <v>2.1.02a</v>
          </cell>
          <cell r="C11">
            <v>6</v>
          </cell>
          <cell r="E11">
            <v>3</v>
          </cell>
          <cell r="F11" t="str">
            <v>Is File Integrity Monitoring (Log Management System) or SIEM (Security Information and Event Monitoring) has been configured?</v>
          </cell>
          <cell r="G11" t="str">
            <v>Select,</v>
          </cell>
          <cell r="I11" t="str">
            <v/>
          </cell>
          <cell r="J11" t="str">
            <v xml:space="preserve">           Not Implmented</v>
          </cell>
          <cell r="AA11">
            <v>1</v>
          </cell>
          <cell r="AB11" t="str">
            <v/>
          </cell>
        </row>
        <row r="12">
          <cell r="B12" t="str">
            <v>2.1.02b</v>
          </cell>
          <cell r="C12">
            <v>6</v>
          </cell>
          <cell r="E12">
            <v>4</v>
          </cell>
          <cell r="F12" t="str">
            <v>Does the Organization use any automated tools to maintain an Inventory for administrative accounts?</v>
          </cell>
          <cell r="G12" t="str">
            <v>Select,</v>
          </cell>
          <cell r="I12" t="str">
            <v/>
          </cell>
          <cell r="J12" t="str">
            <v xml:space="preserve">           Requirements Gathering</v>
          </cell>
          <cell r="AA12">
            <v>1</v>
          </cell>
          <cell r="AB12" t="str">
            <v/>
          </cell>
        </row>
        <row r="13">
          <cell r="B13" t="str">
            <v>2.1.02c</v>
          </cell>
          <cell r="C13">
            <v>6</v>
          </cell>
          <cell r="E13">
            <v>5</v>
          </cell>
          <cell r="F13" t="str">
            <v>Is NetFlow Collection (Network Device Management System) is currently running in the organization?</v>
          </cell>
          <cell r="G13" t="str">
            <v>Select,</v>
          </cell>
          <cell r="I13" t="str">
            <v/>
          </cell>
          <cell r="J13" t="str">
            <v xml:space="preserve">           Initial Implementation</v>
          </cell>
          <cell r="AA13">
            <v>1</v>
          </cell>
          <cell r="AB13" t="str">
            <v/>
          </cell>
        </row>
        <row r="14">
          <cell r="B14" t="str">
            <v>2.1.03</v>
          </cell>
          <cell r="C14">
            <v>5</v>
          </cell>
          <cell r="E14">
            <v>6</v>
          </cell>
          <cell r="F14" t="str">
            <v>Are the log records being reviewed regularly in order to identify the malicious activities?</v>
          </cell>
          <cell r="G14" t="str">
            <v>Select,</v>
          </cell>
          <cell r="I14" t="str">
            <v/>
          </cell>
          <cell r="J14" t="str">
            <v xml:space="preserve">            In Devlopment</v>
          </cell>
          <cell r="AA14">
            <v>1</v>
          </cell>
          <cell r="AB14" t="str">
            <v/>
          </cell>
        </row>
        <row r="15">
          <cell r="B15" t="str">
            <v>2.1.04</v>
          </cell>
          <cell r="C15">
            <v>4</v>
          </cell>
          <cell r="E15">
            <v>7</v>
          </cell>
          <cell r="F15" t="str">
            <v>Are all the URL requests from all users irrespective of their locations being logged in order to analyze and identify potential malicious activities?</v>
          </cell>
          <cell r="G15" t="str">
            <v>Select,</v>
          </cell>
          <cell r="I15" t="str">
            <v/>
          </cell>
          <cell r="J15" t="str">
            <v xml:space="preserve">            In testing</v>
          </cell>
        </row>
        <row r="16">
          <cell r="B16" t="str">
            <v>2.1.04a</v>
          </cell>
          <cell r="C16">
            <v>6</v>
          </cell>
          <cell r="E16">
            <v>8</v>
          </cell>
          <cell r="F16" t="str">
            <v>All the devices should automatically conduct anti malware scan when a removable media is connected. Is this implemented in your company?</v>
          </cell>
          <cell r="G16" t="str">
            <v>Select,</v>
          </cell>
          <cell r="I16" t="str">
            <v/>
          </cell>
          <cell r="J16" t="str">
            <v xml:space="preserve">            Fully implmeted</v>
          </cell>
          <cell r="AA16">
            <v>1</v>
          </cell>
          <cell r="AB16" t="str">
            <v/>
          </cell>
        </row>
        <row r="17">
          <cell r="B17" t="str">
            <v>2.1.04b</v>
          </cell>
          <cell r="C17">
            <v>6</v>
          </cell>
          <cell r="E17">
            <v>9</v>
          </cell>
          <cell r="F17" t="str">
            <v>There should be a centralized logging server setup which receives the event logs from all the logging enabled technologies and services implemented on the network. Do you have it setup?</v>
          </cell>
          <cell r="G17" t="str">
            <v>Select,</v>
          </cell>
          <cell r="I17" t="str">
            <v/>
          </cell>
          <cell r="AA17">
            <v>1</v>
          </cell>
          <cell r="AB17" t="str">
            <v/>
          </cell>
        </row>
        <row r="18">
          <cell r="B18" t="str">
            <v>2.1.05</v>
          </cell>
          <cell r="C18">
            <v>4</v>
          </cell>
          <cell r="E18">
            <v>10</v>
          </cell>
          <cell r="F18" t="str">
            <v>The configuration of the network devices should match with the approved configuration and the network devices should only perform security approved functions. An alert should be created if any changes are discovered. Is this being implemented?</v>
          </cell>
          <cell r="G18" t="str">
            <v>Select,</v>
          </cell>
          <cell r="I18" t="str">
            <v/>
          </cell>
        </row>
        <row r="19">
          <cell r="B19" t="str">
            <v>2.1.05a</v>
          </cell>
          <cell r="C19">
            <v>6</v>
          </cell>
          <cell r="E19">
            <v>11</v>
          </cell>
          <cell r="F19" t="str">
            <v>The query logging for DNS (Domain Name System) should be enabled in order to detect the hostname lookups related to known domains which are identified as malicious. Has this been implemented for you company?</v>
          </cell>
          <cell r="G19" t="str">
            <v>Select,</v>
          </cell>
          <cell r="I19" t="str">
            <v/>
          </cell>
          <cell r="AA19">
            <v>1</v>
          </cell>
          <cell r="AB19" t="str">
            <v/>
          </cell>
        </row>
        <row r="20">
          <cell r="B20" t="str">
            <v>2.1.05b</v>
          </cell>
          <cell r="C20">
            <v>6</v>
          </cell>
          <cell r="E20">
            <v>12</v>
          </cell>
          <cell r="F20" t="str">
            <v>Regular scan for detecting the unauthorized connections across trusted network boundaries should be performed. Has this been implemented?</v>
          </cell>
          <cell r="G20" t="str">
            <v>Select,</v>
          </cell>
          <cell r="I20" t="str">
            <v/>
          </cell>
          <cell r="AA20">
            <v>1</v>
          </cell>
          <cell r="AB20" t="str">
            <v/>
          </cell>
        </row>
        <row r="21">
          <cell r="B21" t="str">
            <v>2.1.05c</v>
          </cell>
          <cell r="C21">
            <v>6</v>
          </cell>
          <cell r="E21">
            <v>13</v>
          </cell>
          <cell r="F21" t="str">
            <v>Publicly available information (eg information on new exploits, information exchange groups, third party organisations, governments)?</v>
          </cell>
          <cell r="G21" t="str">
            <v>Select,</v>
          </cell>
          <cell r="I21" t="str">
            <v/>
          </cell>
          <cell r="AA21">
            <v>1</v>
          </cell>
          <cell r="AB21" t="str">
            <v/>
          </cell>
        </row>
        <row r="22">
          <cell r="B22" t="str">
            <v>2.1.05d</v>
          </cell>
          <cell r="C22">
            <v>6</v>
          </cell>
          <cell r="E22">
            <v>14</v>
          </cell>
          <cell r="F22" t="str">
            <v>_x000D_
A monitoring system should be established at each network boundary to monitor and record the information packets passing through. Is this implemented?</v>
          </cell>
          <cell r="G22" t="str">
            <v>Select,</v>
          </cell>
          <cell r="I22" t="str">
            <v/>
          </cell>
          <cell r="AA22">
            <v>1</v>
          </cell>
          <cell r="AB22" t="str">
            <v/>
          </cell>
        </row>
        <row r="23">
          <cell r="B23" t="str">
            <v>2.1.05e</v>
          </cell>
          <cell r="C23">
            <v>6</v>
          </cell>
          <cell r="E23">
            <v>15</v>
          </cell>
          <cell r="F23" t="str">
            <v>The network-based IDS sensors should be deployed at each network boundary to detect the malicious activities and the system at these boundaries that have been compromised. Has this been implemented?</v>
          </cell>
          <cell r="G23" t="str">
            <v>Select,</v>
          </cell>
          <cell r="I23" t="str">
            <v/>
          </cell>
          <cell r="AA23">
            <v>1</v>
          </cell>
          <cell r="AB23" t="str">
            <v/>
          </cell>
        </row>
        <row r="24">
          <cell r="B24" t="str">
            <v>2.1.05f</v>
          </cell>
          <cell r="C24">
            <v>6</v>
          </cell>
          <cell r="E24">
            <v>16</v>
          </cell>
          <cell r="F24" t="str">
            <v>At the boundary proxies, all network traffic that is encrypted should be decrypted before analysis. Has this been implemented?</v>
          </cell>
          <cell r="G24" t="str">
            <v>Select,</v>
          </cell>
          <cell r="H24" t="str">
            <v/>
          </cell>
          <cell r="I24" t="str">
            <v/>
          </cell>
          <cell r="AA24">
            <v>1</v>
          </cell>
          <cell r="AB24" t="str">
            <v/>
          </cell>
        </row>
        <row r="25">
          <cell r="B25" t="str">
            <v>2.1.05g</v>
          </cell>
          <cell r="C25">
            <v>6</v>
          </cell>
          <cell r="E25">
            <v>17</v>
          </cell>
          <cell r="F25" t="str">
            <v>Unauthorized use of encryption should not take place in outbound data transfer. Is there any system established to monitor this and alert the analysts whenever detected?</v>
          </cell>
          <cell r="G25" t="str">
            <v>Select,</v>
          </cell>
          <cell r="I25" t="str">
            <v/>
          </cell>
          <cell r="AA25">
            <v>1</v>
          </cell>
          <cell r="AB25" t="str">
            <v/>
          </cell>
        </row>
        <row r="26">
          <cell r="B26" t="str">
            <v>2.1.06</v>
          </cell>
          <cell r="C26">
            <v>4</v>
          </cell>
          <cell r="E26">
            <v>18</v>
          </cell>
          <cell r="F26" t="str">
            <v>Are the hardware devices and systems of organization is properly configured/ updated with anti-malware scan?</v>
          </cell>
          <cell r="G26" t="str">
            <v>Select,</v>
          </cell>
          <cell r="H26" t="str">
            <v/>
          </cell>
          <cell r="I26" t="str">
            <v/>
          </cell>
        </row>
        <row r="27">
          <cell r="B27" t="str">
            <v>2.1.06a</v>
          </cell>
          <cell r="C27">
            <v>6</v>
          </cell>
          <cell r="E27">
            <v>19</v>
          </cell>
          <cell r="F27" t="str">
            <v>Analyse all available information related to a potential cyber security incident?</v>
          </cell>
          <cell r="G27" t="str">
            <v>Select,</v>
          </cell>
          <cell r="H27" t="str">
            <v/>
          </cell>
          <cell r="I27" t="str">
            <v/>
          </cell>
          <cell r="AA27">
            <v>1</v>
          </cell>
          <cell r="AB27" t="str">
            <v/>
          </cell>
        </row>
        <row r="28">
          <cell r="B28" t="str">
            <v>2.1.06b</v>
          </cell>
          <cell r="C28">
            <v>6</v>
          </cell>
          <cell r="E28">
            <v>20</v>
          </cell>
          <cell r="F28" t="str">
            <v>what are the physical threats to organization? If there is lack of continuously monitoring of Assests?</v>
          </cell>
          <cell r="I28" t="str">
            <v/>
          </cell>
          <cell r="AA28">
            <v>1</v>
          </cell>
          <cell r="AB28" t="str">
            <v/>
          </cell>
        </row>
        <row r="29">
          <cell r="B29" t="str">
            <v>2.1.06c</v>
          </cell>
          <cell r="C29">
            <v>6</v>
          </cell>
          <cell r="E29">
            <v>21</v>
          </cell>
          <cell r="F29" t="str">
            <v xml:space="preserve">Does all the devices are regularly scanned by a port scanner to alert? if unauthorized ports are detected on a system? </v>
          </cell>
          <cell r="G29" t="str">
            <v>Select,</v>
          </cell>
          <cell r="I29" t="str">
            <v/>
          </cell>
          <cell r="AA29">
            <v>1</v>
          </cell>
          <cell r="AB29" t="str">
            <v/>
          </cell>
        </row>
        <row r="30">
          <cell r="B30" t="str">
            <v>2.1.06d</v>
          </cell>
          <cell r="C30">
            <v>6</v>
          </cell>
          <cell r="E30">
            <v>22</v>
          </cell>
          <cell r="F30" t="str">
            <v>When monitoring information from relevant technical sources, such as specialised security software (eg SIEM or IDS) do you:</v>
          </cell>
          <cell r="G30" t="str">
            <v xml:space="preserve">          Select:</v>
          </cell>
          <cell r="I30" t="str">
            <v/>
          </cell>
          <cell r="AA30">
            <v>1</v>
          </cell>
          <cell r="AB30" t="str">
            <v/>
          </cell>
        </row>
        <row r="31">
          <cell r="B31" t="str">
            <v>2.1.07</v>
          </cell>
          <cell r="C31">
            <v>4</v>
          </cell>
          <cell r="E31">
            <v>23</v>
          </cell>
          <cell r="F31" t="str">
            <v xml:space="preserve">Does all devices are enabled with command-line audit logging for command shells, such as Python or Windows PowerShell with enhanced logging enabled? </v>
          </cell>
          <cell r="G31" t="str">
            <v xml:space="preserve">          Select:</v>
          </cell>
          <cell r="I31" t="str">
            <v/>
          </cell>
        </row>
        <row r="32">
          <cell r="B32" t="str">
            <v>2.1.07a</v>
          </cell>
          <cell r="C32">
            <v>6</v>
          </cell>
          <cell r="E32">
            <v>24</v>
          </cell>
          <cell r="F32" t="str">
            <v xml:space="preserve">Do the network devices utilize at least three synchronized time sources to retrieve time information on a regular basis so that timestamps in logs are consistent? </v>
          </cell>
          <cell r="G32" t="str">
            <v xml:space="preserve">          Select:</v>
          </cell>
          <cell r="I32" t="str">
            <v/>
          </cell>
          <cell r="AA32">
            <v>1</v>
          </cell>
          <cell r="AB32" t="str">
            <v/>
          </cell>
        </row>
        <row r="33">
          <cell r="B33" t="str">
            <v>2.1.07b</v>
          </cell>
          <cell r="C33">
            <v>6</v>
          </cell>
          <cell r="E33">
            <v>25</v>
          </cell>
          <cell r="F33" t="str">
            <v xml:space="preserve">How Security Threat detection and discover hidden information from log messages with SIEM? </v>
          </cell>
          <cell r="G33" t="str">
            <v xml:space="preserve">          Select:</v>
          </cell>
          <cell r="I33" t="str">
            <v/>
          </cell>
          <cell r="AA33">
            <v>1</v>
          </cell>
          <cell r="AB33" t="str">
            <v/>
          </cell>
        </row>
        <row r="34">
          <cell r="B34" t="str">
            <v>2.1.07c</v>
          </cell>
          <cell r="C34">
            <v>6</v>
          </cell>
          <cell r="E34">
            <v>26</v>
          </cell>
          <cell r="F34" t="str">
            <v xml:space="preserve">is the organizational Event detection information is communicated? </v>
          </cell>
          <cell r="G34" t="str">
            <v xml:space="preserve">          Select:</v>
          </cell>
          <cell r="I34" t="str">
            <v/>
          </cell>
          <cell r="AA34">
            <v>1</v>
          </cell>
          <cell r="AB34" t="str">
            <v/>
          </cell>
        </row>
        <row r="35">
          <cell r="B35" t="str">
            <v>2.1.07d</v>
          </cell>
          <cell r="C35">
            <v>6</v>
          </cell>
          <cell r="E35">
            <v>27</v>
          </cell>
          <cell r="F35" t="str">
            <v xml:space="preserve">Ensure that appropriate logs are being aggregated to a central log management system for analysis and review? </v>
          </cell>
          <cell r="G35" t="str">
            <v xml:space="preserve">          Select:</v>
          </cell>
          <cell r="I35" t="str">
            <v/>
          </cell>
          <cell r="AA35">
            <v>1</v>
          </cell>
          <cell r="AB35" t="str">
            <v/>
          </cell>
        </row>
        <row r="36">
          <cell r="B36" t="str">
            <v>2.1.07e</v>
          </cell>
          <cell r="C36">
            <v>6</v>
          </cell>
          <cell r="E36">
            <v>28</v>
          </cell>
          <cell r="F36" t="str">
            <v xml:space="preserve">organizational Public or Private IP’s Asset Protection? </v>
          </cell>
          <cell r="G36" t="str">
            <v xml:space="preserve">          Select:</v>
          </cell>
          <cell r="I36" t="str">
            <v/>
          </cell>
          <cell r="AA36">
            <v>1</v>
          </cell>
          <cell r="AB36" t="str">
            <v/>
          </cell>
        </row>
        <row r="37">
          <cell r="B37" t="str">
            <v>2.1.08</v>
          </cell>
          <cell r="C37">
            <v>4</v>
          </cell>
          <cell r="E37">
            <v>29</v>
          </cell>
          <cell r="F37" t="str">
            <v xml:space="preserve">Do the network devices utilize at least three synchronized time sources to retrieve time information on a regular basis so that timestamps in logs are consistent? </v>
          </cell>
          <cell r="G37" t="str">
            <v xml:space="preserve">          Select:</v>
          </cell>
          <cell r="I37" t="str">
            <v/>
          </cell>
        </row>
        <row r="38">
          <cell r="B38" t="str">
            <v>2.1.08a</v>
          </cell>
          <cell r="C38">
            <v>6</v>
          </cell>
          <cell r="E38">
            <v>30</v>
          </cell>
          <cell r="F38" t="str">
            <v xml:space="preserve">Is the Detection processes are tested? /Cyber security assessment updated? </v>
          </cell>
          <cell r="G38" t="str">
            <v xml:space="preserve">          Select:</v>
          </cell>
          <cell r="I38" t="str">
            <v/>
          </cell>
          <cell r="AA38">
            <v>1</v>
          </cell>
          <cell r="AB38" t="str">
            <v/>
          </cell>
        </row>
        <row r="39">
          <cell r="B39" t="str">
            <v>2.1.08b</v>
          </cell>
          <cell r="C39">
            <v>6</v>
          </cell>
          <cell r="E39" t="str">
            <v>2.1.08c</v>
          </cell>
          <cell r="F39" t="str">
            <v>Evaluating threat analytics (typically based on the threat model of the behaviour of attacks), helping to determine both symptoms and behaviour?</v>
          </cell>
          <cell r="H39" t="str">
            <v/>
          </cell>
          <cell r="I39" t="str">
            <v/>
          </cell>
          <cell r="AA39">
            <v>1</v>
          </cell>
          <cell r="AB39" t="str">
            <v/>
          </cell>
        </row>
        <row r="40">
          <cell r="B40" t="str">
            <v>2.1.08c</v>
          </cell>
          <cell r="C40">
            <v>6</v>
          </cell>
          <cell r="H40" t="str">
            <v/>
          </cell>
          <cell r="I40" t="str">
            <v/>
          </cell>
          <cell r="AA40">
            <v>1</v>
          </cell>
          <cell r="AB40" t="str">
            <v/>
          </cell>
        </row>
        <row r="41">
          <cell r="B41" t="str">
            <v>2.1.08d</v>
          </cell>
          <cell r="C41">
            <v>6</v>
          </cell>
          <cell r="AA41">
            <v>1</v>
          </cell>
          <cell r="AB41" t="str">
            <v/>
          </cell>
        </row>
        <row r="42">
          <cell r="B42" t="str">
            <v>2.1.08e</v>
          </cell>
          <cell r="C42">
            <v>6</v>
          </cell>
          <cell r="H42" t="str">
            <v/>
          </cell>
          <cell r="I42" t="str">
            <v/>
          </cell>
          <cell r="AA42">
            <v>1</v>
          </cell>
          <cell r="AB42" t="str">
            <v/>
          </cell>
        </row>
        <row r="43">
          <cell r="B43" t="str">
            <v>2.1.08f</v>
          </cell>
          <cell r="C43">
            <v>6</v>
          </cell>
          <cell r="H43" t="str">
            <v/>
          </cell>
          <cell r="I43" t="str">
            <v/>
          </cell>
          <cell r="AA43">
            <v>1</v>
          </cell>
          <cell r="AB43" t="str">
            <v/>
          </cell>
        </row>
        <row r="44">
          <cell r="B44" t="str">
            <v>2.1.09</v>
          </cell>
          <cell r="C44">
            <v>5</v>
          </cell>
          <cell r="H44" t="str">
            <v/>
          </cell>
          <cell r="I44" t="str">
            <v/>
          </cell>
          <cell r="AA44">
            <v>1</v>
          </cell>
          <cell r="AB44" t="str">
            <v/>
          </cell>
        </row>
        <row r="45">
          <cell r="B45" t="str">
            <v>2.1.10</v>
          </cell>
          <cell r="C45">
            <v>4</v>
          </cell>
          <cell r="H45" t="str">
            <v/>
          </cell>
          <cell r="I45" t="str">
            <v/>
          </cell>
        </row>
        <row r="46">
          <cell r="B46" t="str">
            <v>2.1.10a</v>
          </cell>
          <cell r="C46">
            <v>6</v>
          </cell>
          <cell r="H46" t="str">
            <v/>
          </cell>
          <cell r="I46" t="str">
            <v/>
          </cell>
          <cell r="AA46">
            <v>1</v>
          </cell>
          <cell r="AB46" t="str">
            <v/>
          </cell>
        </row>
        <row r="47">
          <cell r="B47" t="str">
            <v>2.1.10b</v>
          </cell>
          <cell r="C47">
            <v>6</v>
          </cell>
          <cell r="H47" t="str">
            <v/>
          </cell>
          <cell r="I47" t="str">
            <v/>
          </cell>
          <cell r="AA47">
            <v>1</v>
          </cell>
          <cell r="AB47" t="str">
            <v/>
          </cell>
        </row>
        <row r="48">
          <cell r="B48" t="str">
            <v>2.1.10c</v>
          </cell>
          <cell r="C48">
            <v>6</v>
          </cell>
          <cell r="H48" t="str">
            <v/>
          </cell>
          <cell r="I48" t="str">
            <v/>
          </cell>
          <cell r="AA48">
            <v>1</v>
          </cell>
          <cell r="AB48" t="str">
            <v/>
          </cell>
        </row>
        <row r="49">
          <cell r="B49" t="str">
            <v>2.2</v>
          </cell>
          <cell r="C49">
            <v>2</v>
          </cell>
          <cell r="H49" t="str">
            <v/>
          </cell>
          <cell r="I49" t="str">
            <v/>
          </cell>
        </row>
        <row r="50">
          <cell r="B50" t="str">
            <v/>
          </cell>
          <cell r="C50">
            <v>3</v>
          </cell>
          <cell r="H50" t="str">
            <v/>
          </cell>
          <cell r="I50" t="str">
            <v/>
          </cell>
        </row>
        <row r="51">
          <cell r="B51" t="str">
            <v>2.2.01</v>
          </cell>
          <cell r="C51">
            <v>5</v>
          </cell>
          <cell r="H51" t="str">
            <v/>
          </cell>
          <cell r="I51" t="str">
            <v/>
          </cell>
          <cell r="AA51">
            <v>1</v>
          </cell>
          <cell r="AB51" t="str">
            <v/>
          </cell>
        </row>
        <row r="52">
          <cell r="B52" t="str">
            <v>2.2.02</v>
          </cell>
          <cell r="C52">
            <v>4</v>
          </cell>
          <cell r="H52" t="str">
            <v/>
          </cell>
          <cell r="I52" t="str">
            <v/>
          </cell>
        </row>
        <row r="53">
          <cell r="B53" t="str">
            <v>2.2.02a</v>
          </cell>
          <cell r="C53">
            <v>6</v>
          </cell>
          <cell r="H53" t="str">
            <v/>
          </cell>
          <cell r="I53" t="str">
            <v/>
          </cell>
          <cell r="AA53">
            <v>1</v>
          </cell>
          <cell r="AB53" t="str">
            <v/>
          </cell>
        </row>
        <row r="54">
          <cell r="B54" t="str">
            <v>2.2.02b</v>
          </cell>
          <cell r="C54">
            <v>6</v>
          </cell>
          <cell r="H54" t="str">
            <v/>
          </cell>
          <cell r="I54" t="str">
            <v/>
          </cell>
          <cell r="AA54">
            <v>1</v>
          </cell>
          <cell r="AB54" t="str">
            <v/>
          </cell>
        </row>
        <row r="55">
          <cell r="B55" t="str">
            <v>2.2.02c</v>
          </cell>
          <cell r="C55">
            <v>6</v>
          </cell>
          <cell r="H55" t="str">
            <v/>
          </cell>
          <cell r="I55" t="str">
            <v/>
          </cell>
          <cell r="AA55">
            <v>1</v>
          </cell>
          <cell r="AB55" t="str">
            <v/>
          </cell>
        </row>
        <row r="56">
          <cell r="B56" t="str">
            <v>2.2.03</v>
          </cell>
          <cell r="C56">
            <v>4</v>
          </cell>
          <cell r="H56" t="str">
            <v/>
          </cell>
          <cell r="I56" t="str">
            <v/>
          </cell>
        </row>
        <row r="57">
          <cell r="B57" t="str">
            <v>2.2.03a</v>
          </cell>
          <cell r="C57">
            <v>6</v>
          </cell>
          <cell r="H57" t="str">
            <v/>
          </cell>
          <cell r="I57" t="str">
            <v/>
          </cell>
          <cell r="AA57">
            <v>1</v>
          </cell>
          <cell r="AB57" t="str">
            <v/>
          </cell>
        </row>
        <row r="58">
          <cell r="B58" t="str">
            <v>2.2.03b</v>
          </cell>
          <cell r="C58">
            <v>6</v>
          </cell>
          <cell r="H58" t="str">
            <v/>
          </cell>
          <cell r="I58" t="str">
            <v/>
          </cell>
          <cell r="AA58">
            <v>1</v>
          </cell>
          <cell r="AB58" t="str">
            <v/>
          </cell>
        </row>
        <row r="59">
          <cell r="B59" t="str">
            <v>2.2.03c</v>
          </cell>
          <cell r="C59">
            <v>6</v>
          </cell>
          <cell r="H59" t="str">
            <v/>
          </cell>
          <cell r="I59" t="str">
            <v/>
          </cell>
          <cell r="AA59">
            <v>1</v>
          </cell>
          <cell r="AB59" t="str">
            <v/>
          </cell>
        </row>
        <row r="60">
          <cell r="B60" t="str">
            <v>2.2.03d</v>
          </cell>
          <cell r="C60">
            <v>6</v>
          </cell>
          <cell r="H60" t="str">
            <v/>
          </cell>
          <cell r="I60" t="str">
            <v/>
          </cell>
          <cell r="AA60">
            <v>1</v>
          </cell>
          <cell r="AB60" t="str">
            <v/>
          </cell>
        </row>
        <row r="61">
          <cell r="B61" t="str">
            <v>2.2.03e</v>
          </cell>
          <cell r="C61">
            <v>6</v>
          </cell>
          <cell r="H61" t="str">
            <v/>
          </cell>
          <cell r="I61" t="str">
            <v/>
          </cell>
          <cell r="AA61">
            <v>1</v>
          </cell>
          <cell r="AB61" t="str">
            <v/>
          </cell>
        </row>
        <row r="62">
          <cell r="B62" t="str">
            <v>2.2.03f</v>
          </cell>
          <cell r="C62">
            <v>6</v>
          </cell>
          <cell r="H62" t="str">
            <v/>
          </cell>
          <cell r="I62" t="str">
            <v/>
          </cell>
          <cell r="AA62">
            <v>1</v>
          </cell>
          <cell r="AB62" t="str">
            <v/>
          </cell>
        </row>
        <row r="63">
          <cell r="B63" t="str">
            <v>2.2.04</v>
          </cell>
          <cell r="C63">
            <v>4</v>
          </cell>
          <cell r="H63" t="str">
            <v/>
          </cell>
          <cell r="I63" t="str">
            <v/>
          </cell>
        </row>
        <row r="64">
          <cell r="B64" t="str">
            <v>2.2.04a</v>
          </cell>
          <cell r="C64">
            <v>6</v>
          </cell>
          <cell r="H64" t="str">
            <v/>
          </cell>
          <cell r="I64" t="str">
            <v/>
          </cell>
          <cell r="AA64">
            <v>1</v>
          </cell>
          <cell r="AB64" t="str">
            <v/>
          </cell>
        </row>
        <row r="65">
          <cell r="B65" t="str">
            <v>2.2.04b</v>
          </cell>
          <cell r="C65">
            <v>6</v>
          </cell>
          <cell r="H65" t="str">
            <v/>
          </cell>
          <cell r="I65" t="str">
            <v/>
          </cell>
          <cell r="AA65">
            <v>1</v>
          </cell>
          <cell r="AB65" t="str">
            <v/>
          </cell>
        </row>
        <row r="66">
          <cell r="B66" t="str">
            <v>2.2.05</v>
          </cell>
          <cell r="C66">
            <v>5</v>
          </cell>
          <cell r="H66" t="str">
            <v/>
          </cell>
          <cell r="I66" t="str">
            <v/>
          </cell>
          <cell r="AA66">
            <v>1</v>
          </cell>
          <cell r="AB66" t="str">
            <v/>
          </cell>
        </row>
        <row r="67">
          <cell r="B67" t="str">
            <v>2.2.06</v>
          </cell>
          <cell r="C67">
            <v>5</v>
          </cell>
          <cell r="H67" t="str">
            <v/>
          </cell>
          <cell r="I67" t="str">
            <v/>
          </cell>
          <cell r="AA67">
            <v>1</v>
          </cell>
          <cell r="AB67" t="str">
            <v/>
          </cell>
        </row>
        <row r="68">
          <cell r="B68" t="str">
            <v>2.2.07</v>
          </cell>
          <cell r="C68">
            <v>4</v>
          </cell>
          <cell r="H68" t="str">
            <v/>
          </cell>
          <cell r="I68" t="str">
            <v/>
          </cell>
        </row>
        <row r="69">
          <cell r="B69" t="str">
            <v>2.2.07a</v>
          </cell>
          <cell r="C69">
            <v>6</v>
          </cell>
          <cell r="H69" t="str">
            <v/>
          </cell>
          <cell r="I69" t="str">
            <v/>
          </cell>
          <cell r="AA69">
            <v>1</v>
          </cell>
          <cell r="AB69" t="str">
            <v/>
          </cell>
        </row>
        <row r="70">
          <cell r="B70" t="str">
            <v>2.2.07b</v>
          </cell>
          <cell r="C70">
            <v>6</v>
          </cell>
          <cell r="H70" t="str">
            <v/>
          </cell>
          <cell r="I70" t="str">
            <v/>
          </cell>
          <cell r="AA70">
            <v>1</v>
          </cell>
          <cell r="AB70" t="str">
            <v/>
          </cell>
        </row>
        <row r="71">
          <cell r="B71" t="str">
            <v>2.2.07c</v>
          </cell>
          <cell r="C71">
            <v>6</v>
          </cell>
          <cell r="H71" t="str">
            <v/>
          </cell>
          <cell r="I71" t="str">
            <v/>
          </cell>
          <cell r="AA71">
            <v>1</v>
          </cell>
          <cell r="AB71" t="str">
            <v/>
          </cell>
        </row>
        <row r="72">
          <cell r="B72" t="str">
            <v/>
          </cell>
          <cell r="C72">
            <v>3</v>
          </cell>
          <cell r="H72" t="str">
            <v/>
          </cell>
          <cell r="I72" t="str">
            <v/>
          </cell>
        </row>
        <row r="73">
          <cell r="B73" t="str">
            <v>2.2.08</v>
          </cell>
          <cell r="C73">
            <v>5</v>
          </cell>
          <cell r="H73" t="str">
            <v/>
          </cell>
          <cell r="I73" t="str">
            <v/>
          </cell>
          <cell r="AA73">
            <v>1</v>
          </cell>
          <cell r="AB73" t="str">
            <v/>
          </cell>
        </row>
        <row r="74">
          <cell r="B74" t="str">
            <v>2.2.09</v>
          </cell>
          <cell r="C74">
            <v>4</v>
          </cell>
          <cell r="H74" t="str">
            <v/>
          </cell>
          <cell r="I74" t="str">
            <v/>
          </cell>
        </row>
        <row r="75">
          <cell r="B75" t="str">
            <v>2.2.09a</v>
          </cell>
          <cell r="C75">
            <v>6</v>
          </cell>
          <cell r="H75" t="str">
            <v/>
          </cell>
          <cell r="I75" t="str">
            <v/>
          </cell>
          <cell r="AA75">
            <v>1</v>
          </cell>
          <cell r="AB75" t="str">
            <v/>
          </cell>
        </row>
        <row r="76">
          <cell r="B76" t="str">
            <v>2.2.09b</v>
          </cell>
          <cell r="C76">
            <v>6</v>
          </cell>
          <cell r="H76" t="str">
            <v/>
          </cell>
          <cell r="I76" t="str">
            <v/>
          </cell>
          <cell r="AA76">
            <v>1</v>
          </cell>
          <cell r="AB76" t="str">
            <v/>
          </cell>
        </row>
        <row r="77">
          <cell r="B77" t="str">
            <v>2.2.09c</v>
          </cell>
          <cell r="C77">
            <v>6</v>
          </cell>
          <cell r="H77" t="str">
            <v/>
          </cell>
          <cell r="I77" t="str">
            <v/>
          </cell>
          <cell r="AA77">
            <v>1</v>
          </cell>
          <cell r="AB77" t="str">
            <v/>
          </cell>
        </row>
        <row r="78">
          <cell r="B78" t="str">
            <v/>
          </cell>
          <cell r="C78">
            <v>3</v>
          </cell>
          <cell r="H78" t="str">
            <v/>
          </cell>
          <cell r="I78" t="str">
            <v/>
          </cell>
        </row>
        <row r="79">
          <cell r="B79" t="str">
            <v>2.2.10</v>
          </cell>
          <cell r="C79">
            <v>5</v>
          </cell>
          <cell r="H79" t="str">
            <v/>
          </cell>
          <cell r="I79" t="str">
            <v/>
          </cell>
          <cell r="AA79">
            <v>1</v>
          </cell>
          <cell r="AB79" t="str">
            <v/>
          </cell>
        </row>
        <row r="80">
          <cell r="B80" t="str">
            <v>2.2.11</v>
          </cell>
          <cell r="C80">
            <v>4</v>
          </cell>
          <cell r="H80" t="str">
            <v/>
          </cell>
          <cell r="I80" t="str">
            <v/>
          </cell>
        </row>
        <row r="81">
          <cell r="B81" t="str">
            <v>2.2.11a</v>
          </cell>
          <cell r="C81">
            <v>6</v>
          </cell>
          <cell r="H81" t="str">
            <v/>
          </cell>
          <cell r="I81" t="str">
            <v/>
          </cell>
          <cell r="AA81">
            <v>1</v>
          </cell>
          <cell r="AB81" t="str">
            <v/>
          </cell>
        </row>
        <row r="82">
          <cell r="B82" t="str">
            <v>2.2.11b</v>
          </cell>
          <cell r="C82">
            <v>6</v>
          </cell>
          <cell r="H82" t="str">
            <v/>
          </cell>
          <cell r="I82" t="str">
            <v/>
          </cell>
          <cell r="AA82">
            <v>1</v>
          </cell>
          <cell r="AB82" t="str">
            <v/>
          </cell>
        </row>
        <row r="83">
          <cell r="B83" t="str">
            <v>2.2.11c</v>
          </cell>
          <cell r="C83">
            <v>6</v>
          </cell>
          <cell r="H83" t="str">
            <v/>
          </cell>
          <cell r="I83" t="str">
            <v/>
          </cell>
          <cell r="AA83">
            <v>1</v>
          </cell>
          <cell r="AB83" t="str">
            <v/>
          </cell>
        </row>
        <row r="84">
          <cell r="B84" t="str">
            <v>2.2.12</v>
          </cell>
          <cell r="C84">
            <v>4</v>
          </cell>
          <cell r="H84" t="str">
            <v/>
          </cell>
          <cell r="I84" t="str">
            <v/>
          </cell>
        </row>
        <row r="85">
          <cell r="B85" t="str">
            <v>2.2.12a</v>
          </cell>
          <cell r="C85">
            <v>6</v>
          </cell>
          <cell r="H85" t="str">
            <v/>
          </cell>
          <cell r="I85" t="str">
            <v/>
          </cell>
          <cell r="AA85">
            <v>1</v>
          </cell>
          <cell r="AB85" t="str">
            <v/>
          </cell>
        </row>
        <row r="86">
          <cell r="B86" t="str">
            <v>2.2.12b</v>
          </cell>
          <cell r="C86">
            <v>6</v>
          </cell>
          <cell r="H86" t="str">
            <v/>
          </cell>
          <cell r="I86" t="str">
            <v/>
          </cell>
          <cell r="AA86">
            <v>1</v>
          </cell>
          <cell r="AB86" t="str">
            <v/>
          </cell>
        </row>
        <row r="87">
          <cell r="B87" t="str">
            <v>2.2.13</v>
          </cell>
          <cell r="C87">
            <v>5</v>
          </cell>
          <cell r="H87" t="str">
            <v/>
          </cell>
          <cell r="I87" t="str">
            <v/>
          </cell>
          <cell r="AA87">
            <v>1</v>
          </cell>
          <cell r="AB87" t="str">
            <v/>
          </cell>
        </row>
        <row r="88">
          <cell r="B88" t="str">
            <v>2.2.14</v>
          </cell>
          <cell r="C88">
            <v>5</v>
          </cell>
          <cell r="H88" t="str">
            <v/>
          </cell>
          <cell r="I88" t="str">
            <v/>
          </cell>
          <cell r="AA88">
            <v>1</v>
          </cell>
          <cell r="AB88" t="str">
            <v/>
          </cell>
        </row>
        <row r="89">
          <cell r="B89" t="str">
            <v>2.2.15</v>
          </cell>
          <cell r="C89">
            <v>4</v>
          </cell>
          <cell r="H89" t="str">
            <v/>
          </cell>
          <cell r="I89" t="str">
            <v/>
          </cell>
        </row>
        <row r="90">
          <cell r="B90" t="str">
            <v>2.2.15a</v>
          </cell>
          <cell r="C90">
            <v>6</v>
          </cell>
          <cell r="H90" t="str">
            <v/>
          </cell>
          <cell r="I90" t="str">
            <v/>
          </cell>
          <cell r="AA90">
            <v>1</v>
          </cell>
          <cell r="AB90" t="str">
            <v/>
          </cell>
        </row>
        <row r="91">
          <cell r="B91" t="str">
            <v>2.2.15b</v>
          </cell>
          <cell r="C91">
            <v>6</v>
          </cell>
          <cell r="H91" t="str">
            <v/>
          </cell>
          <cell r="I91" t="str">
            <v/>
          </cell>
          <cell r="AA91">
            <v>1</v>
          </cell>
          <cell r="AB91" t="str">
            <v/>
          </cell>
        </row>
        <row r="92">
          <cell r="B92" t="str">
            <v>2.2.15c</v>
          </cell>
          <cell r="C92">
            <v>6</v>
          </cell>
          <cell r="H92" t="str">
            <v/>
          </cell>
          <cell r="I92" t="str">
            <v/>
          </cell>
          <cell r="AA92">
            <v>1</v>
          </cell>
          <cell r="AB92" t="str">
            <v/>
          </cell>
        </row>
        <row r="93">
          <cell r="B93" t="str">
            <v/>
          </cell>
          <cell r="C93">
            <v>3</v>
          </cell>
          <cell r="H93" t="str">
            <v/>
          </cell>
          <cell r="I93" t="str">
            <v/>
          </cell>
        </row>
        <row r="94">
          <cell r="B94" t="str">
            <v>2.2.16</v>
          </cell>
          <cell r="C94">
            <v>5</v>
          </cell>
          <cell r="H94" t="str">
            <v/>
          </cell>
          <cell r="I94" t="str">
            <v/>
          </cell>
          <cell r="AA94">
            <v>1</v>
          </cell>
          <cell r="AB94" t="str">
            <v/>
          </cell>
        </row>
        <row r="95">
          <cell r="B95" t="str">
            <v>2.2.17</v>
          </cell>
          <cell r="C95">
            <v>4</v>
          </cell>
          <cell r="H95" t="str">
            <v/>
          </cell>
          <cell r="I95" t="str">
            <v/>
          </cell>
        </row>
        <row r="96">
          <cell r="B96" t="str">
            <v>2.2.17a</v>
          </cell>
          <cell r="C96">
            <v>6</v>
          </cell>
          <cell r="H96" t="str">
            <v/>
          </cell>
          <cell r="I96" t="str">
            <v/>
          </cell>
          <cell r="AA96">
            <v>1</v>
          </cell>
          <cell r="AB96" t="str">
            <v/>
          </cell>
        </row>
        <row r="97">
          <cell r="B97" t="str">
            <v>2.2.17b</v>
          </cell>
          <cell r="C97">
            <v>6</v>
          </cell>
          <cell r="H97" t="str">
            <v/>
          </cell>
          <cell r="I97" t="str">
            <v/>
          </cell>
          <cell r="AA97">
            <v>1</v>
          </cell>
          <cell r="AB97" t="str">
            <v/>
          </cell>
        </row>
        <row r="98">
          <cell r="B98" t="str">
            <v>2.2.18</v>
          </cell>
          <cell r="C98">
            <v>4</v>
          </cell>
          <cell r="H98" t="str">
            <v/>
          </cell>
          <cell r="I98" t="str">
            <v/>
          </cell>
        </row>
        <row r="99">
          <cell r="B99" t="str">
            <v>2.2.18a</v>
          </cell>
          <cell r="C99">
            <v>6</v>
          </cell>
          <cell r="H99" t="str">
            <v/>
          </cell>
          <cell r="I99" t="str">
            <v/>
          </cell>
          <cell r="AA99">
            <v>1</v>
          </cell>
          <cell r="AB99" t="str">
            <v/>
          </cell>
        </row>
        <row r="100">
          <cell r="B100" t="str">
            <v>2.2.18b</v>
          </cell>
          <cell r="C100">
            <v>6</v>
          </cell>
          <cell r="H100" t="str">
            <v/>
          </cell>
          <cell r="I100" t="str">
            <v/>
          </cell>
          <cell r="AA100">
            <v>1</v>
          </cell>
          <cell r="AB100" t="str">
            <v/>
          </cell>
        </row>
        <row r="101">
          <cell r="B101" t="str">
            <v>2.2.18c</v>
          </cell>
          <cell r="C101">
            <v>6</v>
          </cell>
          <cell r="H101" t="str">
            <v/>
          </cell>
          <cell r="I101" t="str">
            <v/>
          </cell>
          <cell r="AA101">
            <v>1</v>
          </cell>
          <cell r="AB101" t="str">
            <v/>
          </cell>
        </row>
        <row r="102">
          <cell r="B102" t="str">
            <v>2.2.18d</v>
          </cell>
          <cell r="C102">
            <v>6</v>
          </cell>
          <cell r="H102" t="str">
            <v/>
          </cell>
          <cell r="I102" t="str">
            <v/>
          </cell>
          <cell r="AA102">
            <v>1</v>
          </cell>
          <cell r="AB102" t="str">
            <v/>
          </cell>
        </row>
        <row r="103">
          <cell r="B103" t="str">
            <v>2.2.19</v>
          </cell>
          <cell r="C103">
            <v>4</v>
          </cell>
          <cell r="H103" t="str">
            <v/>
          </cell>
          <cell r="I103" t="str">
            <v/>
          </cell>
        </row>
        <row r="104">
          <cell r="B104" t="str">
            <v>2.2.19a</v>
          </cell>
          <cell r="C104">
            <v>6</v>
          </cell>
          <cell r="H104" t="str">
            <v/>
          </cell>
          <cell r="I104" t="str">
            <v/>
          </cell>
          <cell r="AA104">
            <v>1</v>
          </cell>
          <cell r="AB104" t="str">
            <v/>
          </cell>
        </row>
        <row r="105">
          <cell r="B105" t="str">
            <v>2.2.19b</v>
          </cell>
          <cell r="C105">
            <v>6</v>
          </cell>
          <cell r="H105" t="str">
            <v/>
          </cell>
          <cell r="I105" t="str">
            <v/>
          </cell>
          <cell r="AA105">
            <v>1</v>
          </cell>
          <cell r="AB105" t="str">
            <v/>
          </cell>
        </row>
        <row r="106">
          <cell r="B106" t="str">
            <v>2.2.19c</v>
          </cell>
          <cell r="C106">
            <v>6</v>
          </cell>
          <cell r="H106" t="str">
            <v/>
          </cell>
          <cell r="I106" t="str">
            <v/>
          </cell>
          <cell r="AA106">
            <v>1</v>
          </cell>
          <cell r="AB106" t="str">
            <v/>
          </cell>
        </row>
        <row r="107">
          <cell r="B107" t="str">
            <v>2.2.19d</v>
          </cell>
          <cell r="C107">
            <v>6</v>
          </cell>
          <cell r="H107" t="str">
            <v/>
          </cell>
          <cell r="I107" t="str">
            <v/>
          </cell>
          <cell r="AA107">
            <v>1</v>
          </cell>
          <cell r="AB107" t="str">
            <v/>
          </cell>
        </row>
        <row r="108">
          <cell r="B108" t="str">
            <v>2.2.20</v>
          </cell>
          <cell r="C108">
            <v>4</v>
          </cell>
          <cell r="H108" t="str">
            <v/>
          </cell>
          <cell r="I108" t="str">
            <v/>
          </cell>
        </row>
        <row r="109">
          <cell r="B109" t="str">
            <v>2.2.20a</v>
          </cell>
          <cell r="C109">
            <v>6</v>
          </cell>
          <cell r="H109" t="str">
            <v/>
          </cell>
          <cell r="I109" t="str">
            <v/>
          </cell>
          <cell r="AA109">
            <v>1</v>
          </cell>
          <cell r="AB109" t="str">
            <v/>
          </cell>
        </row>
        <row r="110">
          <cell r="B110" t="str">
            <v>2.2.20b</v>
          </cell>
          <cell r="C110">
            <v>6</v>
          </cell>
          <cell r="H110" t="str">
            <v/>
          </cell>
          <cell r="I110" t="str">
            <v/>
          </cell>
          <cell r="AA110">
            <v>1</v>
          </cell>
          <cell r="AB110" t="str">
            <v/>
          </cell>
        </row>
        <row r="111">
          <cell r="B111" t="str">
            <v/>
          </cell>
          <cell r="C111">
            <v>3</v>
          </cell>
          <cell r="H111" t="str">
            <v/>
          </cell>
          <cell r="I111" t="str">
            <v/>
          </cell>
        </row>
        <row r="112">
          <cell r="B112" t="str">
            <v>2.2.21</v>
          </cell>
          <cell r="C112">
            <v>5</v>
          </cell>
          <cell r="H112" t="str">
            <v/>
          </cell>
          <cell r="I112" t="str">
            <v/>
          </cell>
          <cell r="AA112">
            <v>1</v>
          </cell>
          <cell r="AB112" t="str">
            <v/>
          </cell>
        </row>
        <row r="113">
          <cell r="B113" t="str">
            <v>2.2.22</v>
          </cell>
          <cell r="C113">
            <v>4</v>
          </cell>
          <cell r="H113" t="str">
            <v/>
          </cell>
          <cell r="I113" t="str">
            <v/>
          </cell>
        </row>
        <row r="114">
          <cell r="B114" t="str">
            <v>2.2.22a</v>
          </cell>
          <cell r="C114">
            <v>6</v>
          </cell>
          <cell r="H114" t="str">
            <v/>
          </cell>
          <cell r="I114" t="str">
            <v/>
          </cell>
          <cell r="AA114">
            <v>1</v>
          </cell>
          <cell r="AB114" t="str">
            <v/>
          </cell>
        </row>
        <row r="115">
          <cell r="B115" t="str">
            <v>2.2.22b</v>
          </cell>
          <cell r="C115">
            <v>6</v>
          </cell>
          <cell r="H115" t="str">
            <v/>
          </cell>
          <cell r="I115" t="str">
            <v/>
          </cell>
          <cell r="AA115">
            <v>1</v>
          </cell>
          <cell r="AB115" t="str">
            <v/>
          </cell>
        </row>
        <row r="116">
          <cell r="B116" t="str">
            <v>2.3</v>
          </cell>
          <cell r="C116">
            <v>2</v>
          </cell>
          <cell r="H116" t="str">
            <v/>
          </cell>
          <cell r="I116" t="str">
            <v/>
          </cell>
        </row>
        <row r="117">
          <cell r="B117" t="str">
            <v/>
          </cell>
          <cell r="C117">
            <v>3</v>
          </cell>
          <cell r="H117" t="str">
            <v/>
          </cell>
          <cell r="I117" t="str">
            <v/>
          </cell>
        </row>
        <row r="118">
          <cell r="B118" t="str">
            <v>2.3.01</v>
          </cell>
          <cell r="C118">
            <v>5</v>
          </cell>
          <cell r="H118" t="str">
            <v/>
          </cell>
          <cell r="I118" t="str">
            <v/>
          </cell>
          <cell r="AA118">
            <v>1</v>
          </cell>
          <cell r="AB118" t="str">
            <v/>
          </cell>
        </row>
        <row r="119">
          <cell r="B119" t="str">
            <v>2.3.02</v>
          </cell>
          <cell r="C119">
            <v>4</v>
          </cell>
          <cell r="H119" t="str">
            <v/>
          </cell>
          <cell r="I119" t="str">
            <v/>
          </cell>
        </row>
        <row r="120">
          <cell r="B120" t="str">
            <v>2.3.02a</v>
          </cell>
          <cell r="C120">
            <v>6</v>
          </cell>
          <cell r="H120" t="str">
            <v/>
          </cell>
          <cell r="I120" t="str">
            <v/>
          </cell>
          <cell r="AA120">
            <v>1</v>
          </cell>
          <cell r="AB120" t="str">
            <v/>
          </cell>
        </row>
        <row r="121">
          <cell r="B121" t="str">
            <v>2.3.02b</v>
          </cell>
          <cell r="C121">
            <v>6</v>
          </cell>
          <cell r="H121" t="str">
            <v/>
          </cell>
          <cell r="I121" t="str">
            <v/>
          </cell>
          <cell r="AA121">
            <v>1</v>
          </cell>
          <cell r="AB121" t="str">
            <v/>
          </cell>
        </row>
        <row r="122">
          <cell r="B122" t="str">
            <v>2.3.02c</v>
          </cell>
          <cell r="C122">
            <v>6</v>
          </cell>
          <cell r="H122" t="str">
            <v/>
          </cell>
          <cell r="I122" t="str">
            <v/>
          </cell>
          <cell r="AA122">
            <v>1</v>
          </cell>
          <cell r="AB122" t="str">
            <v/>
          </cell>
        </row>
        <row r="123">
          <cell r="B123" t="str">
            <v>2.3.02d</v>
          </cell>
          <cell r="C123">
            <v>6</v>
          </cell>
          <cell r="H123" t="str">
            <v/>
          </cell>
          <cell r="I123" t="str">
            <v/>
          </cell>
          <cell r="AA123">
            <v>1</v>
          </cell>
          <cell r="AB123" t="str">
            <v/>
          </cell>
        </row>
        <row r="124">
          <cell r="B124" t="str">
            <v>2.3.03</v>
          </cell>
          <cell r="C124">
            <v>4</v>
          </cell>
          <cell r="H124" t="str">
            <v/>
          </cell>
          <cell r="I124" t="str">
            <v/>
          </cell>
        </row>
        <row r="125">
          <cell r="B125" t="str">
            <v>2.3.03a</v>
          </cell>
          <cell r="C125">
            <v>6</v>
          </cell>
          <cell r="H125" t="str">
            <v/>
          </cell>
          <cell r="I125" t="str">
            <v/>
          </cell>
          <cell r="AA125">
            <v>1</v>
          </cell>
          <cell r="AB125" t="str">
            <v/>
          </cell>
        </row>
        <row r="126">
          <cell r="B126" t="str">
            <v>2.3.03b</v>
          </cell>
          <cell r="C126">
            <v>6</v>
          </cell>
          <cell r="H126" t="str">
            <v/>
          </cell>
          <cell r="I126" t="str">
            <v/>
          </cell>
          <cell r="AA126">
            <v>1</v>
          </cell>
          <cell r="AB126" t="str">
            <v/>
          </cell>
        </row>
        <row r="127">
          <cell r="B127" t="str">
            <v>2.3.03c</v>
          </cell>
          <cell r="C127">
            <v>6</v>
          </cell>
          <cell r="H127" t="str">
            <v/>
          </cell>
          <cell r="I127" t="str">
            <v/>
          </cell>
          <cell r="AA127">
            <v>1</v>
          </cell>
          <cell r="AB127" t="str">
            <v/>
          </cell>
        </row>
        <row r="128">
          <cell r="B128" t="str">
            <v>2.3.03d</v>
          </cell>
          <cell r="C128">
            <v>6</v>
          </cell>
          <cell r="H128" t="str">
            <v/>
          </cell>
          <cell r="I128" t="str">
            <v/>
          </cell>
          <cell r="AA128">
            <v>1</v>
          </cell>
          <cell r="AB128" t="str">
            <v/>
          </cell>
        </row>
        <row r="129">
          <cell r="B129" t="str">
            <v>2.3.04</v>
          </cell>
          <cell r="C129">
            <v>5</v>
          </cell>
          <cell r="H129" t="str">
            <v/>
          </cell>
          <cell r="I129" t="str">
            <v/>
          </cell>
          <cell r="AA129">
            <v>1</v>
          </cell>
          <cell r="AB129" t="str">
            <v/>
          </cell>
        </row>
        <row r="130">
          <cell r="B130" t="str">
            <v>2.3.05</v>
          </cell>
          <cell r="C130">
            <v>5</v>
          </cell>
          <cell r="H130" t="str">
            <v/>
          </cell>
          <cell r="I130" t="str">
            <v/>
          </cell>
          <cell r="AA130">
            <v>1</v>
          </cell>
          <cell r="AB130" t="str">
            <v/>
          </cell>
        </row>
        <row r="131">
          <cell r="B131" t="str">
            <v>2.3.06</v>
          </cell>
          <cell r="C131">
            <v>4</v>
          </cell>
          <cell r="H131" t="str">
            <v/>
          </cell>
          <cell r="I131" t="str">
            <v/>
          </cell>
        </row>
        <row r="132">
          <cell r="B132" t="str">
            <v>2.3.06a</v>
          </cell>
          <cell r="C132">
            <v>6</v>
          </cell>
          <cell r="H132" t="str">
            <v/>
          </cell>
          <cell r="I132" t="str">
            <v/>
          </cell>
          <cell r="AA132">
            <v>1</v>
          </cell>
          <cell r="AB132" t="str">
            <v/>
          </cell>
        </row>
        <row r="133">
          <cell r="B133" t="str">
            <v>2.3.06b</v>
          </cell>
          <cell r="C133">
            <v>6</v>
          </cell>
          <cell r="H133" t="str">
            <v/>
          </cell>
          <cell r="I133" t="str">
            <v/>
          </cell>
          <cell r="AA133">
            <v>1</v>
          </cell>
          <cell r="AB133" t="str">
            <v/>
          </cell>
        </row>
        <row r="134">
          <cell r="B134" t="str">
            <v>2.3.06c</v>
          </cell>
          <cell r="C134">
            <v>6</v>
          </cell>
          <cell r="H134" t="str">
            <v/>
          </cell>
          <cell r="I134" t="str">
            <v/>
          </cell>
          <cell r="AA134">
            <v>1</v>
          </cell>
          <cell r="AB134" t="str">
            <v/>
          </cell>
        </row>
        <row r="135">
          <cell r="B135" t="str">
            <v>2.3.06d</v>
          </cell>
          <cell r="C135">
            <v>6</v>
          </cell>
          <cell r="H135" t="str">
            <v/>
          </cell>
          <cell r="I135" t="str">
            <v/>
          </cell>
          <cell r="AA135">
            <v>1</v>
          </cell>
          <cell r="AB135" t="str">
            <v/>
          </cell>
        </row>
        <row r="136">
          <cell r="B136" t="str">
            <v>2.3.06e</v>
          </cell>
          <cell r="C136">
            <v>6</v>
          </cell>
          <cell r="H136" t="str">
            <v/>
          </cell>
          <cell r="I136" t="str">
            <v/>
          </cell>
          <cell r="AA136">
            <v>1</v>
          </cell>
          <cell r="AB136" t="str">
            <v/>
          </cell>
        </row>
        <row r="137">
          <cell r="B137" t="str">
            <v>2.3.06f</v>
          </cell>
          <cell r="C137">
            <v>6</v>
          </cell>
          <cell r="H137" t="str">
            <v/>
          </cell>
          <cell r="I137" t="str">
            <v/>
          </cell>
          <cell r="AA137">
            <v>1</v>
          </cell>
          <cell r="AB137" t="str">
            <v/>
          </cell>
        </row>
        <row r="138">
          <cell r="B138" t="str">
            <v>2.3.06g</v>
          </cell>
          <cell r="C138">
            <v>6</v>
          </cell>
          <cell r="H138" t="str">
            <v/>
          </cell>
          <cell r="I138" t="str">
            <v/>
          </cell>
          <cell r="AA138">
            <v>1</v>
          </cell>
          <cell r="AB138" t="str">
            <v/>
          </cell>
        </row>
        <row r="139">
          <cell r="B139" t="str">
            <v>2.3.07</v>
          </cell>
          <cell r="C139">
            <v>4</v>
          </cell>
          <cell r="H139" t="str">
            <v/>
          </cell>
          <cell r="I139" t="str">
            <v/>
          </cell>
        </row>
        <row r="140">
          <cell r="B140" t="str">
            <v>2.3.07a</v>
          </cell>
          <cell r="C140">
            <v>6</v>
          </cell>
          <cell r="H140" t="str">
            <v/>
          </cell>
          <cell r="I140" t="str">
            <v/>
          </cell>
          <cell r="AA140">
            <v>1</v>
          </cell>
          <cell r="AB140" t="str">
            <v/>
          </cell>
        </row>
        <row r="141">
          <cell r="B141" t="str">
            <v>2.3.07b</v>
          </cell>
          <cell r="C141">
            <v>6</v>
          </cell>
          <cell r="H141" t="str">
            <v/>
          </cell>
          <cell r="I141" t="str">
            <v/>
          </cell>
          <cell r="AA141">
            <v>1</v>
          </cell>
          <cell r="AB141" t="str">
            <v/>
          </cell>
        </row>
        <row r="142">
          <cell r="B142" t="str">
            <v>2.3.08</v>
          </cell>
          <cell r="C142">
            <v>5</v>
          </cell>
          <cell r="H142" t="str">
            <v/>
          </cell>
          <cell r="I142" t="str">
            <v/>
          </cell>
          <cell r="AA142">
            <v>1</v>
          </cell>
          <cell r="AB142" t="str">
            <v/>
          </cell>
        </row>
        <row r="143">
          <cell r="B143" t="str">
            <v>2.3.09</v>
          </cell>
          <cell r="C143">
            <v>4</v>
          </cell>
          <cell r="H143" t="str">
            <v/>
          </cell>
          <cell r="I143" t="str">
            <v/>
          </cell>
        </row>
        <row r="144">
          <cell r="B144" t="str">
            <v>2.3.09a</v>
          </cell>
          <cell r="C144">
            <v>6</v>
          </cell>
          <cell r="H144" t="str">
            <v/>
          </cell>
          <cell r="I144" t="str">
            <v/>
          </cell>
          <cell r="AA144">
            <v>1</v>
          </cell>
          <cell r="AB144" t="str">
            <v/>
          </cell>
        </row>
        <row r="145">
          <cell r="B145" t="str">
            <v>2.3.09b</v>
          </cell>
          <cell r="C145">
            <v>6</v>
          </cell>
          <cell r="H145" t="str">
            <v/>
          </cell>
          <cell r="I145" t="str">
            <v/>
          </cell>
          <cell r="AA145">
            <v>1</v>
          </cell>
          <cell r="AB145" t="str">
            <v/>
          </cell>
        </row>
        <row r="146">
          <cell r="B146" t="str">
            <v>2.3.09c</v>
          </cell>
          <cell r="C146">
            <v>6</v>
          </cell>
          <cell r="H146" t="str">
            <v/>
          </cell>
          <cell r="I146" t="str">
            <v/>
          </cell>
          <cell r="AA146">
            <v>1</v>
          </cell>
          <cell r="AB146" t="str">
            <v/>
          </cell>
        </row>
        <row r="147">
          <cell r="B147" t="str">
            <v>2.3.09d</v>
          </cell>
          <cell r="C147">
            <v>6</v>
          </cell>
          <cell r="H147" t="str">
            <v/>
          </cell>
          <cell r="I147" t="str">
            <v/>
          </cell>
          <cell r="AA147">
            <v>1</v>
          </cell>
          <cell r="AB147" t="str">
            <v/>
          </cell>
        </row>
        <row r="148">
          <cell r="B148" t="str">
            <v>2.3.09e</v>
          </cell>
          <cell r="C148">
            <v>6</v>
          </cell>
          <cell r="H148" t="str">
            <v/>
          </cell>
          <cell r="I148" t="str">
            <v/>
          </cell>
          <cell r="AA148">
            <v>1</v>
          </cell>
          <cell r="AB148" t="str">
            <v/>
          </cell>
        </row>
        <row r="149">
          <cell r="B149" t="str">
            <v>2.3.09f</v>
          </cell>
          <cell r="C149">
            <v>6</v>
          </cell>
          <cell r="H149" t="str">
            <v/>
          </cell>
          <cell r="I149" t="str">
            <v/>
          </cell>
          <cell r="AA149">
            <v>1</v>
          </cell>
          <cell r="AB149" t="str">
            <v/>
          </cell>
        </row>
        <row r="150">
          <cell r="B150" t="str">
            <v>2.3.10</v>
          </cell>
          <cell r="C150">
            <v>4</v>
          </cell>
          <cell r="H150" t="str">
            <v/>
          </cell>
          <cell r="I150" t="str">
            <v/>
          </cell>
        </row>
        <row r="151">
          <cell r="B151" t="str">
            <v>2.3.10a</v>
          </cell>
          <cell r="C151">
            <v>6</v>
          </cell>
          <cell r="H151" t="str">
            <v/>
          </cell>
          <cell r="I151" t="str">
            <v/>
          </cell>
          <cell r="AA151">
            <v>1</v>
          </cell>
          <cell r="AB151" t="str">
            <v/>
          </cell>
        </row>
        <row r="152">
          <cell r="B152" t="str">
            <v>2.3.10b</v>
          </cell>
          <cell r="C152">
            <v>6</v>
          </cell>
          <cell r="H152" t="str">
            <v/>
          </cell>
          <cell r="I152" t="str">
            <v/>
          </cell>
          <cell r="AA152">
            <v>1</v>
          </cell>
          <cell r="AB152" t="str">
            <v/>
          </cell>
        </row>
        <row r="153">
          <cell r="B153" t="str">
            <v>2.3.10c</v>
          </cell>
          <cell r="C153">
            <v>6</v>
          </cell>
          <cell r="H153" t="str">
            <v/>
          </cell>
          <cell r="I153" t="str">
            <v/>
          </cell>
          <cell r="AA153">
            <v>1</v>
          </cell>
          <cell r="AB153" t="str">
            <v/>
          </cell>
        </row>
        <row r="154">
          <cell r="B154" t="str">
            <v>2.3.10d</v>
          </cell>
          <cell r="C154">
            <v>6</v>
          </cell>
          <cell r="H154" t="str">
            <v/>
          </cell>
          <cell r="I154" t="str">
            <v/>
          </cell>
          <cell r="AA154">
            <v>1</v>
          </cell>
          <cell r="AB154" t="str">
            <v/>
          </cell>
        </row>
        <row r="155">
          <cell r="B155" t="str">
            <v>2.3.10e</v>
          </cell>
          <cell r="C155">
            <v>6</v>
          </cell>
          <cell r="H155" t="str">
            <v/>
          </cell>
          <cell r="I155" t="str">
            <v/>
          </cell>
          <cell r="AA155">
            <v>1</v>
          </cell>
          <cell r="AB155" t="str">
            <v/>
          </cell>
        </row>
        <row r="156">
          <cell r="B156" t="str">
            <v>2.3.10f</v>
          </cell>
          <cell r="C156">
            <v>6</v>
          </cell>
          <cell r="H156" t="str">
            <v/>
          </cell>
          <cell r="I156" t="str">
            <v/>
          </cell>
          <cell r="AA156">
            <v>1</v>
          </cell>
          <cell r="AB156" t="str">
            <v/>
          </cell>
        </row>
        <row r="157">
          <cell r="B157" t="str">
            <v>2.3.11</v>
          </cell>
          <cell r="C157">
            <v>4</v>
          </cell>
          <cell r="H157" t="str">
            <v/>
          </cell>
          <cell r="I157" t="str">
            <v/>
          </cell>
        </row>
        <row r="158">
          <cell r="B158" t="str">
            <v>2.3.11a</v>
          </cell>
          <cell r="C158">
            <v>6</v>
          </cell>
          <cell r="H158" t="str">
            <v/>
          </cell>
          <cell r="I158" t="str">
            <v/>
          </cell>
          <cell r="AA158">
            <v>1</v>
          </cell>
          <cell r="AB158" t="str">
            <v/>
          </cell>
        </row>
        <row r="159">
          <cell r="B159" t="str">
            <v>2.3.11b</v>
          </cell>
          <cell r="C159">
            <v>6</v>
          </cell>
          <cell r="H159" t="str">
            <v/>
          </cell>
          <cell r="I159" t="str">
            <v/>
          </cell>
          <cell r="AA159">
            <v>1</v>
          </cell>
          <cell r="AB159" t="str">
            <v/>
          </cell>
        </row>
        <row r="160">
          <cell r="B160" t="str">
            <v/>
          </cell>
          <cell r="C160">
            <v>3</v>
          </cell>
          <cell r="H160" t="str">
            <v/>
          </cell>
          <cell r="I160" t="str">
            <v/>
          </cell>
        </row>
        <row r="161">
          <cell r="B161" t="str">
            <v>2.3.12</v>
          </cell>
          <cell r="C161">
            <v>5</v>
          </cell>
          <cell r="H161" t="str">
            <v/>
          </cell>
          <cell r="I161" t="str">
            <v/>
          </cell>
          <cell r="AA161">
            <v>1</v>
          </cell>
          <cell r="AB161" t="str">
            <v/>
          </cell>
        </row>
        <row r="162">
          <cell r="B162" t="str">
            <v>2.3.13</v>
          </cell>
          <cell r="C162">
            <v>4</v>
          </cell>
          <cell r="H162" t="str">
            <v/>
          </cell>
          <cell r="I162" t="str">
            <v/>
          </cell>
        </row>
        <row r="163">
          <cell r="B163" t="str">
            <v>2.3.13a</v>
          </cell>
          <cell r="C163">
            <v>6</v>
          </cell>
          <cell r="H163" t="str">
            <v/>
          </cell>
          <cell r="I163" t="str">
            <v/>
          </cell>
          <cell r="AA163">
            <v>1</v>
          </cell>
          <cell r="AB163" t="str">
            <v/>
          </cell>
        </row>
        <row r="164">
          <cell r="B164" t="str">
            <v>2.3.13b</v>
          </cell>
          <cell r="C164">
            <v>6</v>
          </cell>
          <cell r="H164" t="str">
            <v/>
          </cell>
          <cell r="I164" t="str">
            <v/>
          </cell>
          <cell r="AA164">
            <v>1</v>
          </cell>
          <cell r="AB164" t="str">
            <v/>
          </cell>
        </row>
        <row r="165">
          <cell r="B165" t="str">
            <v>2.3.13c</v>
          </cell>
          <cell r="C165">
            <v>6</v>
          </cell>
          <cell r="H165" t="str">
            <v/>
          </cell>
          <cell r="I165" t="str">
            <v/>
          </cell>
          <cell r="AA165">
            <v>1</v>
          </cell>
          <cell r="AB165" t="str">
            <v/>
          </cell>
        </row>
        <row r="166">
          <cell r="B166" t="str">
            <v>2.3.13d</v>
          </cell>
          <cell r="C166">
            <v>6</v>
          </cell>
          <cell r="H166" t="str">
            <v/>
          </cell>
          <cell r="I166" t="str">
            <v/>
          </cell>
          <cell r="AA166">
            <v>1</v>
          </cell>
          <cell r="AB166" t="str">
            <v/>
          </cell>
        </row>
        <row r="167">
          <cell r="B167" t="str">
            <v>2.3.13e</v>
          </cell>
          <cell r="C167">
            <v>6</v>
          </cell>
          <cell r="H167" t="str">
            <v/>
          </cell>
          <cell r="I167" t="str">
            <v/>
          </cell>
          <cell r="AA167">
            <v>1</v>
          </cell>
          <cell r="AB167" t="str">
            <v/>
          </cell>
        </row>
        <row r="168">
          <cell r="B168" t="str">
            <v>2.3.14</v>
          </cell>
          <cell r="C168">
            <v>4</v>
          </cell>
          <cell r="H168" t="str">
            <v/>
          </cell>
          <cell r="I168" t="str">
            <v/>
          </cell>
        </row>
        <row r="169">
          <cell r="B169" t="str">
            <v>2.3.14a</v>
          </cell>
          <cell r="C169">
            <v>6</v>
          </cell>
          <cell r="H169" t="str">
            <v/>
          </cell>
          <cell r="I169" t="str">
            <v/>
          </cell>
          <cell r="AA169">
            <v>1</v>
          </cell>
          <cell r="AB169" t="str">
            <v/>
          </cell>
        </row>
        <row r="170">
          <cell r="B170" t="str">
            <v>2.3.14b</v>
          </cell>
          <cell r="C170">
            <v>6</v>
          </cell>
          <cell r="H170" t="str">
            <v/>
          </cell>
          <cell r="I170" t="str">
            <v/>
          </cell>
          <cell r="AA170">
            <v>1</v>
          </cell>
          <cell r="AB170" t="str">
            <v/>
          </cell>
        </row>
        <row r="171">
          <cell r="B171" t="str">
            <v>2.3.14c</v>
          </cell>
          <cell r="C171">
            <v>6</v>
          </cell>
          <cell r="H171" t="str">
            <v/>
          </cell>
          <cell r="I171" t="str">
            <v/>
          </cell>
          <cell r="AA171">
            <v>1</v>
          </cell>
          <cell r="AB171" t="str">
            <v/>
          </cell>
        </row>
        <row r="172">
          <cell r="B172" t="str">
            <v>2.3.14d</v>
          </cell>
          <cell r="C172">
            <v>6</v>
          </cell>
          <cell r="H172" t="str">
            <v/>
          </cell>
          <cell r="I172" t="str">
            <v/>
          </cell>
          <cell r="AA172">
            <v>1</v>
          </cell>
          <cell r="AB172" t="str">
            <v/>
          </cell>
        </row>
        <row r="173">
          <cell r="B173" t="str">
            <v>2.3.14e</v>
          </cell>
          <cell r="C173">
            <v>6</v>
          </cell>
          <cell r="H173" t="str">
            <v/>
          </cell>
          <cell r="I173" t="str">
            <v/>
          </cell>
          <cell r="AA173">
            <v>1</v>
          </cell>
          <cell r="AB173" t="str">
            <v/>
          </cell>
        </row>
        <row r="174">
          <cell r="B174" t="str">
            <v>2.3.14f</v>
          </cell>
          <cell r="C174">
            <v>6</v>
          </cell>
          <cell r="H174" t="str">
            <v/>
          </cell>
          <cell r="I174" t="str">
            <v/>
          </cell>
          <cell r="AA174">
            <v>1</v>
          </cell>
          <cell r="AB174" t="str">
            <v/>
          </cell>
        </row>
        <row r="175">
          <cell r="B175" t="str">
            <v>2.3.15</v>
          </cell>
          <cell r="C175">
            <v>5</v>
          </cell>
          <cell r="H175" t="str">
            <v/>
          </cell>
          <cell r="I175" t="str">
            <v/>
          </cell>
          <cell r="AA175">
            <v>1</v>
          </cell>
          <cell r="AB175" t="str">
            <v/>
          </cell>
        </row>
        <row r="176">
          <cell r="B176" t="str">
            <v>2.3.16</v>
          </cell>
          <cell r="C176">
            <v>5</v>
          </cell>
          <cell r="H176" t="str">
            <v/>
          </cell>
          <cell r="I176" t="str">
            <v/>
          </cell>
          <cell r="AA176">
            <v>1</v>
          </cell>
          <cell r="AB176" t="str">
            <v/>
          </cell>
        </row>
        <row r="177">
          <cell r="B177" t="str">
            <v>2.3.17</v>
          </cell>
          <cell r="C177">
            <v>4</v>
          </cell>
          <cell r="H177" t="str">
            <v/>
          </cell>
          <cell r="I177" t="str">
            <v/>
          </cell>
        </row>
        <row r="178">
          <cell r="B178" t="str">
            <v>2.3.17a</v>
          </cell>
          <cell r="C178">
            <v>6</v>
          </cell>
          <cell r="H178" t="str">
            <v/>
          </cell>
          <cell r="I178" t="str">
            <v/>
          </cell>
          <cell r="AA178">
            <v>1</v>
          </cell>
          <cell r="AB178" t="str">
            <v/>
          </cell>
        </row>
        <row r="179">
          <cell r="B179" t="str">
            <v>2.3.17b</v>
          </cell>
          <cell r="C179">
            <v>6</v>
          </cell>
          <cell r="H179" t="str">
            <v/>
          </cell>
          <cell r="I179" t="str">
            <v/>
          </cell>
          <cell r="AA179">
            <v>1</v>
          </cell>
          <cell r="AB179" t="str">
            <v/>
          </cell>
        </row>
        <row r="180">
          <cell r="B180" t="str">
            <v>2.3.17c</v>
          </cell>
          <cell r="C180">
            <v>6</v>
          </cell>
          <cell r="H180" t="str">
            <v/>
          </cell>
          <cell r="I180" t="str">
            <v/>
          </cell>
          <cell r="AA180">
            <v>1</v>
          </cell>
          <cell r="AB180" t="str">
            <v/>
          </cell>
        </row>
        <row r="181">
          <cell r="B181" t="str">
            <v>2.3.17d</v>
          </cell>
          <cell r="C181">
            <v>6</v>
          </cell>
          <cell r="H181" t="str">
            <v/>
          </cell>
          <cell r="I181" t="str">
            <v/>
          </cell>
          <cell r="AA181">
            <v>1</v>
          </cell>
          <cell r="AB181" t="str">
            <v/>
          </cell>
        </row>
        <row r="182">
          <cell r="B182" t="str">
            <v/>
          </cell>
          <cell r="C182">
            <v>3</v>
          </cell>
          <cell r="H182" t="str">
            <v/>
          </cell>
          <cell r="I182" t="str">
            <v/>
          </cell>
        </row>
        <row r="183">
          <cell r="B183" t="str">
            <v>2.3.18</v>
          </cell>
          <cell r="C183">
            <v>5</v>
          </cell>
          <cell r="H183" t="str">
            <v/>
          </cell>
          <cell r="I183" t="str">
            <v/>
          </cell>
          <cell r="AA183">
            <v>1</v>
          </cell>
          <cell r="AB183" t="str">
            <v/>
          </cell>
        </row>
        <row r="184">
          <cell r="B184" t="str">
            <v>2.3.19</v>
          </cell>
          <cell r="C184">
            <v>5</v>
          </cell>
          <cell r="H184" t="str">
            <v/>
          </cell>
          <cell r="I184" t="str">
            <v/>
          </cell>
          <cell r="AA184">
            <v>1</v>
          </cell>
          <cell r="AB184" t="str">
            <v/>
          </cell>
        </row>
        <row r="185">
          <cell r="B185" t="str">
            <v>2.3.20</v>
          </cell>
          <cell r="C185">
            <v>4</v>
          </cell>
          <cell r="H185" t="str">
            <v/>
          </cell>
          <cell r="I185" t="str">
            <v/>
          </cell>
        </row>
        <row r="186">
          <cell r="B186" t="str">
            <v>2.3.20a</v>
          </cell>
          <cell r="C186">
            <v>6</v>
          </cell>
          <cell r="H186" t="str">
            <v/>
          </cell>
          <cell r="I186" t="str">
            <v/>
          </cell>
          <cell r="AA186">
            <v>1</v>
          </cell>
          <cell r="AB186" t="str">
            <v/>
          </cell>
        </row>
        <row r="187">
          <cell r="B187" t="str">
            <v>2.3.20b</v>
          </cell>
          <cell r="C187">
            <v>6</v>
          </cell>
          <cell r="H187" t="str">
            <v/>
          </cell>
          <cell r="I187" t="str">
            <v/>
          </cell>
          <cell r="AA187">
            <v>1</v>
          </cell>
          <cell r="AB187" t="str">
            <v/>
          </cell>
        </row>
        <row r="188">
          <cell r="B188" t="str">
            <v>2.3.20c</v>
          </cell>
          <cell r="C188">
            <v>6</v>
          </cell>
          <cell r="H188" t="str">
            <v/>
          </cell>
          <cell r="I188" t="str">
            <v/>
          </cell>
          <cell r="AA188">
            <v>1</v>
          </cell>
          <cell r="AB188" t="str">
            <v/>
          </cell>
        </row>
        <row r="189">
          <cell r="B189" t="str">
            <v>2.3.20d</v>
          </cell>
          <cell r="C189">
            <v>6</v>
          </cell>
          <cell r="H189" t="str">
            <v/>
          </cell>
          <cell r="I189" t="str">
            <v/>
          </cell>
          <cell r="AA189">
            <v>1</v>
          </cell>
          <cell r="AB189" t="str">
            <v/>
          </cell>
        </row>
        <row r="190">
          <cell r="B190" t="str">
            <v>2.3.21</v>
          </cell>
          <cell r="C190">
            <v>4</v>
          </cell>
          <cell r="H190" t="str">
            <v/>
          </cell>
          <cell r="I190" t="str">
            <v/>
          </cell>
        </row>
        <row r="191">
          <cell r="B191" t="str">
            <v>2.3.21a</v>
          </cell>
          <cell r="C191">
            <v>6</v>
          </cell>
          <cell r="H191" t="str">
            <v/>
          </cell>
          <cell r="I191" t="str">
            <v/>
          </cell>
          <cell r="AA191">
            <v>1</v>
          </cell>
          <cell r="AB191" t="str">
            <v/>
          </cell>
        </row>
        <row r="192">
          <cell r="B192" t="str">
            <v>2.3.21b</v>
          </cell>
          <cell r="C192">
            <v>6</v>
          </cell>
          <cell r="H192" t="str">
            <v/>
          </cell>
          <cell r="I192" t="str">
            <v/>
          </cell>
          <cell r="AA192">
            <v>1</v>
          </cell>
          <cell r="AB192" t="str">
            <v/>
          </cell>
        </row>
        <row r="193">
          <cell r="B193" t="str">
            <v>2.3.21c</v>
          </cell>
          <cell r="C193">
            <v>6</v>
          </cell>
          <cell r="H193" t="str">
            <v/>
          </cell>
          <cell r="I193" t="str">
            <v/>
          </cell>
          <cell r="AA193">
            <v>1</v>
          </cell>
          <cell r="AB193" t="str">
            <v/>
          </cell>
        </row>
        <row r="194">
          <cell r="B194" t="str">
            <v>2.3.21d</v>
          </cell>
          <cell r="C194">
            <v>6</v>
          </cell>
          <cell r="H194" t="str">
            <v/>
          </cell>
          <cell r="I194" t="str">
            <v/>
          </cell>
          <cell r="AA194">
            <v>1</v>
          </cell>
          <cell r="AB194" t="str">
            <v/>
          </cell>
        </row>
        <row r="195">
          <cell r="B195" t="str">
            <v>2.3.22</v>
          </cell>
          <cell r="C195">
            <v>4</v>
          </cell>
          <cell r="H195" t="str">
            <v/>
          </cell>
          <cell r="I195" t="str">
            <v/>
          </cell>
        </row>
        <row r="196">
          <cell r="B196" t="str">
            <v>2.3.22a</v>
          </cell>
          <cell r="C196">
            <v>6</v>
          </cell>
          <cell r="H196" t="str">
            <v/>
          </cell>
          <cell r="I196" t="str">
            <v/>
          </cell>
          <cell r="AA196">
            <v>1</v>
          </cell>
          <cell r="AB196" t="str">
            <v/>
          </cell>
        </row>
        <row r="197">
          <cell r="B197" t="str">
            <v>2.3.22b</v>
          </cell>
          <cell r="C197">
            <v>6</v>
          </cell>
          <cell r="H197" t="str">
            <v/>
          </cell>
          <cell r="I197" t="str">
            <v/>
          </cell>
          <cell r="AA197">
            <v>1</v>
          </cell>
          <cell r="AB197" t="str">
            <v/>
          </cell>
        </row>
        <row r="198">
          <cell r="B198" t="str">
            <v>2.3.23</v>
          </cell>
          <cell r="C198">
            <v>5</v>
          </cell>
          <cell r="H198" t="str">
            <v/>
          </cell>
          <cell r="I198" t="str">
            <v/>
          </cell>
          <cell r="AA198">
            <v>1</v>
          </cell>
          <cell r="AB198" t="str">
            <v/>
          </cell>
        </row>
        <row r="199">
          <cell r="B199" t="str">
            <v>2.3.24</v>
          </cell>
          <cell r="C199">
            <v>4</v>
          </cell>
          <cell r="H199" t="str">
            <v/>
          </cell>
          <cell r="I199" t="str">
            <v/>
          </cell>
        </row>
        <row r="200">
          <cell r="B200" t="str">
            <v>2.3.24a</v>
          </cell>
          <cell r="C200">
            <v>6</v>
          </cell>
          <cell r="H200" t="str">
            <v/>
          </cell>
          <cell r="I200" t="str">
            <v/>
          </cell>
          <cell r="AA200">
            <v>1</v>
          </cell>
          <cell r="AB200" t="str">
            <v/>
          </cell>
        </row>
        <row r="201">
          <cell r="B201" t="str">
            <v>2.3.24b</v>
          </cell>
          <cell r="C201">
            <v>6</v>
          </cell>
          <cell r="H201" t="str">
            <v/>
          </cell>
          <cell r="I201" t="str">
            <v/>
          </cell>
          <cell r="AA201">
            <v>1</v>
          </cell>
          <cell r="AB201" t="str">
            <v/>
          </cell>
        </row>
        <row r="202">
          <cell r="B202" t="str">
            <v>2.3.24c</v>
          </cell>
          <cell r="C202">
            <v>6</v>
          </cell>
          <cell r="H202" t="str">
            <v/>
          </cell>
          <cell r="I202" t="str">
            <v/>
          </cell>
          <cell r="AA202">
            <v>1</v>
          </cell>
          <cell r="AB202" t="str">
            <v/>
          </cell>
        </row>
        <row r="203">
          <cell r="B203" t="str">
            <v>2.3.24d</v>
          </cell>
          <cell r="C203">
            <v>6</v>
          </cell>
          <cell r="H203" t="str">
            <v/>
          </cell>
          <cell r="I203" t="str">
            <v/>
          </cell>
          <cell r="AA203">
            <v>1</v>
          </cell>
          <cell r="AB203" t="str">
            <v/>
          </cell>
        </row>
        <row r="204">
          <cell r="B204" t="str">
            <v>2.3.24e</v>
          </cell>
          <cell r="C204">
            <v>6</v>
          </cell>
          <cell r="H204" t="str">
            <v/>
          </cell>
          <cell r="I204" t="str">
            <v/>
          </cell>
          <cell r="AA204">
            <v>1</v>
          </cell>
          <cell r="AB204" t="str">
            <v/>
          </cell>
        </row>
        <row r="205">
          <cell r="B205" t="str">
            <v>2.3.24f</v>
          </cell>
          <cell r="C205">
            <v>6</v>
          </cell>
          <cell r="H205" t="str">
            <v/>
          </cell>
          <cell r="I205" t="str">
            <v/>
          </cell>
          <cell r="AA205">
            <v>1</v>
          </cell>
          <cell r="AB205" t="str">
            <v/>
          </cell>
        </row>
        <row r="206">
          <cell r="B206" t="str">
            <v>2.3.25</v>
          </cell>
          <cell r="C206">
            <v>4</v>
          </cell>
          <cell r="H206" t="str">
            <v/>
          </cell>
          <cell r="I206" t="str">
            <v/>
          </cell>
        </row>
        <row r="207">
          <cell r="B207" t="str">
            <v>2.3.25a</v>
          </cell>
          <cell r="C207">
            <v>6</v>
          </cell>
          <cell r="H207" t="str">
            <v/>
          </cell>
          <cell r="I207" t="str">
            <v/>
          </cell>
          <cell r="AA207">
            <v>1</v>
          </cell>
          <cell r="AB207" t="str">
            <v/>
          </cell>
        </row>
        <row r="208">
          <cell r="B208" t="str">
            <v>2.3.25b</v>
          </cell>
          <cell r="C208">
            <v>6</v>
          </cell>
          <cell r="H208" t="str">
            <v/>
          </cell>
          <cell r="I208" t="str">
            <v/>
          </cell>
          <cell r="AA208">
            <v>1</v>
          </cell>
          <cell r="AB208" t="str">
            <v/>
          </cell>
        </row>
        <row r="209">
          <cell r="B209" t="str">
            <v>2.3.26</v>
          </cell>
          <cell r="C209">
            <v>4</v>
          </cell>
          <cell r="H209" t="str">
            <v/>
          </cell>
          <cell r="I209" t="str">
            <v/>
          </cell>
        </row>
        <row r="210">
          <cell r="B210" t="str">
            <v>2.3.26a</v>
          </cell>
          <cell r="C210">
            <v>6</v>
          </cell>
          <cell r="H210" t="str">
            <v/>
          </cell>
          <cell r="I210" t="str">
            <v/>
          </cell>
          <cell r="AA210">
            <v>1</v>
          </cell>
          <cell r="AB210" t="str">
            <v/>
          </cell>
        </row>
        <row r="211">
          <cell r="B211" t="str">
            <v>2.3.26b</v>
          </cell>
          <cell r="C211">
            <v>6</v>
          </cell>
          <cell r="H211" t="str">
            <v/>
          </cell>
          <cell r="I211" t="str">
            <v/>
          </cell>
          <cell r="AA211">
            <v>1</v>
          </cell>
          <cell r="AB211" t="str">
            <v/>
          </cell>
        </row>
        <row r="212">
          <cell r="B212" t="str">
            <v>2.3.27</v>
          </cell>
          <cell r="C212">
            <v>4</v>
          </cell>
          <cell r="H212" t="str">
            <v/>
          </cell>
          <cell r="I212" t="str">
            <v/>
          </cell>
        </row>
        <row r="213">
          <cell r="B213" t="str">
            <v>2.3.27a</v>
          </cell>
          <cell r="C213">
            <v>6</v>
          </cell>
          <cell r="H213" t="str">
            <v/>
          </cell>
          <cell r="I213" t="str">
            <v/>
          </cell>
          <cell r="AA213">
            <v>1</v>
          </cell>
          <cell r="AB213" t="str">
            <v/>
          </cell>
        </row>
        <row r="214">
          <cell r="B214" t="str">
            <v>2.3.27b</v>
          </cell>
          <cell r="C214">
            <v>6</v>
          </cell>
          <cell r="H214" t="str">
            <v/>
          </cell>
          <cell r="I214" t="str">
            <v/>
          </cell>
          <cell r="AA214">
            <v>1</v>
          </cell>
          <cell r="AB214" t="str">
            <v/>
          </cell>
        </row>
        <row r="215">
          <cell r="B215" t="str">
            <v>2.4</v>
          </cell>
          <cell r="C215">
            <v>2</v>
          </cell>
          <cell r="H215" t="str">
            <v/>
          </cell>
          <cell r="I215" t="str">
            <v/>
          </cell>
        </row>
        <row r="216">
          <cell r="B216" t="str">
            <v/>
          </cell>
          <cell r="C216">
            <v>3</v>
          </cell>
          <cell r="H216" t="str">
            <v/>
          </cell>
          <cell r="I216" t="str">
            <v/>
          </cell>
        </row>
        <row r="217">
          <cell r="B217" t="str">
            <v>2.4.01</v>
          </cell>
          <cell r="C217">
            <v>5</v>
          </cell>
          <cell r="H217" t="str">
            <v/>
          </cell>
          <cell r="I217" t="str">
            <v/>
          </cell>
          <cell r="AA217">
            <v>1</v>
          </cell>
          <cell r="AB217" t="str">
            <v/>
          </cell>
        </row>
        <row r="218">
          <cell r="B218" t="str">
            <v>2.4.02</v>
          </cell>
          <cell r="C218">
            <v>4</v>
          </cell>
          <cell r="H218" t="str">
            <v/>
          </cell>
          <cell r="I218" t="str">
            <v/>
          </cell>
        </row>
        <row r="219">
          <cell r="B219" t="str">
            <v>2.4.02a</v>
          </cell>
          <cell r="C219">
            <v>6</v>
          </cell>
          <cell r="H219" t="str">
            <v/>
          </cell>
          <cell r="I219" t="str">
            <v/>
          </cell>
          <cell r="AA219">
            <v>1</v>
          </cell>
          <cell r="AB219" t="str">
            <v/>
          </cell>
        </row>
        <row r="220">
          <cell r="B220" t="str">
            <v>2.4.02b</v>
          </cell>
          <cell r="C220">
            <v>6</v>
          </cell>
          <cell r="H220" t="str">
            <v/>
          </cell>
          <cell r="I220" t="str">
            <v/>
          </cell>
          <cell r="AA220">
            <v>1</v>
          </cell>
          <cell r="AB220" t="str">
            <v/>
          </cell>
        </row>
        <row r="221">
          <cell r="B221" t="str">
            <v>2.4.02c</v>
          </cell>
          <cell r="C221">
            <v>6</v>
          </cell>
          <cell r="H221" t="str">
            <v/>
          </cell>
          <cell r="I221" t="str">
            <v/>
          </cell>
          <cell r="AA221">
            <v>1</v>
          </cell>
          <cell r="AB221" t="str">
            <v/>
          </cell>
        </row>
        <row r="222">
          <cell r="B222" t="str">
            <v>2.4.02d</v>
          </cell>
          <cell r="C222">
            <v>6</v>
          </cell>
          <cell r="H222" t="str">
            <v/>
          </cell>
          <cell r="I222" t="str">
            <v/>
          </cell>
          <cell r="AA222">
            <v>1</v>
          </cell>
          <cell r="AB222" t="str">
            <v/>
          </cell>
        </row>
        <row r="223">
          <cell r="B223" t="str">
            <v>2.4.02e</v>
          </cell>
          <cell r="C223">
            <v>6</v>
          </cell>
          <cell r="H223" t="str">
            <v/>
          </cell>
          <cell r="I223" t="str">
            <v/>
          </cell>
          <cell r="AA223">
            <v>1</v>
          </cell>
          <cell r="AB223" t="str">
            <v/>
          </cell>
        </row>
        <row r="224">
          <cell r="B224" t="str">
            <v>2.4.02f</v>
          </cell>
          <cell r="C224">
            <v>6</v>
          </cell>
          <cell r="H224" t="str">
            <v/>
          </cell>
          <cell r="I224" t="str">
            <v/>
          </cell>
          <cell r="AA224">
            <v>1</v>
          </cell>
          <cell r="AB224" t="str">
            <v/>
          </cell>
        </row>
        <row r="225">
          <cell r="B225" t="str">
            <v>2.4.02g</v>
          </cell>
          <cell r="C225">
            <v>6</v>
          </cell>
          <cell r="H225" t="str">
            <v/>
          </cell>
          <cell r="I225" t="str">
            <v/>
          </cell>
          <cell r="AA225">
            <v>1</v>
          </cell>
          <cell r="AB225" t="str">
            <v/>
          </cell>
        </row>
        <row r="226">
          <cell r="B226" t="str">
            <v>2.4.02h</v>
          </cell>
          <cell r="C226">
            <v>6</v>
          </cell>
          <cell r="H226" t="str">
            <v/>
          </cell>
          <cell r="I226" t="str">
            <v/>
          </cell>
          <cell r="AA226">
            <v>1</v>
          </cell>
          <cell r="AB226" t="str">
            <v/>
          </cell>
        </row>
        <row r="227">
          <cell r="B227" t="str">
            <v>2.4.03</v>
          </cell>
          <cell r="C227">
            <v>4</v>
          </cell>
          <cell r="H227" t="str">
            <v/>
          </cell>
          <cell r="I227" t="str">
            <v/>
          </cell>
        </row>
        <row r="228">
          <cell r="B228" t="str">
            <v>2.4.03a</v>
          </cell>
          <cell r="C228">
            <v>6</v>
          </cell>
          <cell r="H228" t="str">
            <v/>
          </cell>
          <cell r="I228" t="str">
            <v/>
          </cell>
          <cell r="AA228">
            <v>1</v>
          </cell>
          <cell r="AB228" t="str">
            <v/>
          </cell>
        </row>
        <row r="229">
          <cell r="B229" t="str">
            <v>2.4.03b</v>
          </cell>
          <cell r="C229">
            <v>6</v>
          </cell>
          <cell r="H229" t="str">
            <v/>
          </cell>
          <cell r="I229" t="str">
            <v/>
          </cell>
          <cell r="AA229">
            <v>1</v>
          </cell>
          <cell r="AB229" t="str">
            <v/>
          </cell>
        </row>
        <row r="230">
          <cell r="B230" t="str">
            <v>2.4.03c</v>
          </cell>
          <cell r="C230">
            <v>6</v>
          </cell>
          <cell r="H230" t="str">
            <v/>
          </cell>
          <cell r="I230" t="str">
            <v/>
          </cell>
          <cell r="AA230">
            <v>1</v>
          </cell>
          <cell r="AB230" t="str">
            <v/>
          </cell>
        </row>
        <row r="231">
          <cell r="B231" t="str">
            <v>2.4.03d</v>
          </cell>
          <cell r="C231">
            <v>6</v>
          </cell>
          <cell r="H231" t="str">
            <v/>
          </cell>
          <cell r="I231" t="str">
            <v/>
          </cell>
          <cell r="AA231">
            <v>1</v>
          </cell>
          <cell r="AB231" t="str">
            <v/>
          </cell>
        </row>
        <row r="232">
          <cell r="B232" t="str">
            <v>2.4.03e</v>
          </cell>
          <cell r="C232">
            <v>6</v>
          </cell>
          <cell r="H232" t="str">
            <v/>
          </cell>
          <cell r="I232" t="str">
            <v/>
          </cell>
          <cell r="AA232">
            <v>1</v>
          </cell>
          <cell r="AB232" t="str">
            <v/>
          </cell>
        </row>
        <row r="233">
          <cell r="B233" t="str">
            <v>2.4.03f</v>
          </cell>
          <cell r="C233">
            <v>6</v>
          </cell>
          <cell r="H233" t="str">
            <v/>
          </cell>
          <cell r="I233" t="str">
            <v/>
          </cell>
          <cell r="AA233">
            <v>1</v>
          </cell>
          <cell r="AB233" t="str">
            <v/>
          </cell>
        </row>
        <row r="234">
          <cell r="B234" t="str">
            <v/>
          </cell>
          <cell r="C234">
            <v>3</v>
          </cell>
          <cell r="H234" t="str">
            <v/>
          </cell>
          <cell r="I234" t="str">
            <v/>
          </cell>
        </row>
        <row r="235">
          <cell r="B235" t="str">
            <v>2.4.04</v>
          </cell>
          <cell r="C235">
            <v>5</v>
          </cell>
          <cell r="H235" t="str">
            <v/>
          </cell>
          <cell r="I235" t="str">
            <v/>
          </cell>
          <cell r="AA235">
            <v>1</v>
          </cell>
          <cell r="AB235" t="str">
            <v/>
          </cell>
        </row>
        <row r="236">
          <cell r="B236" t="str">
            <v>2.4.05</v>
          </cell>
          <cell r="C236">
            <v>4</v>
          </cell>
          <cell r="H236" t="str">
            <v/>
          </cell>
          <cell r="I236" t="str">
            <v/>
          </cell>
        </row>
        <row r="237">
          <cell r="B237" t="str">
            <v>2.4.05a</v>
          </cell>
          <cell r="C237">
            <v>6</v>
          </cell>
          <cell r="H237" t="str">
            <v/>
          </cell>
          <cell r="I237" t="str">
            <v/>
          </cell>
          <cell r="AA237">
            <v>1</v>
          </cell>
          <cell r="AB237" t="str">
            <v/>
          </cell>
        </row>
        <row r="238">
          <cell r="B238" t="str">
            <v>2.4.05b</v>
          </cell>
          <cell r="C238">
            <v>6</v>
          </cell>
          <cell r="H238" t="str">
            <v/>
          </cell>
          <cell r="I238" t="str">
            <v/>
          </cell>
          <cell r="AA238">
            <v>1</v>
          </cell>
          <cell r="AB238" t="str">
            <v/>
          </cell>
        </row>
        <row r="239">
          <cell r="B239" t="str">
            <v>2.4.05c</v>
          </cell>
          <cell r="C239">
            <v>6</v>
          </cell>
          <cell r="H239" t="str">
            <v/>
          </cell>
          <cell r="I239" t="str">
            <v/>
          </cell>
          <cell r="AA239">
            <v>1</v>
          </cell>
          <cell r="AB239" t="str">
            <v/>
          </cell>
        </row>
        <row r="240">
          <cell r="B240" t="str">
            <v>2.4.06</v>
          </cell>
          <cell r="C240">
            <v>4</v>
          </cell>
          <cell r="H240" t="str">
            <v/>
          </cell>
          <cell r="I240" t="str">
            <v/>
          </cell>
        </row>
        <row r="241">
          <cell r="B241" t="str">
            <v>2.4.06a</v>
          </cell>
          <cell r="C241">
            <v>6</v>
          </cell>
          <cell r="H241" t="str">
            <v/>
          </cell>
          <cell r="I241" t="str">
            <v/>
          </cell>
          <cell r="AA241">
            <v>1</v>
          </cell>
          <cell r="AB241" t="str">
            <v/>
          </cell>
        </row>
        <row r="242">
          <cell r="B242" t="str">
            <v>2.4.06b</v>
          </cell>
          <cell r="C242">
            <v>6</v>
          </cell>
          <cell r="H242" t="str">
            <v/>
          </cell>
          <cell r="I242" t="str">
            <v/>
          </cell>
          <cell r="AA242">
            <v>1</v>
          </cell>
          <cell r="AB242" t="str">
            <v/>
          </cell>
        </row>
        <row r="243">
          <cell r="B243" t="str">
            <v>2.4.06c</v>
          </cell>
          <cell r="C243">
            <v>6</v>
          </cell>
          <cell r="H243" t="str">
            <v/>
          </cell>
          <cell r="I243" t="str">
            <v/>
          </cell>
          <cell r="AA243">
            <v>1</v>
          </cell>
          <cell r="AB243" t="str">
            <v/>
          </cell>
        </row>
        <row r="244">
          <cell r="B244" t="str">
            <v>2.4.06d</v>
          </cell>
          <cell r="C244">
            <v>6</v>
          </cell>
          <cell r="H244" t="str">
            <v/>
          </cell>
          <cell r="I244" t="str">
            <v/>
          </cell>
          <cell r="AA244">
            <v>1</v>
          </cell>
          <cell r="AB244" t="str">
            <v/>
          </cell>
        </row>
        <row r="245">
          <cell r="B245" t="str">
            <v>2.4.06e</v>
          </cell>
          <cell r="C245">
            <v>6</v>
          </cell>
          <cell r="H245" t="str">
            <v/>
          </cell>
          <cell r="I245" t="str">
            <v/>
          </cell>
          <cell r="AA245">
            <v>1</v>
          </cell>
          <cell r="AB245" t="str">
            <v/>
          </cell>
        </row>
        <row r="246">
          <cell r="B246" t="str">
            <v>2.4.07</v>
          </cell>
          <cell r="C246">
            <v>4</v>
          </cell>
          <cell r="H246" t="str">
            <v/>
          </cell>
          <cell r="I246" t="str">
            <v/>
          </cell>
        </row>
        <row r="247">
          <cell r="B247" t="str">
            <v>2.4.07a</v>
          </cell>
          <cell r="C247">
            <v>6</v>
          </cell>
          <cell r="H247" t="str">
            <v/>
          </cell>
          <cell r="I247" t="str">
            <v/>
          </cell>
          <cell r="AA247">
            <v>1</v>
          </cell>
          <cell r="AB247" t="str">
            <v/>
          </cell>
        </row>
        <row r="248">
          <cell r="B248" t="str">
            <v>2.4.07b</v>
          </cell>
          <cell r="C248">
            <v>6</v>
          </cell>
          <cell r="H248" t="str">
            <v/>
          </cell>
          <cell r="I248" t="str">
            <v/>
          </cell>
          <cell r="AA248">
            <v>1</v>
          </cell>
          <cell r="AB248" t="str">
            <v/>
          </cell>
        </row>
        <row r="249">
          <cell r="B249" t="str">
            <v>2.4.07c</v>
          </cell>
          <cell r="C249">
            <v>6</v>
          </cell>
          <cell r="H249" t="str">
            <v/>
          </cell>
          <cell r="I249" t="str">
            <v/>
          </cell>
          <cell r="AA249">
            <v>1</v>
          </cell>
          <cell r="AB249" t="str">
            <v/>
          </cell>
        </row>
        <row r="250">
          <cell r="B250" t="str">
            <v>2.4.07d</v>
          </cell>
          <cell r="C250">
            <v>6</v>
          </cell>
          <cell r="H250" t="str">
            <v/>
          </cell>
          <cell r="I250" t="str">
            <v/>
          </cell>
          <cell r="AA250">
            <v>1</v>
          </cell>
          <cell r="AB250" t="str">
            <v/>
          </cell>
        </row>
        <row r="251">
          <cell r="B251" t="str">
            <v>2.4.07e</v>
          </cell>
          <cell r="C251">
            <v>6</v>
          </cell>
          <cell r="H251" t="str">
            <v/>
          </cell>
          <cell r="I251" t="str">
            <v/>
          </cell>
          <cell r="AA251">
            <v>1</v>
          </cell>
          <cell r="AB251" t="str">
            <v/>
          </cell>
        </row>
        <row r="252">
          <cell r="B252" t="str">
            <v>2.4.07f</v>
          </cell>
          <cell r="C252">
            <v>6</v>
          </cell>
          <cell r="H252" t="str">
            <v/>
          </cell>
          <cell r="I252" t="str">
            <v/>
          </cell>
          <cell r="AA252">
            <v>1</v>
          </cell>
          <cell r="AB252" t="str">
            <v/>
          </cell>
        </row>
        <row r="253">
          <cell r="B253" t="str">
            <v>2.4.07g</v>
          </cell>
          <cell r="C253">
            <v>6</v>
          </cell>
          <cell r="H253" t="str">
            <v/>
          </cell>
          <cell r="I253" t="str">
            <v/>
          </cell>
          <cell r="AA253">
            <v>1</v>
          </cell>
          <cell r="AB253" t="str">
            <v/>
          </cell>
        </row>
        <row r="254">
          <cell r="B254" t="str">
            <v>2.4.08</v>
          </cell>
          <cell r="C254">
            <v>4</v>
          </cell>
          <cell r="H254" t="str">
            <v/>
          </cell>
          <cell r="I254" t="str">
            <v/>
          </cell>
        </row>
        <row r="255">
          <cell r="B255" t="str">
            <v>2.4.08a</v>
          </cell>
          <cell r="C255">
            <v>6</v>
          </cell>
          <cell r="H255" t="str">
            <v/>
          </cell>
          <cell r="I255" t="str">
            <v/>
          </cell>
          <cell r="AA255">
            <v>1</v>
          </cell>
          <cell r="AB255" t="str">
            <v/>
          </cell>
        </row>
        <row r="256">
          <cell r="B256" t="str">
            <v>2.4.08b</v>
          </cell>
          <cell r="C256">
            <v>6</v>
          </cell>
          <cell r="H256" t="str">
            <v/>
          </cell>
          <cell r="I256" t="str">
            <v/>
          </cell>
          <cell r="AA256">
            <v>1</v>
          </cell>
          <cell r="AB256" t="str">
            <v/>
          </cell>
        </row>
        <row r="257">
          <cell r="B257" t="str">
            <v>2.4.08c</v>
          </cell>
          <cell r="C257">
            <v>6</v>
          </cell>
          <cell r="H257" t="str">
            <v/>
          </cell>
          <cell r="I257" t="str">
            <v/>
          </cell>
          <cell r="AA257">
            <v>1</v>
          </cell>
          <cell r="AB257" t="str">
            <v/>
          </cell>
        </row>
        <row r="258">
          <cell r="B258" t="str">
            <v/>
          </cell>
          <cell r="C258">
            <v>3</v>
          </cell>
          <cell r="H258" t="str">
            <v/>
          </cell>
          <cell r="I258" t="str">
            <v/>
          </cell>
        </row>
        <row r="259">
          <cell r="B259" t="str">
            <v>2.4.09</v>
          </cell>
          <cell r="C259">
            <v>4</v>
          </cell>
          <cell r="H259" t="str">
            <v/>
          </cell>
          <cell r="I259" t="str">
            <v/>
          </cell>
        </row>
        <row r="260">
          <cell r="B260" t="str">
            <v>2.4.09a</v>
          </cell>
          <cell r="C260">
            <v>6</v>
          </cell>
          <cell r="H260" t="str">
            <v/>
          </cell>
          <cell r="I260" t="str">
            <v/>
          </cell>
          <cell r="AA260">
            <v>1</v>
          </cell>
          <cell r="AB260" t="str">
            <v/>
          </cell>
        </row>
        <row r="261">
          <cell r="B261" t="str">
            <v>2.4.09b</v>
          </cell>
          <cell r="C261">
            <v>6</v>
          </cell>
          <cell r="H261" t="str">
            <v/>
          </cell>
          <cell r="I261" t="str">
            <v/>
          </cell>
          <cell r="AA261">
            <v>1</v>
          </cell>
          <cell r="AB261" t="str">
            <v/>
          </cell>
        </row>
        <row r="262">
          <cell r="B262" t="str">
            <v>2.4.10</v>
          </cell>
          <cell r="C262">
            <v>4</v>
          </cell>
          <cell r="H262" t="str">
            <v/>
          </cell>
          <cell r="I262" t="str">
            <v/>
          </cell>
        </row>
        <row r="263">
          <cell r="B263" t="str">
            <v>2.4.10a</v>
          </cell>
          <cell r="C263">
            <v>6</v>
          </cell>
          <cell r="H263" t="str">
            <v/>
          </cell>
          <cell r="I263" t="str">
            <v/>
          </cell>
          <cell r="AA263">
            <v>1</v>
          </cell>
          <cell r="AB263" t="str">
            <v/>
          </cell>
        </row>
        <row r="264">
          <cell r="B264" t="str">
            <v>2.4.10b</v>
          </cell>
          <cell r="C264">
            <v>6</v>
          </cell>
          <cell r="H264" t="str">
            <v/>
          </cell>
          <cell r="I264" t="str">
            <v/>
          </cell>
          <cell r="AA264">
            <v>1</v>
          </cell>
          <cell r="AB264" t="str">
            <v/>
          </cell>
        </row>
        <row r="265">
          <cell r="B265" t="str">
            <v>2.4.11</v>
          </cell>
          <cell r="C265">
            <v>4</v>
          </cell>
          <cell r="H265" t="str">
            <v/>
          </cell>
          <cell r="I265" t="str">
            <v/>
          </cell>
        </row>
        <row r="266">
          <cell r="B266" t="str">
            <v>2.4.11a</v>
          </cell>
          <cell r="C266">
            <v>6</v>
          </cell>
          <cell r="H266" t="str">
            <v/>
          </cell>
          <cell r="I266" t="str">
            <v/>
          </cell>
          <cell r="AA266">
            <v>1</v>
          </cell>
          <cell r="AB266" t="str">
            <v/>
          </cell>
        </row>
        <row r="267">
          <cell r="B267" t="str">
            <v>2.4.11b</v>
          </cell>
          <cell r="C267">
            <v>6</v>
          </cell>
          <cell r="AA267">
            <v>1</v>
          </cell>
          <cell r="AB267" t="str">
            <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W49"/>
  <sheetViews>
    <sheetView workbookViewId="0"/>
  </sheetViews>
  <sheetFormatPr baseColWidth="10" defaultColWidth="8.83203125" defaultRowHeight="15" x14ac:dyDescent="0.2"/>
  <sheetData>
    <row r="1" spans="1:23" ht="16" thickBot="1" x14ac:dyDescent="0.25">
      <c r="A1" s="2" t="s">
        <v>0</v>
      </c>
      <c r="B1" s="2"/>
      <c r="C1" s="2">
        <v>1</v>
      </c>
      <c r="D1" s="2">
        <v>2</v>
      </c>
      <c r="E1" s="2">
        <v>3</v>
      </c>
      <c r="F1" s="2">
        <v>4</v>
      </c>
      <c r="G1" s="2">
        <v>5</v>
      </c>
      <c r="H1" s="2">
        <v>6</v>
      </c>
      <c r="I1" s="2">
        <v>7</v>
      </c>
      <c r="J1" s="2">
        <v>8</v>
      </c>
      <c r="K1" s="2">
        <v>9</v>
      </c>
      <c r="L1" s="2"/>
      <c r="M1" s="2" t="s">
        <v>0</v>
      </c>
      <c r="N1" s="2"/>
      <c r="O1" s="2"/>
      <c r="P1" s="2">
        <v>22</v>
      </c>
      <c r="Q1" s="2"/>
      <c r="R1" s="2"/>
      <c r="S1" s="2" t="s">
        <v>1</v>
      </c>
      <c r="T1" s="2">
        <v>1</v>
      </c>
      <c r="U1" s="2" t="str">
        <f>S1</f>
        <v>x 1</v>
      </c>
      <c r="V1" s="17" t="s">
        <v>2</v>
      </c>
      <c r="W1" s="17" t="s">
        <v>3</v>
      </c>
    </row>
    <row r="2" spans="1:23" x14ac:dyDescent="0.2">
      <c r="A2" s="2" t="s">
        <v>4</v>
      </c>
      <c r="B2" s="2"/>
      <c r="C2" s="2" t="s">
        <v>5</v>
      </c>
      <c r="D2" s="2" t="s">
        <v>4</v>
      </c>
      <c r="E2" s="2" t="s">
        <v>6</v>
      </c>
      <c r="F2" s="2" t="s">
        <v>7</v>
      </c>
      <c r="G2" s="2" t="s">
        <v>8</v>
      </c>
      <c r="H2" s="2" t="s">
        <v>9</v>
      </c>
      <c r="I2" s="2" t="s">
        <v>10</v>
      </c>
      <c r="J2" s="2" t="s">
        <v>11</v>
      </c>
      <c r="K2" s="2" t="s">
        <v>12</v>
      </c>
      <c r="L2" s="2"/>
      <c r="M2" s="2" t="s">
        <v>4</v>
      </c>
      <c r="N2" s="2"/>
      <c r="O2" s="2"/>
      <c r="P2" s="2"/>
      <c r="Q2" s="2"/>
      <c r="R2" s="2"/>
      <c r="S2" s="2" t="s">
        <v>13</v>
      </c>
      <c r="T2" s="2">
        <v>2</v>
      </c>
      <c r="U2" s="2" t="str">
        <f t="shared" ref="U2:U5" si="0">S2</f>
        <v>x 2</v>
      </c>
      <c r="V2" s="2" t="s">
        <v>14</v>
      </c>
      <c r="W2" s="2">
        <v>1</v>
      </c>
    </row>
    <row r="3" spans="1:23" x14ac:dyDescent="0.2">
      <c r="A3" s="2" t="s">
        <v>6</v>
      </c>
      <c r="B3" s="2"/>
      <c r="C3" s="2" t="s">
        <v>15</v>
      </c>
      <c r="D3" s="2">
        <v>1</v>
      </c>
      <c r="E3" s="2">
        <v>2</v>
      </c>
      <c r="F3" s="2">
        <v>3</v>
      </c>
      <c r="G3" s="2">
        <v>4</v>
      </c>
      <c r="H3" s="2">
        <v>5</v>
      </c>
      <c r="I3" s="2">
        <v>1</v>
      </c>
      <c r="J3" s="2" t="s">
        <v>15</v>
      </c>
      <c r="K3" s="2" t="s">
        <v>15</v>
      </c>
      <c r="L3" s="2"/>
      <c r="M3" s="2" t="s">
        <v>6</v>
      </c>
      <c r="N3" s="2"/>
      <c r="O3" s="2"/>
      <c r="P3" s="2"/>
      <c r="Q3" s="2"/>
      <c r="R3" s="2"/>
      <c r="S3" s="2" t="s">
        <v>16</v>
      </c>
      <c r="T3" s="2">
        <v>3</v>
      </c>
      <c r="U3" s="2" t="str">
        <f t="shared" si="0"/>
        <v>x 3</v>
      </c>
      <c r="V3" s="2" t="s">
        <v>17</v>
      </c>
      <c r="W3" s="2">
        <v>2</v>
      </c>
    </row>
    <row r="4" spans="1:23" x14ac:dyDescent="0.2">
      <c r="A4" s="2" t="s">
        <v>7</v>
      </c>
      <c r="B4" s="2"/>
      <c r="C4" s="2"/>
      <c r="D4" s="2"/>
      <c r="E4" s="2"/>
      <c r="F4" s="2"/>
      <c r="G4" s="2"/>
      <c r="H4" s="2"/>
      <c r="I4" s="2"/>
      <c r="J4" s="2"/>
      <c r="K4" s="2"/>
      <c r="L4" s="2"/>
      <c r="M4" s="2" t="s">
        <v>7</v>
      </c>
      <c r="N4" s="2"/>
      <c r="O4" s="2"/>
      <c r="P4" s="2"/>
      <c r="Q4" s="2"/>
      <c r="R4" s="2"/>
      <c r="S4" s="2" t="s">
        <v>18</v>
      </c>
      <c r="T4" s="2">
        <v>4</v>
      </c>
      <c r="U4" s="2" t="str">
        <f t="shared" si="0"/>
        <v>x 4</v>
      </c>
      <c r="V4" s="2" t="s">
        <v>19</v>
      </c>
      <c r="W4" s="2">
        <v>3</v>
      </c>
    </row>
    <row r="5" spans="1:23" x14ac:dyDescent="0.2">
      <c r="A5" s="2" t="s">
        <v>8</v>
      </c>
      <c r="B5" s="2"/>
      <c r="C5" s="2"/>
      <c r="D5" s="2"/>
      <c r="E5" s="2"/>
      <c r="F5" s="2"/>
      <c r="G5" s="2"/>
      <c r="H5" s="2"/>
      <c r="I5" s="2"/>
      <c r="J5" s="2"/>
      <c r="K5" s="2"/>
      <c r="L5" s="2"/>
      <c r="M5" s="2" t="s">
        <v>8</v>
      </c>
      <c r="N5" s="2"/>
      <c r="O5" s="2"/>
      <c r="P5" s="2"/>
      <c r="Q5" s="2"/>
      <c r="R5" s="2"/>
      <c r="S5" s="2" t="s">
        <v>20</v>
      </c>
      <c r="T5" s="2">
        <v>5</v>
      </c>
      <c r="U5" s="2" t="str">
        <f t="shared" si="0"/>
        <v>x 5</v>
      </c>
      <c r="V5" s="2" t="s">
        <v>21</v>
      </c>
      <c r="W5" s="2">
        <v>4</v>
      </c>
    </row>
    <row r="6" spans="1:23" x14ac:dyDescent="0.2">
      <c r="A6" s="2" t="s">
        <v>9</v>
      </c>
      <c r="B6" s="2"/>
      <c r="C6" s="2"/>
      <c r="D6" s="2"/>
      <c r="E6" s="2"/>
      <c r="F6" s="2"/>
      <c r="G6" s="2"/>
      <c r="H6" s="2"/>
      <c r="I6" s="2"/>
      <c r="J6" s="2"/>
      <c r="K6" s="2"/>
      <c r="L6" s="2"/>
      <c r="M6" s="2" t="s">
        <v>9</v>
      </c>
      <c r="N6" s="2"/>
      <c r="O6" s="2"/>
      <c r="P6" s="2"/>
      <c r="Q6" s="2"/>
      <c r="R6" s="2"/>
      <c r="S6" s="2"/>
      <c r="T6" s="2"/>
      <c r="U6" s="2"/>
      <c r="V6" s="2" t="s">
        <v>22</v>
      </c>
      <c r="W6" s="2">
        <v>5</v>
      </c>
    </row>
    <row r="7" spans="1:23" x14ac:dyDescent="0.2">
      <c r="A7" s="2" t="s">
        <v>10</v>
      </c>
      <c r="B7" s="2"/>
      <c r="C7" s="2"/>
      <c r="D7" s="2"/>
      <c r="E7" s="2"/>
      <c r="F7" s="2"/>
      <c r="G7" s="2"/>
      <c r="H7" s="2"/>
      <c r="I7" s="2"/>
      <c r="J7" s="2"/>
      <c r="K7" s="2"/>
      <c r="L7" s="2"/>
      <c r="M7" s="2"/>
      <c r="N7" s="2"/>
      <c r="O7" s="2"/>
      <c r="P7" s="2"/>
      <c r="Q7" s="2"/>
      <c r="R7" s="2"/>
      <c r="S7" s="2"/>
      <c r="T7" s="2"/>
      <c r="U7" s="2"/>
      <c r="V7" s="2"/>
      <c r="W7" s="2"/>
    </row>
    <row r="8" spans="1:23" x14ac:dyDescent="0.2">
      <c r="A8" s="2" t="s">
        <v>11</v>
      </c>
      <c r="B8" s="2"/>
      <c r="C8" s="2"/>
      <c r="D8" s="2"/>
      <c r="E8" s="2"/>
      <c r="F8" s="2"/>
      <c r="G8" s="2"/>
      <c r="H8" s="2"/>
      <c r="I8" s="2"/>
      <c r="J8" s="2"/>
      <c r="K8" s="2"/>
      <c r="L8" s="2"/>
      <c r="M8" s="2"/>
      <c r="N8" s="2"/>
      <c r="O8" s="2"/>
      <c r="P8" s="2"/>
      <c r="Q8" s="2"/>
      <c r="R8" s="2"/>
      <c r="S8" s="2"/>
      <c r="T8" s="2"/>
      <c r="U8" s="2"/>
      <c r="V8" s="2"/>
      <c r="W8" s="2"/>
    </row>
    <row r="9" spans="1:23" x14ac:dyDescent="0.2">
      <c r="A9" s="2" t="s">
        <v>12</v>
      </c>
      <c r="B9" s="2"/>
      <c r="C9" s="2"/>
      <c r="D9" s="2"/>
      <c r="E9" s="2"/>
      <c r="F9" s="2"/>
      <c r="G9" s="2"/>
      <c r="H9" s="2"/>
      <c r="I9" s="2"/>
      <c r="J9" s="2"/>
      <c r="K9" s="2"/>
      <c r="L9" s="2"/>
      <c r="M9" s="2" t="s">
        <v>23</v>
      </c>
      <c r="N9" s="2"/>
      <c r="O9" s="2"/>
      <c r="P9" s="2"/>
      <c r="Q9" s="2"/>
      <c r="R9" s="2"/>
      <c r="S9" s="2"/>
      <c r="T9" s="2"/>
      <c r="U9" s="2"/>
      <c r="V9" s="2"/>
      <c r="W9" s="2"/>
    </row>
    <row r="10" spans="1:23" x14ac:dyDescent="0.2">
      <c r="A10" s="2"/>
      <c r="B10" s="2"/>
      <c r="C10" s="2"/>
      <c r="D10" s="2"/>
      <c r="E10" s="2"/>
      <c r="F10" s="2"/>
      <c r="G10" s="2"/>
      <c r="H10" s="2"/>
      <c r="I10" s="2"/>
      <c r="J10" s="2"/>
      <c r="K10" s="2"/>
      <c r="L10" s="2"/>
      <c r="M10" s="2" t="s">
        <v>24</v>
      </c>
      <c r="N10" s="2"/>
      <c r="O10" s="2"/>
      <c r="P10" s="2"/>
      <c r="Q10" s="2"/>
      <c r="R10" s="2"/>
      <c r="S10" s="2"/>
      <c r="T10" s="2"/>
      <c r="U10" s="2"/>
      <c r="V10" s="2"/>
      <c r="W10" s="2"/>
    </row>
    <row r="11" spans="1:23" ht="32" x14ac:dyDescent="0.2">
      <c r="A11" s="2" t="s">
        <v>4</v>
      </c>
      <c r="B11" s="2"/>
      <c r="C11" s="2"/>
      <c r="D11" s="2"/>
      <c r="E11" s="2"/>
      <c r="F11" s="5" t="s">
        <v>25</v>
      </c>
      <c r="G11" s="2"/>
      <c r="H11" s="2"/>
      <c r="I11" s="2"/>
      <c r="J11" s="2"/>
      <c r="K11" s="2"/>
      <c r="L11" s="2"/>
      <c r="M11" s="2"/>
      <c r="N11" s="2"/>
      <c r="O11" s="2"/>
      <c r="P11" s="2"/>
      <c r="Q11" s="2"/>
      <c r="R11" s="2"/>
      <c r="S11" s="2"/>
      <c r="T11" s="2"/>
      <c r="U11" s="2"/>
      <c r="V11" s="2"/>
      <c r="W11" s="2"/>
    </row>
    <row r="12" spans="1:23" ht="48" x14ac:dyDescent="0.2">
      <c r="A12" s="2" t="s">
        <v>6</v>
      </c>
      <c r="B12" s="2"/>
      <c r="C12" s="2"/>
      <c r="D12" s="2"/>
      <c r="E12" s="2"/>
      <c r="F12" s="5" t="s">
        <v>26</v>
      </c>
      <c r="G12" s="2"/>
      <c r="H12" s="2"/>
      <c r="I12" s="2"/>
      <c r="J12" s="2"/>
      <c r="K12" s="2"/>
      <c r="L12" s="2">
        <v>1</v>
      </c>
      <c r="M12" s="2" t="s">
        <v>0</v>
      </c>
      <c r="N12" s="2" t="str">
        <f>""</f>
        <v/>
      </c>
      <c r="O12" s="2"/>
      <c r="P12" s="2"/>
      <c r="Q12" s="2"/>
      <c r="R12" s="2"/>
      <c r="S12" s="2"/>
      <c r="T12" s="2"/>
      <c r="U12" s="2"/>
      <c r="V12" s="2"/>
      <c r="W12" s="2"/>
    </row>
    <row r="13" spans="1:23" ht="48" x14ac:dyDescent="0.2">
      <c r="A13" s="2" t="s">
        <v>7</v>
      </c>
      <c r="B13" s="2"/>
      <c r="C13" s="2"/>
      <c r="D13" s="2"/>
      <c r="E13" s="2"/>
      <c r="F13" s="5" t="s">
        <v>27</v>
      </c>
      <c r="G13" s="2"/>
      <c r="H13" s="2"/>
      <c r="I13" s="2"/>
      <c r="J13" s="2"/>
      <c r="K13" s="2"/>
      <c r="L13" s="2">
        <v>2</v>
      </c>
      <c r="M13" s="2" t="s">
        <v>23</v>
      </c>
      <c r="N13" s="2">
        <v>0</v>
      </c>
      <c r="O13" s="2"/>
      <c r="P13" s="2"/>
      <c r="Q13" s="2"/>
      <c r="R13" s="2"/>
      <c r="S13" s="2"/>
      <c r="T13" s="2"/>
      <c r="U13" s="2"/>
      <c r="V13" s="2"/>
      <c r="W13" s="2"/>
    </row>
    <row r="14" spans="1:23" ht="64" x14ac:dyDescent="0.2">
      <c r="A14" s="2" t="s">
        <v>8</v>
      </c>
      <c r="B14" s="2"/>
      <c r="C14" s="2"/>
      <c r="D14" s="2"/>
      <c r="E14" s="2"/>
      <c r="F14" s="5" t="s">
        <v>28</v>
      </c>
      <c r="G14" s="2"/>
      <c r="H14" s="2"/>
      <c r="I14" s="2"/>
      <c r="J14" s="2"/>
      <c r="K14" s="2"/>
      <c r="L14" s="2">
        <v>3</v>
      </c>
      <c r="M14" s="2" t="s">
        <v>29</v>
      </c>
      <c r="N14" s="2">
        <v>1</v>
      </c>
      <c r="O14" s="2"/>
      <c r="P14" s="2"/>
      <c r="Q14" s="2"/>
      <c r="R14" s="2"/>
      <c r="S14" s="2"/>
      <c r="T14" s="2"/>
      <c r="U14" s="2"/>
      <c r="V14" s="2"/>
      <c r="W14" s="2"/>
    </row>
    <row r="15" spans="1:23" ht="48" x14ac:dyDescent="0.2">
      <c r="A15" s="2" t="s">
        <v>9</v>
      </c>
      <c r="B15" s="2"/>
      <c r="C15" s="2"/>
      <c r="D15" s="2"/>
      <c r="E15" s="2"/>
      <c r="F15" s="5" t="s">
        <v>30</v>
      </c>
      <c r="G15" s="2"/>
      <c r="H15" s="2"/>
      <c r="I15" s="2"/>
      <c r="J15" s="2"/>
      <c r="K15" s="2"/>
      <c r="L15" s="2">
        <v>4</v>
      </c>
      <c r="M15" s="2" t="s">
        <v>31</v>
      </c>
      <c r="N15" s="2">
        <v>2</v>
      </c>
      <c r="O15" s="2"/>
      <c r="P15" s="2"/>
      <c r="Q15" s="2"/>
      <c r="R15" s="2"/>
      <c r="S15" s="2"/>
      <c r="T15" s="2"/>
      <c r="U15" s="2"/>
      <c r="V15" s="2"/>
      <c r="W15" s="2"/>
    </row>
    <row r="16" spans="1:23" x14ac:dyDescent="0.2">
      <c r="A16" s="2"/>
      <c r="B16" s="2"/>
      <c r="C16" s="2"/>
      <c r="D16" s="2"/>
      <c r="E16" s="2"/>
      <c r="F16" s="2"/>
      <c r="G16" s="2"/>
      <c r="H16" s="2"/>
      <c r="I16" s="2"/>
      <c r="J16" s="2"/>
      <c r="K16" s="2"/>
      <c r="L16" s="2">
        <v>5</v>
      </c>
      <c r="M16" s="2" t="s">
        <v>32</v>
      </c>
      <c r="N16" s="2">
        <v>3</v>
      </c>
      <c r="O16" s="2"/>
      <c r="P16" s="2"/>
      <c r="Q16" s="2"/>
      <c r="R16" s="2"/>
      <c r="S16" s="2"/>
      <c r="T16" s="2"/>
      <c r="U16" s="2"/>
      <c r="V16" s="2"/>
      <c r="W16" s="2"/>
    </row>
    <row r="17" spans="1:14" x14ac:dyDescent="0.2">
      <c r="A17" s="2" t="s">
        <v>1</v>
      </c>
      <c r="B17" s="2"/>
      <c r="C17" s="2">
        <v>1</v>
      </c>
      <c r="D17" s="2">
        <v>2</v>
      </c>
      <c r="E17" s="2">
        <v>3</v>
      </c>
      <c r="F17" s="2">
        <v>4</v>
      </c>
      <c r="G17" s="2">
        <v>5</v>
      </c>
      <c r="H17" s="2"/>
      <c r="I17" s="2"/>
      <c r="J17" s="2"/>
      <c r="K17" s="2"/>
      <c r="L17" s="2">
        <v>6</v>
      </c>
      <c r="M17" s="2" t="s">
        <v>10</v>
      </c>
      <c r="N17" s="2">
        <v>0</v>
      </c>
    </row>
    <row r="18" spans="1:14" ht="16" x14ac:dyDescent="0.2">
      <c r="A18" s="2" t="s">
        <v>13</v>
      </c>
      <c r="B18" s="2"/>
      <c r="C18" s="2" t="s">
        <v>1</v>
      </c>
      <c r="D18" s="2" t="s">
        <v>13</v>
      </c>
      <c r="E18" s="2" t="s">
        <v>16</v>
      </c>
      <c r="F18" s="5" t="s">
        <v>18</v>
      </c>
      <c r="G18" s="2" t="s">
        <v>20</v>
      </c>
      <c r="H18" s="2"/>
      <c r="I18" s="2"/>
      <c r="J18" s="2"/>
      <c r="K18" s="2"/>
      <c r="L18" s="2">
        <v>7</v>
      </c>
      <c r="M18" s="2" t="s">
        <v>33</v>
      </c>
      <c r="N18" s="2" t="str">
        <f>""</f>
        <v/>
      </c>
    </row>
    <row r="19" spans="1:14" x14ac:dyDescent="0.2">
      <c r="A19" s="2" t="s">
        <v>16</v>
      </c>
      <c r="B19" s="2"/>
      <c r="C19" s="2">
        <v>1</v>
      </c>
      <c r="D19" s="2">
        <v>2</v>
      </c>
      <c r="E19" s="2">
        <v>3</v>
      </c>
      <c r="F19" s="2">
        <v>4</v>
      </c>
      <c r="G19" s="2">
        <v>5</v>
      </c>
      <c r="H19" s="2"/>
      <c r="I19" s="2"/>
      <c r="J19" s="2"/>
      <c r="K19" s="2"/>
      <c r="L19" s="2"/>
      <c r="M19" s="2"/>
      <c r="N19" s="2"/>
    </row>
    <row r="23" spans="1:14" x14ac:dyDescent="0.2">
      <c r="A23" s="2" t="s">
        <v>34</v>
      </c>
      <c r="B23" s="2"/>
      <c r="C23" s="2"/>
      <c r="D23" s="2"/>
      <c r="E23" s="2"/>
      <c r="F23" s="2"/>
      <c r="G23" s="2"/>
      <c r="H23" s="2"/>
      <c r="I23" s="2"/>
      <c r="J23" s="2"/>
      <c r="K23" s="2"/>
      <c r="L23" s="2"/>
      <c r="M23" s="2"/>
      <c r="N23" s="2"/>
    </row>
    <row r="24" spans="1:14" x14ac:dyDescent="0.2">
      <c r="A24" s="2" t="s">
        <v>35</v>
      </c>
      <c r="B24" s="2"/>
      <c r="C24" s="2"/>
      <c r="D24" s="2"/>
      <c r="E24" s="2"/>
      <c r="F24" s="2" t="s">
        <v>36</v>
      </c>
      <c r="G24" s="2"/>
      <c r="H24" s="2"/>
      <c r="I24" s="2"/>
      <c r="J24" s="2"/>
      <c r="K24" s="2" t="s">
        <v>37</v>
      </c>
      <c r="L24" s="2"/>
      <c r="M24" s="2"/>
      <c r="N24" s="2"/>
    </row>
    <row r="25" spans="1:14" x14ac:dyDescent="0.2">
      <c r="A25" s="2" t="s">
        <v>38</v>
      </c>
      <c r="B25" s="2"/>
      <c r="C25" s="2"/>
      <c r="D25" s="2"/>
      <c r="E25" s="2"/>
      <c r="F25" s="2" t="s">
        <v>39</v>
      </c>
      <c r="G25" s="2"/>
      <c r="H25" s="2"/>
      <c r="I25" s="2"/>
      <c r="J25" s="2"/>
      <c r="K25" s="2" t="s">
        <v>40</v>
      </c>
      <c r="L25" s="2"/>
      <c r="M25" s="2"/>
      <c r="N25" s="2"/>
    </row>
    <row r="26" spans="1:14" x14ac:dyDescent="0.2">
      <c r="A26" s="2" t="s">
        <v>41</v>
      </c>
      <c r="B26" s="2"/>
      <c r="C26" s="2"/>
      <c r="D26" s="2"/>
      <c r="E26" s="2"/>
      <c r="F26" s="2" t="s">
        <v>42</v>
      </c>
      <c r="G26" s="2"/>
      <c r="H26" s="2"/>
      <c r="I26" s="2"/>
      <c r="J26" s="2"/>
      <c r="K26" s="2" t="s">
        <v>43</v>
      </c>
      <c r="L26" s="2"/>
      <c r="M26" s="2"/>
      <c r="N26" s="2"/>
    </row>
    <row r="27" spans="1:14" x14ac:dyDescent="0.2">
      <c r="A27" s="2" t="s">
        <v>44</v>
      </c>
      <c r="B27" s="2"/>
      <c r="C27" s="2"/>
      <c r="D27" s="2"/>
      <c r="E27" s="2"/>
      <c r="F27" s="2" t="s">
        <v>45</v>
      </c>
      <c r="G27" s="2"/>
      <c r="H27" s="2"/>
      <c r="I27" s="2"/>
      <c r="J27" s="2"/>
      <c r="K27" s="2" t="s">
        <v>46</v>
      </c>
      <c r="L27" s="2"/>
      <c r="M27" s="2"/>
      <c r="N27" s="2"/>
    </row>
    <row r="28" spans="1:14" x14ac:dyDescent="0.2">
      <c r="A28" s="2" t="s">
        <v>47</v>
      </c>
      <c r="B28" s="2"/>
      <c r="C28" s="2"/>
      <c r="D28" s="2"/>
      <c r="E28" s="2"/>
      <c r="F28" s="2" t="s">
        <v>48</v>
      </c>
      <c r="G28" s="2"/>
      <c r="H28" s="2"/>
      <c r="I28" s="2"/>
      <c r="J28" s="2"/>
      <c r="K28" s="2" t="s">
        <v>49</v>
      </c>
      <c r="L28" s="2"/>
      <c r="M28" s="2"/>
      <c r="N28" s="2"/>
    </row>
    <row r="29" spans="1:14" x14ac:dyDescent="0.2">
      <c r="A29" s="2"/>
      <c r="B29" s="2"/>
      <c r="C29" s="2"/>
      <c r="D29" s="2"/>
      <c r="E29" s="2"/>
      <c r="F29" s="2" t="s">
        <v>50</v>
      </c>
      <c r="G29" s="2"/>
      <c r="H29" s="2"/>
      <c r="I29" s="2"/>
      <c r="J29" s="2"/>
      <c r="K29" s="2"/>
      <c r="L29" s="2"/>
      <c r="M29" s="2"/>
      <c r="N29" s="2"/>
    </row>
    <row r="30" spans="1:14" x14ac:dyDescent="0.2">
      <c r="A30" s="2"/>
      <c r="B30" s="2"/>
      <c r="C30" s="2"/>
      <c r="D30" s="2"/>
      <c r="E30" s="2"/>
      <c r="F30" s="2" t="s">
        <v>51</v>
      </c>
      <c r="G30" s="2"/>
      <c r="H30" s="2"/>
      <c r="I30" s="2"/>
      <c r="J30" s="2"/>
      <c r="K30" s="2"/>
      <c r="L30" s="2"/>
      <c r="M30" s="2"/>
      <c r="N30" s="2"/>
    </row>
    <row r="31" spans="1:14" x14ac:dyDescent="0.2">
      <c r="A31" s="2"/>
      <c r="B31" s="2"/>
      <c r="C31" s="2"/>
      <c r="D31" s="2"/>
      <c r="E31" s="2"/>
      <c r="F31" s="2" t="s">
        <v>52</v>
      </c>
      <c r="G31" s="2"/>
      <c r="H31" s="2"/>
      <c r="I31" s="2"/>
      <c r="J31" s="2"/>
      <c r="K31" s="2"/>
      <c r="L31" s="2"/>
      <c r="M31" s="2"/>
      <c r="N31" s="2"/>
    </row>
    <row r="32" spans="1:14" x14ac:dyDescent="0.2">
      <c r="A32" s="2"/>
      <c r="B32" s="2"/>
      <c r="C32" s="2"/>
      <c r="D32" s="2"/>
      <c r="E32" s="2"/>
      <c r="F32" s="2" t="s">
        <v>53</v>
      </c>
      <c r="G32" s="2"/>
      <c r="H32" s="2"/>
      <c r="I32" s="2"/>
      <c r="J32" s="2"/>
      <c r="K32" s="2"/>
      <c r="L32" s="2"/>
      <c r="M32" s="2"/>
      <c r="N32" s="2"/>
    </row>
    <row r="33" spans="6:6" x14ac:dyDescent="0.2">
      <c r="F33" s="2" t="s">
        <v>54</v>
      </c>
    </row>
    <row r="34" spans="6:6" x14ac:dyDescent="0.2">
      <c r="F34" s="2" t="s">
        <v>55</v>
      </c>
    </row>
    <row r="35" spans="6:6" x14ac:dyDescent="0.2">
      <c r="F35" s="2" t="s">
        <v>56</v>
      </c>
    </row>
    <row r="36" spans="6:6" x14ac:dyDescent="0.2">
      <c r="F36" s="2" t="s">
        <v>57</v>
      </c>
    </row>
    <row r="37" spans="6:6" x14ac:dyDescent="0.2">
      <c r="F37" s="2" t="s">
        <v>58</v>
      </c>
    </row>
    <row r="38" spans="6:6" x14ac:dyDescent="0.2">
      <c r="F38" s="2" t="s">
        <v>59</v>
      </c>
    </row>
    <row r="39" spans="6:6" x14ac:dyDescent="0.2">
      <c r="F39" s="2" t="s">
        <v>60</v>
      </c>
    </row>
    <row r="40" spans="6:6" x14ac:dyDescent="0.2">
      <c r="F40" s="2" t="s">
        <v>61</v>
      </c>
    </row>
    <row r="41" spans="6:6" x14ac:dyDescent="0.2">
      <c r="F41" s="2" t="s">
        <v>62</v>
      </c>
    </row>
    <row r="42" spans="6:6" x14ac:dyDescent="0.2">
      <c r="F42" s="2" t="s">
        <v>63</v>
      </c>
    </row>
    <row r="43" spans="6:6" x14ac:dyDescent="0.2">
      <c r="F43" s="2" t="s">
        <v>64</v>
      </c>
    </row>
    <row r="44" spans="6:6" x14ac:dyDescent="0.2">
      <c r="F44" s="2" t="s">
        <v>65</v>
      </c>
    </row>
    <row r="45" spans="6:6" x14ac:dyDescent="0.2">
      <c r="F45" s="2" t="s">
        <v>66</v>
      </c>
    </row>
    <row r="46" spans="6:6" x14ac:dyDescent="0.2">
      <c r="F46" s="2" t="s">
        <v>67</v>
      </c>
    </row>
    <row r="47" spans="6:6" x14ac:dyDescent="0.2">
      <c r="F47" s="2" t="s">
        <v>68</v>
      </c>
    </row>
    <row r="48" spans="6:6" x14ac:dyDescent="0.2">
      <c r="F48" s="2" t="s">
        <v>69</v>
      </c>
    </row>
    <row r="49" spans="6:6" x14ac:dyDescent="0.2">
      <c r="F49" s="2" t="s">
        <v>70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X646"/>
  <sheetViews>
    <sheetView workbookViewId="0">
      <pane ySplit="1" topLeftCell="A2" activePane="bottomLeft" state="frozen"/>
      <selection pane="bottomLeft" activeCell="A2" sqref="A2"/>
    </sheetView>
  </sheetViews>
  <sheetFormatPr baseColWidth="10" defaultColWidth="9.1640625" defaultRowHeight="15" x14ac:dyDescent="0.2"/>
  <cols>
    <col min="1" max="2" width="9.1640625" style="2"/>
    <col min="3" max="3" width="12.5" style="2" customWidth="1"/>
    <col min="4" max="4" width="6.5" style="2" customWidth="1"/>
    <col min="5" max="5" width="5" style="2" customWidth="1"/>
    <col min="6" max="6" width="7" style="2" customWidth="1"/>
    <col min="7" max="7" width="25.33203125" style="2" customWidth="1"/>
    <col min="8" max="8" width="11.6640625" style="2" customWidth="1"/>
    <col min="9" max="9" width="9.1640625" style="19"/>
    <col min="10" max="14" width="9.1640625" style="2"/>
    <col min="15" max="16" width="9.1640625" style="19"/>
    <col min="17" max="17" width="5.1640625" style="2" customWidth="1"/>
    <col min="18" max="18" width="9.1640625" style="21"/>
    <col min="19" max="20" width="9.1640625" style="2"/>
    <col min="21" max="21" width="9.1640625" style="19"/>
    <col min="22" max="16384" width="9.1640625" style="2"/>
  </cols>
  <sheetData>
    <row r="1" spans="1:24" ht="16" thickBot="1" x14ac:dyDescent="0.25">
      <c r="A1" s="23" t="s">
        <v>71</v>
      </c>
      <c r="B1" s="23" t="s">
        <v>72</v>
      </c>
      <c r="C1" s="23" t="s">
        <v>73</v>
      </c>
      <c r="D1" s="23" t="s">
        <v>74</v>
      </c>
      <c r="E1" s="23" t="s">
        <v>75</v>
      </c>
      <c r="F1" s="23" t="s">
        <v>76</v>
      </c>
      <c r="G1" s="23" t="s">
        <v>77</v>
      </c>
      <c r="H1" s="23" t="s">
        <v>3</v>
      </c>
      <c r="I1" s="18" t="s">
        <v>78</v>
      </c>
      <c r="J1" s="24" t="s">
        <v>74</v>
      </c>
      <c r="K1" s="24" t="s">
        <v>79</v>
      </c>
      <c r="L1" s="24" t="s">
        <v>80</v>
      </c>
      <c r="M1" s="24" t="s">
        <v>75</v>
      </c>
      <c r="N1" s="24" t="s">
        <v>76</v>
      </c>
      <c r="O1" s="20" t="s">
        <v>81</v>
      </c>
      <c r="P1" s="22"/>
      <c r="S1" s="149" t="s">
        <v>82</v>
      </c>
      <c r="T1" s="149"/>
      <c r="U1" s="90" t="s">
        <v>83</v>
      </c>
      <c r="W1" s="2">
        <v>1</v>
      </c>
      <c r="X1" s="2" t="s">
        <v>78</v>
      </c>
    </row>
    <row r="2" spans="1:24" x14ac:dyDescent="0.2">
      <c r="A2" s="3">
        <v>1</v>
      </c>
      <c r="B2" s="21">
        <f>R2</f>
        <v>1</v>
      </c>
      <c r="C2" s="3">
        <v>1</v>
      </c>
      <c r="D2" s="3" t="s">
        <v>84</v>
      </c>
      <c r="E2" s="3" t="s">
        <v>84</v>
      </c>
      <c r="F2" s="3" t="s">
        <v>84</v>
      </c>
      <c r="G2" s="3" t="s">
        <v>85</v>
      </c>
      <c r="H2" s="3" t="s">
        <v>84</v>
      </c>
      <c r="I2" s="19">
        <f t="shared" ref="I2:I64" si="0">IF(AND(LEN(C2)=1,LEN(D2)=0),1,"")</f>
        <v>1</v>
      </c>
      <c r="J2" s="3" t="str">
        <f t="shared" ref="J2:J64" si="1">IF(AND(LEN(C2)=1,LEN(D2)=1,LEN(E2)=0,LEN(F2)=0),2,"")</f>
        <v/>
      </c>
      <c r="K2" s="3" t="str">
        <f t="shared" ref="K2:K64" si="2">IF(AND(LEN(C2)=0,LEN(E2)=0),3,"")</f>
        <v/>
      </c>
      <c r="L2" s="3" t="str">
        <f t="shared" ref="L2:L64" si="3">IF(AND(LEN(C2)&gt;0,LEN(D2&gt;0),LEN(E2)&gt;0,LEN(F2)=0,H2="N/A"),4,"")</f>
        <v/>
      </c>
      <c r="M2" s="3" t="str">
        <f t="shared" ref="M2:M64" si="4">IF(AND(LEN(C2)&gt;0,LEN(D2&gt;0),LEN(E2)&gt;0,LEN(F2)=0,H2&gt;0,H2&lt;6),5,"")</f>
        <v/>
      </c>
      <c r="N2" s="3" t="str">
        <f t="shared" ref="N2:N64" si="5">IF(AND(LEN(C2)&gt;0,LEN(D2&gt;0),LEN(E2)&gt;0,LEN(F2)&gt;0,H2&gt;0,H2&lt;6),6,"")</f>
        <v/>
      </c>
      <c r="O2" s="19">
        <f t="shared" ref="O2:O64" si="6">SUM(I2:N2)</f>
        <v>1</v>
      </c>
      <c r="Q2" s="2" t="str">
        <f t="shared" ref="Q2:Q64" si="7">IF(LEN(E2)&gt;0,TEXT(E2,"00"),"")</f>
        <v/>
      </c>
      <c r="R2" s="21">
        <f t="shared" ref="R2:R64" si="8">IF(O2=1,C2,IF(O2=2,C2&amp;"."&amp;D2,IF(O2=3,"",IF(O2=4,C2&amp;"."&amp;D2&amp;"."&amp;Q2,IF(O2=5,C2&amp;"."&amp;D2&amp;"."&amp;Q2,IF(O2=6,C2&amp;"."&amp;D2&amp;"."&amp;Q2&amp;F2,""))))))</f>
        <v>1</v>
      </c>
      <c r="S2" s="2" t="str">
        <f t="shared" ref="S2:S64" si="9">IF(O2=O1,IF(NOT(R2&gt;R1),1,""),"")</f>
        <v/>
      </c>
      <c r="T2" s="2" t="str">
        <f>IF(NOT(R2&gt;R1),1,"")</f>
        <v/>
      </c>
      <c r="U2" s="19" t="str">
        <f>IF(O2&lt;4,IF(LEN(H2)=0,"",1),IF(O2=4,IF(H2="N/A","",1),IF(AND(O2&gt;4,O2&lt;7),IF(AND(H2&gt;0,H2&lt;6),"",1),1)))</f>
        <v/>
      </c>
      <c r="W2" s="2">
        <v>2</v>
      </c>
      <c r="X2" s="2" t="s">
        <v>74</v>
      </c>
    </row>
    <row r="3" spans="1:24" x14ac:dyDescent="0.2">
      <c r="A3" s="2">
        <v>2</v>
      </c>
      <c r="B3" s="21" t="str">
        <f t="shared" ref="B3:B65" si="10">R3</f>
        <v>1.1</v>
      </c>
      <c r="C3" s="2">
        <v>1</v>
      </c>
      <c r="D3" s="2">
        <v>1</v>
      </c>
      <c r="E3" s="2" t="s">
        <v>84</v>
      </c>
      <c r="F3" s="2" t="s">
        <v>84</v>
      </c>
      <c r="G3" s="2" t="s">
        <v>86</v>
      </c>
      <c r="H3" s="2" t="s">
        <v>84</v>
      </c>
      <c r="I3" s="19" t="str">
        <f t="shared" si="0"/>
        <v/>
      </c>
      <c r="J3" s="2">
        <f t="shared" si="1"/>
        <v>2</v>
      </c>
      <c r="K3" s="2" t="str">
        <f t="shared" si="2"/>
        <v/>
      </c>
      <c r="L3" s="2" t="str">
        <f t="shared" si="3"/>
        <v/>
      </c>
      <c r="M3" s="2" t="str">
        <f t="shared" si="4"/>
        <v/>
      </c>
      <c r="N3" s="2" t="str">
        <f t="shared" si="5"/>
        <v/>
      </c>
      <c r="O3" s="19">
        <f t="shared" si="6"/>
        <v>2</v>
      </c>
      <c r="Q3" s="2" t="str">
        <f t="shared" si="7"/>
        <v/>
      </c>
      <c r="R3" s="21" t="str">
        <f t="shared" si="8"/>
        <v>1.1</v>
      </c>
      <c r="S3" s="2" t="str">
        <f t="shared" si="9"/>
        <v/>
      </c>
      <c r="T3" s="2" t="str">
        <f t="shared" ref="T3:T65" si="11">IF(NOT(R3&gt;R2),1,"")</f>
        <v/>
      </c>
      <c r="U3" s="19" t="str">
        <f t="shared" ref="U3:U66" si="12">IF(O3&lt;4,IF(LEN(H3)=0,"",1),IF(O3=4,IF(H3="N/A","",1),IF(AND(O3&gt;4,O3&lt;7),IF(AND(H3&gt;0,H3&lt;6),"",1),1)))</f>
        <v/>
      </c>
      <c r="W3" s="2">
        <v>3</v>
      </c>
      <c r="X3" s="2" t="s">
        <v>79</v>
      </c>
    </row>
    <row r="4" spans="1:24" x14ac:dyDescent="0.2">
      <c r="A4" s="2">
        <v>3</v>
      </c>
      <c r="B4" s="21" t="str">
        <f t="shared" si="10"/>
        <v>1.1.01</v>
      </c>
      <c r="C4" s="2">
        <v>1</v>
      </c>
      <c r="D4" s="2">
        <v>1</v>
      </c>
      <c r="E4" s="2">
        <v>1</v>
      </c>
      <c r="F4" s="2" t="s">
        <v>84</v>
      </c>
      <c r="G4" s="2" t="s">
        <v>87</v>
      </c>
      <c r="H4" s="2">
        <v>1</v>
      </c>
      <c r="I4" s="19" t="str">
        <f t="shared" si="0"/>
        <v/>
      </c>
      <c r="J4" s="2" t="str">
        <f t="shared" si="1"/>
        <v/>
      </c>
      <c r="K4" s="2" t="str">
        <f t="shared" si="2"/>
        <v/>
      </c>
      <c r="L4" s="2" t="str">
        <f t="shared" si="3"/>
        <v/>
      </c>
      <c r="M4" s="2">
        <f t="shared" si="4"/>
        <v>5</v>
      </c>
      <c r="N4" s="2" t="str">
        <f t="shared" si="5"/>
        <v/>
      </c>
      <c r="O4" s="19">
        <f t="shared" si="6"/>
        <v>5</v>
      </c>
      <c r="Q4" s="2" t="str">
        <f t="shared" si="7"/>
        <v>01</v>
      </c>
      <c r="R4" s="21" t="str">
        <f t="shared" si="8"/>
        <v>1.1.01</v>
      </c>
      <c r="S4" s="2" t="str">
        <f t="shared" si="9"/>
        <v/>
      </c>
      <c r="T4" s="2" t="str">
        <f t="shared" si="11"/>
        <v/>
      </c>
      <c r="U4" s="19" t="str">
        <f t="shared" si="12"/>
        <v/>
      </c>
      <c r="W4" s="2">
        <v>4</v>
      </c>
      <c r="X4" s="2" t="s">
        <v>80</v>
      </c>
    </row>
    <row r="5" spans="1:24" x14ac:dyDescent="0.2">
      <c r="A5" s="2">
        <v>4</v>
      </c>
      <c r="B5" s="21" t="str">
        <f t="shared" si="10"/>
        <v>1.1.02</v>
      </c>
      <c r="C5" s="2">
        <v>1</v>
      </c>
      <c r="D5" s="2">
        <v>1</v>
      </c>
      <c r="E5" s="2">
        <v>2</v>
      </c>
      <c r="F5" s="2" t="s">
        <v>84</v>
      </c>
      <c r="G5" s="2" t="s">
        <v>88</v>
      </c>
      <c r="H5" s="2" t="s">
        <v>89</v>
      </c>
      <c r="I5" s="19" t="str">
        <f t="shared" si="0"/>
        <v/>
      </c>
      <c r="J5" s="2" t="str">
        <f t="shared" si="1"/>
        <v/>
      </c>
      <c r="K5" s="2" t="str">
        <f t="shared" si="2"/>
        <v/>
      </c>
      <c r="L5" s="2">
        <f t="shared" si="3"/>
        <v>4</v>
      </c>
      <c r="M5" s="2" t="str">
        <f t="shared" si="4"/>
        <v/>
      </c>
      <c r="N5" s="2" t="str">
        <f t="shared" si="5"/>
        <v/>
      </c>
      <c r="O5" s="19">
        <f t="shared" si="6"/>
        <v>4</v>
      </c>
      <c r="Q5" s="2" t="str">
        <f t="shared" si="7"/>
        <v>02</v>
      </c>
      <c r="R5" s="21" t="str">
        <f t="shared" si="8"/>
        <v>1.1.02</v>
      </c>
      <c r="S5" s="2" t="str">
        <f t="shared" si="9"/>
        <v/>
      </c>
      <c r="T5" s="2" t="str">
        <f t="shared" si="11"/>
        <v/>
      </c>
      <c r="U5" s="19" t="str">
        <f t="shared" si="12"/>
        <v/>
      </c>
      <c r="W5" s="2">
        <v>5</v>
      </c>
      <c r="X5" s="2" t="s">
        <v>75</v>
      </c>
    </row>
    <row r="6" spans="1:24" x14ac:dyDescent="0.2">
      <c r="A6" s="2">
        <v>5</v>
      </c>
      <c r="B6" s="21" t="str">
        <f t="shared" si="10"/>
        <v>1.1.02a</v>
      </c>
      <c r="C6" s="2">
        <v>1</v>
      </c>
      <c r="D6" s="2">
        <v>1</v>
      </c>
      <c r="E6" s="2">
        <v>2</v>
      </c>
      <c r="F6" s="2" t="s">
        <v>90</v>
      </c>
      <c r="G6" s="2" t="s">
        <v>91</v>
      </c>
      <c r="H6" s="2">
        <v>3</v>
      </c>
      <c r="I6" s="19" t="str">
        <f t="shared" si="0"/>
        <v/>
      </c>
      <c r="J6" s="2" t="str">
        <f t="shared" si="1"/>
        <v/>
      </c>
      <c r="K6" s="2" t="str">
        <f t="shared" si="2"/>
        <v/>
      </c>
      <c r="L6" s="2" t="str">
        <f t="shared" si="3"/>
        <v/>
      </c>
      <c r="M6" s="2" t="str">
        <f t="shared" si="4"/>
        <v/>
      </c>
      <c r="N6" s="2">
        <f t="shared" si="5"/>
        <v>6</v>
      </c>
      <c r="O6" s="19">
        <f t="shared" si="6"/>
        <v>6</v>
      </c>
      <c r="Q6" s="2" t="str">
        <f t="shared" si="7"/>
        <v>02</v>
      </c>
      <c r="R6" s="21" t="str">
        <f t="shared" si="8"/>
        <v>1.1.02a</v>
      </c>
      <c r="S6" s="2" t="str">
        <f t="shared" si="9"/>
        <v/>
      </c>
      <c r="T6" s="2" t="str">
        <f t="shared" si="11"/>
        <v/>
      </c>
      <c r="U6" s="19" t="str">
        <f t="shared" si="12"/>
        <v/>
      </c>
      <c r="W6" s="2">
        <v>6</v>
      </c>
      <c r="X6" s="2" t="s">
        <v>76</v>
      </c>
    </row>
    <row r="7" spans="1:24" x14ac:dyDescent="0.2">
      <c r="A7" s="2">
        <v>6</v>
      </c>
      <c r="B7" s="21" t="str">
        <f t="shared" si="10"/>
        <v>1.1.02b</v>
      </c>
      <c r="C7" s="2">
        <v>1</v>
      </c>
      <c r="D7" s="2">
        <v>1</v>
      </c>
      <c r="E7" s="2">
        <v>2</v>
      </c>
      <c r="F7" s="2" t="s">
        <v>92</v>
      </c>
      <c r="G7" s="2" t="s">
        <v>93</v>
      </c>
      <c r="H7" s="2">
        <v>3</v>
      </c>
      <c r="I7" s="19" t="str">
        <f t="shared" si="0"/>
        <v/>
      </c>
      <c r="J7" s="2" t="str">
        <f t="shared" si="1"/>
        <v/>
      </c>
      <c r="K7" s="2" t="str">
        <f t="shared" si="2"/>
        <v/>
      </c>
      <c r="L7" s="2" t="str">
        <f t="shared" si="3"/>
        <v/>
      </c>
      <c r="M7" s="2" t="str">
        <f t="shared" si="4"/>
        <v/>
      </c>
      <c r="N7" s="2">
        <f t="shared" si="5"/>
        <v>6</v>
      </c>
      <c r="O7" s="19">
        <f t="shared" si="6"/>
        <v>6</v>
      </c>
      <c r="Q7" s="2" t="str">
        <f t="shared" si="7"/>
        <v>02</v>
      </c>
      <c r="R7" s="21" t="str">
        <f t="shared" si="8"/>
        <v>1.1.02b</v>
      </c>
      <c r="S7" s="2" t="str">
        <f t="shared" si="9"/>
        <v/>
      </c>
      <c r="T7" s="2" t="str">
        <f t="shared" si="11"/>
        <v/>
      </c>
      <c r="U7" s="19" t="str">
        <f t="shared" si="12"/>
        <v/>
      </c>
    </row>
    <row r="8" spans="1:24" x14ac:dyDescent="0.2">
      <c r="A8" s="2">
        <v>7</v>
      </c>
      <c r="B8" s="21" t="str">
        <f t="shared" si="10"/>
        <v>1.1.02c</v>
      </c>
      <c r="C8" s="2">
        <v>1</v>
      </c>
      <c r="D8" s="2">
        <v>1</v>
      </c>
      <c r="E8" s="2">
        <v>2</v>
      </c>
      <c r="F8" s="2" t="s">
        <v>94</v>
      </c>
      <c r="G8" s="2" t="s">
        <v>95</v>
      </c>
      <c r="H8" s="2">
        <v>3</v>
      </c>
      <c r="I8" s="19" t="str">
        <f t="shared" si="0"/>
        <v/>
      </c>
      <c r="J8" s="2" t="str">
        <f t="shared" si="1"/>
        <v/>
      </c>
      <c r="K8" s="2" t="str">
        <f t="shared" si="2"/>
        <v/>
      </c>
      <c r="L8" s="2" t="str">
        <f t="shared" si="3"/>
        <v/>
      </c>
      <c r="M8" s="2" t="str">
        <f t="shared" si="4"/>
        <v/>
      </c>
      <c r="N8" s="2">
        <f t="shared" si="5"/>
        <v>6</v>
      </c>
      <c r="O8" s="19">
        <f t="shared" si="6"/>
        <v>6</v>
      </c>
      <c r="Q8" s="2" t="str">
        <f t="shared" si="7"/>
        <v>02</v>
      </c>
      <c r="R8" s="21" t="str">
        <f t="shared" si="8"/>
        <v>1.1.02c</v>
      </c>
      <c r="S8" s="2" t="str">
        <f t="shared" si="9"/>
        <v/>
      </c>
      <c r="T8" s="2" t="str">
        <f t="shared" si="11"/>
        <v/>
      </c>
      <c r="U8" s="19" t="str">
        <f t="shared" si="12"/>
        <v/>
      </c>
    </row>
    <row r="9" spans="1:24" x14ac:dyDescent="0.2">
      <c r="A9" s="2">
        <v>8</v>
      </c>
      <c r="B9" s="21" t="str">
        <f t="shared" si="10"/>
        <v>1.1.03</v>
      </c>
      <c r="C9" s="2">
        <v>1</v>
      </c>
      <c r="D9" s="2">
        <v>1</v>
      </c>
      <c r="E9" s="2">
        <v>3</v>
      </c>
      <c r="F9" s="2" t="s">
        <v>84</v>
      </c>
      <c r="G9" s="2" t="s">
        <v>96</v>
      </c>
      <c r="H9" s="2" t="s">
        <v>89</v>
      </c>
      <c r="I9" s="19" t="str">
        <f t="shared" si="0"/>
        <v/>
      </c>
      <c r="J9" s="2" t="str">
        <f t="shared" si="1"/>
        <v/>
      </c>
      <c r="K9" s="2" t="str">
        <f t="shared" si="2"/>
        <v/>
      </c>
      <c r="L9" s="2">
        <f t="shared" si="3"/>
        <v>4</v>
      </c>
      <c r="M9" s="2" t="str">
        <f t="shared" si="4"/>
        <v/>
      </c>
      <c r="N9" s="2" t="str">
        <f t="shared" si="5"/>
        <v/>
      </c>
      <c r="O9" s="19">
        <f t="shared" si="6"/>
        <v>4</v>
      </c>
      <c r="Q9" s="2" t="str">
        <f t="shared" si="7"/>
        <v>03</v>
      </c>
      <c r="R9" s="21" t="str">
        <f t="shared" si="8"/>
        <v>1.1.03</v>
      </c>
      <c r="S9" s="2" t="str">
        <f t="shared" si="9"/>
        <v/>
      </c>
      <c r="T9" s="2" t="str">
        <f t="shared" si="11"/>
        <v/>
      </c>
      <c r="U9" s="19" t="str">
        <f t="shared" si="12"/>
        <v/>
      </c>
    </row>
    <row r="10" spans="1:24" x14ac:dyDescent="0.2">
      <c r="A10" s="2">
        <v>9</v>
      </c>
      <c r="B10" s="21" t="str">
        <f t="shared" si="10"/>
        <v>1.1.03a</v>
      </c>
      <c r="C10" s="2">
        <v>1</v>
      </c>
      <c r="D10" s="2">
        <v>1</v>
      </c>
      <c r="E10" s="2">
        <v>3</v>
      </c>
      <c r="F10" s="2" t="s">
        <v>90</v>
      </c>
      <c r="G10" s="2" t="s">
        <v>97</v>
      </c>
      <c r="H10" s="2">
        <v>3</v>
      </c>
      <c r="I10" s="19" t="str">
        <f t="shared" si="0"/>
        <v/>
      </c>
      <c r="J10" s="2" t="str">
        <f t="shared" si="1"/>
        <v/>
      </c>
      <c r="K10" s="2" t="str">
        <f t="shared" si="2"/>
        <v/>
      </c>
      <c r="L10" s="2" t="str">
        <f t="shared" si="3"/>
        <v/>
      </c>
      <c r="M10" s="2" t="str">
        <f t="shared" si="4"/>
        <v/>
      </c>
      <c r="N10" s="2">
        <f t="shared" si="5"/>
        <v>6</v>
      </c>
      <c r="O10" s="19">
        <f t="shared" si="6"/>
        <v>6</v>
      </c>
      <c r="Q10" s="2" t="str">
        <f t="shared" si="7"/>
        <v>03</v>
      </c>
      <c r="R10" s="21" t="str">
        <f t="shared" si="8"/>
        <v>1.1.03a</v>
      </c>
      <c r="S10" s="2" t="str">
        <f t="shared" si="9"/>
        <v/>
      </c>
      <c r="T10" s="2" t="str">
        <f t="shared" si="11"/>
        <v/>
      </c>
      <c r="U10" s="19" t="str">
        <f t="shared" si="12"/>
        <v/>
      </c>
    </row>
    <row r="11" spans="1:24" x14ac:dyDescent="0.2">
      <c r="A11" s="2">
        <v>10</v>
      </c>
      <c r="B11" s="21" t="str">
        <f t="shared" si="10"/>
        <v>1.1.03b</v>
      </c>
      <c r="C11" s="2">
        <v>1</v>
      </c>
      <c r="D11" s="2">
        <v>1</v>
      </c>
      <c r="E11" s="2">
        <v>3</v>
      </c>
      <c r="F11" s="2" t="s">
        <v>92</v>
      </c>
      <c r="G11" s="2" t="s">
        <v>98</v>
      </c>
      <c r="H11" s="2">
        <v>3</v>
      </c>
      <c r="I11" s="19" t="str">
        <f t="shared" si="0"/>
        <v/>
      </c>
      <c r="J11" s="2" t="str">
        <f t="shared" si="1"/>
        <v/>
      </c>
      <c r="K11" s="2" t="str">
        <f t="shared" si="2"/>
        <v/>
      </c>
      <c r="L11" s="2" t="str">
        <f t="shared" si="3"/>
        <v/>
      </c>
      <c r="M11" s="2" t="str">
        <f t="shared" si="4"/>
        <v/>
      </c>
      <c r="N11" s="2">
        <f t="shared" si="5"/>
        <v>6</v>
      </c>
      <c r="O11" s="19">
        <f t="shared" si="6"/>
        <v>6</v>
      </c>
      <c r="Q11" s="2" t="str">
        <f t="shared" si="7"/>
        <v>03</v>
      </c>
      <c r="R11" s="21" t="str">
        <f t="shared" si="8"/>
        <v>1.1.03b</v>
      </c>
      <c r="S11" s="2" t="str">
        <f t="shared" si="9"/>
        <v/>
      </c>
      <c r="T11" s="2" t="str">
        <f t="shared" si="11"/>
        <v/>
      </c>
      <c r="U11" s="19" t="str">
        <f t="shared" si="12"/>
        <v/>
      </c>
    </row>
    <row r="12" spans="1:24" x14ac:dyDescent="0.2">
      <c r="A12" s="2">
        <v>11</v>
      </c>
      <c r="B12" s="21" t="str">
        <f t="shared" si="10"/>
        <v>1.1.04</v>
      </c>
      <c r="C12" s="2">
        <v>1</v>
      </c>
      <c r="D12" s="2">
        <v>1</v>
      </c>
      <c r="E12" s="2">
        <v>4</v>
      </c>
      <c r="F12" s="2" t="s">
        <v>84</v>
      </c>
      <c r="G12" s="2" t="s">
        <v>99</v>
      </c>
      <c r="H12" s="2" t="s">
        <v>89</v>
      </c>
      <c r="I12" s="19" t="str">
        <f t="shared" si="0"/>
        <v/>
      </c>
      <c r="J12" s="2" t="str">
        <f t="shared" si="1"/>
        <v/>
      </c>
      <c r="K12" s="2" t="str">
        <f t="shared" si="2"/>
        <v/>
      </c>
      <c r="L12" s="2">
        <f t="shared" si="3"/>
        <v>4</v>
      </c>
      <c r="M12" s="2" t="str">
        <f t="shared" si="4"/>
        <v/>
      </c>
      <c r="N12" s="2" t="str">
        <f t="shared" si="5"/>
        <v/>
      </c>
      <c r="O12" s="19">
        <f t="shared" si="6"/>
        <v>4</v>
      </c>
      <c r="Q12" s="2" t="str">
        <f t="shared" si="7"/>
        <v>04</v>
      </c>
      <c r="R12" s="21" t="str">
        <f t="shared" si="8"/>
        <v>1.1.04</v>
      </c>
      <c r="S12" s="2" t="str">
        <f t="shared" si="9"/>
        <v/>
      </c>
      <c r="T12" s="2" t="str">
        <f t="shared" si="11"/>
        <v/>
      </c>
      <c r="U12" s="19" t="str">
        <f t="shared" si="12"/>
        <v/>
      </c>
    </row>
    <row r="13" spans="1:24" x14ac:dyDescent="0.2">
      <c r="A13" s="2">
        <v>12</v>
      </c>
      <c r="B13" s="21" t="str">
        <f t="shared" si="10"/>
        <v>1.1.04a</v>
      </c>
      <c r="C13" s="2">
        <v>1</v>
      </c>
      <c r="D13" s="2">
        <v>1</v>
      </c>
      <c r="E13" s="2">
        <v>4</v>
      </c>
      <c r="F13" s="2" t="s">
        <v>90</v>
      </c>
      <c r="G13" s="2" t="s">
        <v>100</v>
      </c>
      <c r="H13" s="2">
        <v>4</v>
      </c>
      <c r="I13" s="19" t="str">
        <f t="shared" si="0"/>
        <v/>
      </c>
      <c r="J13" s="2" t="str">
        <f t="shared" si="1"/>
        <v/>
      </c>
      <c r="K13" s="2" t="str">
        <f t="shared" si="2"/>
        <v/>
      </c>
      <c r="L13" s="2" t="str">
        <f t="shared" si="3"/>
        <v/>
      </c>
      <c r="M13" s="2" t="str">
        <f t="shared" si="4"/>
        <v/>
      </c>
      <c r="N13" s="2">
        <f t="shared" si="5"/>
        <v>6</v>
      </c>
      <c r="O13" s="19">
        <f t="shared" si="6"/>
        <v>6</v>
      </c>
      <c r="Q13" s="2" t="str">
        <f t="shared" si="7"/>
        <v>04</v>
      </c>
      <c r="R13" s="21" t="str">
        <f t="shared" si="8"/>
        <v>1.1.04a</v>
      </c>
      <c r="S13" s="2" t="str">
        <f t="shared" si="9"/>
        <v/>
      </c>
      <c r="T13" s="2" t="str">
        <f t="shared" si="11"/>
        <v/>
      </c>
      <c r="U13" s="19" t="str">
        <f t="shared" si="12"/>
        <v/>
      </c>
    </row>
    <row r="14" spans="1:24" x14ac:dyDescent="0.2">
      <c r="A14" s="2">
        <v>13</v>
      </c>
      <c r="B14" s="21" t="str">
        <f t="shared" si="10"/>
        <v>1.1.04b</v>
      </c>
      <c r="C14" s="2">
        <v>1</v>
      </c>
      <c r="D14" s="2">
        <v>1</v>
      </c>
      <c r="E14" s="2">
        <v>4</v>
      </c>
      <c r="F14" s="2" t="s">
        <v>92</v>
      </c>
      <c r="G14" s="2" t="s">
        <v>101</v>
      </c>
      <c r="H14" s="2">
        <v>4</v>
      </c>
      <c r="I14" s="19" t="str">
        <f t="shared" si="0"/>
        <v/>
      </c>
      <c r="J14" s="2" t="str">
        <f t="shared" si="1"/>
        <v/>
      </c>
      <c r="K14" s="2" t="str">
        <f t="shared" si="2"/>
        <v/>
      </c>
      <c r="L14" s="2" t="str">
        <f t="shared" si="3"/>
        <v/>
      </c>
      <c r="M14" s="2" t="str">
        <f t="shared" si="4"/>
        <v/>
      </c>
      <c r="N14" s="2">
        <f t="shared" si="5"/>
        <v>6</v>
      </c>
      <c r="O14" s="19">
        <f t="shared" si="6"/>
        <v>6</v>
      </c>
      <c r="Q14" s="2" t="str">
        <f t="shared" si="7"/>
        <v>04</v>
      </c>
      <c r="R14" s="21" t="str">
        <f t="shared" si="8"/>
        <v>1.1.04b</v>
      </c>
      <c r="S14" s="2" t="str">
        <f t="shared" si="9"/>
        <v/>
      </c>
      <c r="T14" s="2" t="str">
        <f t="shared" si="11"/>
        <v/>
      </c>
      <c r="U14" s="19" t="str">
        <f t="shared" si="12"/>
        <v/>
      </c>
    </row>
    <row r="15" spans="1:24" x14ac:dyDescent="0.2">
      <c r="A15" s="2">
        <v>14</v>
      </c>
      <c r="B15" s="21" t="str">
        <f t="shared" si="10"/>
        <v>1.1.05</v>
      </c>
      <c r="C15" s="2">
        <v>1</v>
      </c>
      <c r="D15" s="2">
        <v>1</v>
      </c>
      <c r="E15" s="2">
        <v>5</v>
      </c>
      <c r="F15" s="2" t="s">
        <v>84</v>
      </c>
      <c r="G15" s="2" t="s">
        <v>102</v>
      </c>
      <c r="H15" s="2">
        <v>5</v>
      </c>
      <c r="I15" s="19" t="str">
        <f t="shared" si="0"/>
        <v/>
      </c>
      <c r="J15" s="2" t="str">
        <f t="shared" si="1"/>
        <v/>
      </c>
      <c r="K15" s="2" t="str">
        <f t="shared" si="2"/>
        <v/>
      </c>
      <c r="L15" s="2" t="str">
        <f t="shared" si="3"/>
        <v/>
      </c>
      <c r="M15" s="2">
        <f t="shared" si="4"/>
        <v>5</v>
      </c>
      <c r="N15" s="2" t="str">
        <f t="shared" si="5"/>
        <v/>
      </c>
      <c r="O15" s="19">
        <f t="shared" si="6"/>
        <v>5</v>
      </c>
      <c r="Q15" s="2" t="str">
        <f t="shared" si="7"/>
        <v>05</v>
      </c>
      <c r="R15" s="21" t="str">
        <f t="shared" si="8"/>
        <v>1.1.05</v>
      </c>
      <c r="S15" s="2" t="str">
        <f t="shared" si="9"/>
        <v/>
      </c>
      <c r="T15" s="2" t="str">
        <f t="shared" si="11"/>
        <v/>
      </c>
      <c r="U15" s="19" t="str">
        <f t="shared" si="12"/>
        <v/>
      </c>
    </row>
    <row r="16" spans="1:24" x14ac:dyDescent="0.2">
      <c r="A16" s="2">
        <v>15</v>
      </c>
      <c r="B16" s="21" t="str">
        <f t="shared" si="10"/>
        <v>1.1.06</v>
      </c>
      <c r="C16" s="2">
        <v>1</v>
      </c>
      <c r="D16" s="2">
        <v>1</v>
      </c>
      <c r="E16" s="2">
        <v>6</v>
      </c>
      <c r="F16" s="2" t="s">
        <v>84</v>
      </c>
      <c r="G16" s="2" t="s">
        <v>103</v>
      </c>
      <c r="H16" s="2">
        <v>3</v>
      </c>
      <c r="I16" s="19" t="str">
        <f t="shared" si="0"/>
        <v/>
      </c>
      <c r="J16" s="2" t="str">
        <f t="shared" si="1"/>
        <v/>
      </c>
      <c r="K16" s="2" t="str">
        <f t="shared" si="2"/>
        <v/>
      </c>
      <c r="L16" s="2" t="str">
        <f t="shared" si="3"/>
        <v/>
      </c>
      <c r="M16" s="2">
        <f t="shared" si="4"/>
        <v>5</v>
      </c>
      <c r="N16" s="2" t="str">
        <f t="shared" si="5"/>
        <v/>
      </c>
      <c r="O16" s="19">
        <f t="shared" si="6"/>
        <v>5</v>
      </c>
      <c r="Q16" s="2" t="str">
        <f t="shared" si="7"/>
        <v>06</v>
      </c>
      <c r="R16" s="21" t="str">
        <f t="shared" si="8"/>
        <v>1.1.06</v>
      </c>
      <c r="S16" s="2" t="str">
        <f t="shared" si="9"/>
        <v/>
      </c>
      <c r="T16" s="2" t="str">
        <f t="shared" si="11"/>
        <v/>
      </c>
      <c r="U16" s="19" t="str">
        <f t="shared" si="12"/>
        <v/>
      </c>
    </row>
    <row r="17" spans="1:21" x14ac:dyDescent="0.2">
      <c r="A17" s="2">
        <v>16</v>
      </c>
      <c r="B17" s="21" t="str">
        <f t="shared" si="10"/>
        <v>1.1.07</v>
      </c>
      <c r="C17" s="2">
        <v>1</v>
      </c>
      <c r="D17" s="2">
        <v>1</v>
      </c>
      <c r="E17" s="2">
        <v>7</v>
      </c>
      <c r="F17" s="2" t="s">
        <v>84</v>
      </c>
      <c r="G17" s="2" t="s">
        <v>104</v>
      </c>
      <c r="H17" s="2" t="s">
        <v>89</v>
      </c>
      <c r="I17" s="19" t="str">
        <f t="shared" si="0"/>
        <v/>
      </c>
      <c r="J17" s="2" t="str">
        <f t="shared" si="1"/>
        <v/>
      </c>
      <c r="K17" s="2" t="str">
        <f t="shared" si="2"/>
        <v/>
      </c>
      <c r="L17" s="2">
        <f t="shared" si="3"/>
        <v>4</v>
      </c>
      <c r="M17" s="2" t="str">
        <f t="shared" si="4"/>
        <v/>
      </c>
      <c r="N17" s="2" t="str">
        <f t="shared" si="5"/>
        <v/>
      </c>
      <c r="O17" s="19">
        <f t="shared" si="6"/>
        <v>4</v>
      </c>
      <c r="Q17" s="2" t="str">
        <f t="shared" si="7"/>
        <v>07</v>
      </c>
      <c r="R17" s="21" t="str">
        <f t="shared" si="8"/>
        <v>1.1.07</v>
      </c>
      <c r="S17" s="2" t="str">
        <f t="shared" si="9"/>
        <v/>
      </c>
      <c r="T17" s="2" t="str">
        <f t="shared" si="11"/>
        <v/>
      </c>
      <c r="U17" s="19" t="str">
        <f t="shared" si="12"/>
        <v/>
      </c>
    </row>
    <row r="18" spans="1:21" x14ac:dyDescent="0.2">
      <c r="A18" s="2">
        <v>17</v>
      </c>
      <c r="B18" s="21" t="str">
        <f t="shared" si="10"/>
        <v>1.1.07a</v>
      </c>
      <c r="C18" s="2">
        <v>1</v>
      </c>
      <c r="D18" s="2">
        <v>1</v>
      </c>
      <c r="E18" s="2">
        <v>7</v>
      </c>
      <c r="F18" s="2" t="s">
        <v>90</v>
      </c>
      <c r="G18" s="2" t="s">
        <v>105</v>
      </c>
      <c r="H18" s="2">
        <v>3</v>
      </c>
      <c r="I18" s="19" t="str">
        <f t="shared" si="0"/>
        <v/>
      </c>
      <c r="J18" s="2" t="str">
        <f t="shared" si="1"/>
        <v/>
      </c>
      <c r="K18" s="2" t="str">
        <f t="shared" si="2"/>
        <v/>
      </c>
      <c r="L18" s="2" t="str">
        <f t="shared" si="3"/>
        <v/>
      </c>
      <c r="M18" s="2" t="str">
        <f t="shared" si="4"/>
        <v/>
      </c>
      <c r="N18" s="2">
        <f t="shared" si="5"/>
        <v>6</v>
      </c>
      <c r="O18" s="19">
        <f t="shared" si="6"/>
        <v>6</v>
      </c>
      <c r="Q18" s="2" t="str">
        <f t="shared" si="7"/>
        <v>07</v>
      </c>
      <c r="R18" s="21" t="str">
        <f t="shared" si="8"/>
        <v>1.1.07a</v>
      </c>
      <c r="S18" s="2" t="str">
        <f t="shared" si="9"/>
        <v/>
      </c>
      <c r="T18" s="2" t="str">
        <f t="shared" si="11"/>
        <v/>
      </c>
      <c r="U18" s="19" t="str">
        <f t="shared" si="12"/>
        <v/>
      </c>
    </row>
    <row r="19" spans="1:21" x14ac:dyDescent="0.2">
      <c r="A19" s="2">
        <v>18</v>
      </c>
      <c r="B19" s="21" t="str">
        <f t="shared" si="10"/>
        <v>1.1.07b</v>
      </c>
      <c r="C19" s="2">
        <v>1</v>
      </c>
      <c r="D19" s="2">
        <v>1</v>
      </c>
      <c r="E19" s="2">
        <v>7</v>
      </c>
      <c r="F19" s="2" t="s">
        <v>92</v>
      </c>
      <c r="G19" s="2" t="s">
        <v>106</v>
      </c>
      <c r="H19" s="2">
        <v>3</v>
      </c>
      <c r="I19" s="19" t="str">
        <f t="shared" si="0"/>
        <v/>
      </c>
      <c r="J19" s="2" t="str">
        <f t="shared" si="1"/>
        <v/>
      </c>
      <c r="K19" s="2" t="str">
        <f t="shared" si="2"/>
        <v/>
      </c>
      <c r="L19" s="2" t="str">
        <f t="shared" si="3"/>
        <v/>
      </c>
      <c r="M19" s="2" t="str">
        <f t="shared" si="4"/>
        <v/>
      </c>
      <c r="N19" s="2">
        <f t="shared" si="5"/>
        <v>6</v>
      </c>
      <c r="O19" s="19">
        <f t="shared" si="6"/>
        <v>6</v>
      </c>
      <c r="Q19" s="2" t="str">
        <f t="shared" si="7"/>
        <v>07</v>
      </c>
      <c r="R19" s="21" t="str">
        <f t="shared" si="8"/>
        <v>1.1.07b</v>
      </c>
      <c r="S19" s="2" t="str">
        <f t="shared" si="9"/>
        <v/>
      </c>
      <c r="T19" s="2" t="str">
        <f t="shared" si="11"/>
        <v/>
      </c>
      <c r="U19" s="19" t="str">
        <f t="shared" si="12"/>
        <v/>
      </c>
    </row>
    <row r="20" spans="1:21" x14ac:dyDescent="0.2">
      <c r="A20" s="2">
        <v>19</v>
      </c>
      <c r="B20" s="21" t="str">
        <f t="shared" si="10"/>
        <v>1.1.07c</v>
      </c>
      <c r="C20" s="2">
        <v>1</v>
      </c>
      <c r="D20" s="2">
        <v>1</v>
      </c>
      <c r="E20" s="2">
        <v>7</v>
      </c>
      <c r="F20" s="2" t="s">
        <v>94</v>
      </c>
      <c r="G20" s="2" t="s">
        <v>107</v>
      </c>
      <c r="H20" s="2">
        <v>3</v>
      </c>
      <c r="I20" s="19" t="str">
        <f t="shared" si="0"/>
        <v/>
      </c>
      <c r="J20" s="2" t="str">
        <f t="shared" si="1"/>
        <v/>
      </c>
      <c r="K20" s="2" t="str">
        <f t="shared" si="2"/>
        <v/>
      </c>
      <c r="L20" s="2" t="str">
        <f t="shared" si="3"/>
        <v/>
      </c>
      <c r="M20" s="2" t="str">
        <f t="shared" si="4"/>
        <v/>
      </c>
      <c r="N20" s="2">
        <f t="shared" si="5"/>
        <v>6</v>
      </c>
      <c r="O20" s="19">
        <f t="shared" si="6"/>
        <v>6</v>
      </c>
      <c r="Q20" s="2" t="str">
        <f t="shared" si="7"/>
        <v>07</v>
      </c>
      <c r="R20" s="21" t="str">
        <f t="shared" si="8"/>
        <v>1.1.07c</v>
      </c>
      <c r="S20" s="2" t="str">
        <f t="shared" si="9"/>
        <v/>
      </c>
      <c r="T20" s="2" t="str">
        <f t="shared" si="11"/>
        <v/>
      </c>
      <c r="U20" s="19" t="str">
        <f t="shared" si="12"/>
        <v/>
      </c>
    </row>
    <row r="21" spans="1:21" x14ac:dyDescent="0.2">
      <c r="A21" s="2">
        <v>20</v>
      </c>
      <c r="B21" s="21" t="str">
        <f t="shared" si="10"/>
        <v>1.1.08</v>
      </c>
      <c r="C21" s="2">
        <v>1</v>
      </c>
      <c r="D21" s="2">
        <v>1</v>
      </c>
      <c r="E21" s="2">
        <v>8</v>
      </c>
      <c r="F21" s="2" t="s">
        <v>84</v>
      </c>
      <c r="G21" s="2" t="s">
        <v>108</v>
      </c>
      <c r="H21" s="2" t="s">
        <v>89</v>
      </c>
      <c r="I21" s="19" t="str">
        <f t="shared" si="0"/>
        <v/>
      </c>
      <c r="J21" s="2" t="str">
        <f t="shared" si="1"/>
        <v/>
      </c>
      <c r="K21" s="2" t="str">
        <f t="shared" si="2"/>
        <v/>
      </c>
      <c r="L21" s="2">
        <f t="shared" si="3"/>
        <v>4</v>
      </c>
      <c r="M21" s="2" t="str">
        <f t="shared" si="4"/>
        <v/>
      </c>
      <c r="N21" s="2" t="str">
        <f t="shared" si="5"/>
        <v/>
      </c>
      <c r="O21" s="19">
        <f t="shared" si="6"/>
        <v>4</v>
      </c>
      <c r="Q21" s="2" t="str">
        <f t="shared" si="7"/>
        <v>08</v>
      </c>
      <c r="R21" s="21" t="str">
        <f t="shared" si="8"/>
        <v>1.1.08</v>
      </c>
      <c r="S21" s="2" t="str">
        <f t="shared" si="9"/>
        <v/>
      </c>
      <c r="T21" s="2" t="str">
        <f t="shared" si="11"/>
        <v/>
      </c>
      <c r="U21" s="19" t="str">
        <f t="shared" si="12"/>
        <v/>
      </c>
    </row>
    <row r="22" spans="1:21" x14ac:dyDescent="0.2">
      <c r="A22" s="2">
        <v>21</v>
      </c>
      <c r="B22" s="21" t="str">
        <f t="shared" si="10"/>
        <v>1.1.08a</v>
      </c>
      <c r="C22" s="2">
        <v>1</v>
      </c>
      <c r="D22" s="2">
        <v>1</v>
      </c>
      <c r="E22" s="2">
        <v>8</v>
      </c>
      <c r="F22" s="2" t="s">
        <v>90</v>
      </c>
      <c r="G22" s="2" t="s">
        <v>109</v>
      </c>
      <c r="H22" s="2">
        <v>4</v>
      </c>
      <c r="I22" s="19" t="str">
        <f t="shared" si="0"/>
        <v/>
      </c>
      <c r="J22" s="2" t="str">
        <f t="shared" si="1"/>
        <v/>
      </c>
      <c r="K22" s="2" t="str">
        <f t="shared" si="2"/>
        <v/>
      </c>
      <c r="L22" s="2" t="str">
        <f t="shared" si="3"/>
        <v/>
      </c>
      <c r="M22" s="2" t="str">
        <f t="shared" si="4"/>
        <v/>
      </c>
      <c r="N22" s="2">
        <f t="shared" si="5"/>
        <v>6</v>
      </c>
      <c r="O22" s="19">
        <f t="shared" si="6"/>
        <v>6</v>
      </c>
      <c r="Q22" s="2" t="str">
        <f t="shared" si="7"/>
        <v>08</v>
      </c>
      <c r="R22" s="21" t="str">
        <f t="shared" si="8"/>
        <v>1.1.08a</v>
      </c>
      <c r="S22" s="2" t="str">
        <f t="shared" si="9"/>
        <v/>
      </c>
      <c r="T22" s="2" t="str">
        <f t="shared" si="11"/>
        <v/>
      </c>
      <c r="U22" s="19" t="str">
        <f t="shared" si="12"/>
        <v/>
      </c>
    </row>
    <row r="23" spans="1:21" x14ac:dyDescent="0.2">
      <c r="A23" s="2">
        <v>22</v>
      </c>
      <c r="B23" s="21" t="str">
        <f t="shared" si="10"/>
        <v>1.1.08b</v>
      </c>
      <c r="C23" s="2">
        <v>1</v>
      </c>
      <c r="D23" s="2">
        <v>1</v>
      </c>
      <c r="E23" s="2">
        <v>8</v>
      </c>
      <c r="F23" s="2" t="s">
        <v>92</v>
      </c>
      <c r="G23" s="2" t="s">
        <v>110</v>
      </c>
      <c r="H23" s="2">
        <v>4</v>
      </c>
      <c r="I23" s="19" t="str">
        <f t="shared" si="0"/>
        <v/>
      </c>
      <c r="J23" s="2" t="str">
        <f t="shared" si="1"/>
        <v/>
      </c>
      <c r="K23" s="2" t="str">
        <f t="shared" si="2"/>
        <v/>
      </c>
      <c r="L23" s="2" t="str">
        <f t="shared" si="3"/>
        <v/>
      </c>
      <c r="M23" s="2" t="str">
        <f t="shared" si="4"/>
        <v/>
      </c>
      <c r="N23" s="2">
        <f t="shared" si="5"/>
        <v>6</v>
      </c>
      <c r="O23" s="19">
        <f t="shared" si="6"/>
        <v>6</v>
      </c>
      <c r="Q23" s="2" t="str">
        <f t="shared" si="7"/>
        <v>08</v>
      </c>
      <c r="R23" s="21" t="str">
        <f t="shared" si="8"/>
        <v>1.1.08b</v>
      </c>
      <c r="S23" s="2" t="str">
        <f t="shared" si="9"/>
        <v/>
      </c>
      <c r="T23" s="2" t="str">
        <f t="shared" si="11"/>
        <v/>
      </c>
      <c r="U23" s="19" t="str">
        <f t="shared" si="12"/>
        <v/>
      </c>
    </row>
    <row r="24" spans="1:21" x14ac:dyDescent="0.2">
      <c r="A24" s="2">
        <v>23</v>
      </c>
      <c r="B24" s="21" t="str">
        <f t="shared" si="10"/>
        <v>1.1.08c</v>
      </c>
      <c r="C24" s="2">
        <v>1</v>
      </c>
      <c r="D24" s="2">
        <v>1</v>
      </c>
      <c r="E24" s="2">
        <v>8</v>
      </c>
      <c r="F24" s="2" t="s">
        <v>94</v>
      </c>
      <c r="G24" s="2" t="s">
        <v>111</v>
      </c>
      <c r="H24" s="2">
        <v>4</v>
      </c>
      <c r="I24" s="19" t="str">
        <f t="shared" si="0"/>
        <v/>
      </c>
      <c r="J24" s="2" t="str">
        <f t="shared" si="1"/>
        <v/>
      </c>
      <c r="K24" s="2" t="str">
        <f t="shared" si="2"/>
        <v/>
      </c>
      <c r="L24" s="2" t="str">
        <f t="shared" si="3"/>
        <v/>
      </c>
      <c r="M24" s="2" t="str">
        <f t="shared" si="4"/>
        <v/>
      </c>
      <c r="N24" s="2">
        <f t="shared" si="5"/>
        <v>6</v>
      </c>
      <c r="O24" s="19">
        <f t="shared" si="6"/>
        <v>6</v>
      </c>
      <c r="Q24" s="2" t="str">
        <f t="shared" si="7"/>
        <v>08</v>
      </c>
      <c r="R24" s="21" t="str">
        <f t="shared" si="8"/>
        <v>1.1.08c</v>
      </c>
      <c r="S24" s="2" t="str">
        <f t="shared" si="9"/>
        <v/>
      </c>
      <c r="T24" s="2" t="str">
        <f t="shared" si="11"/>
        <v/>
      </c>
      <c r="U24" s="19" t="str">
        <f t="shared" si="12"/>
        <v/>
      </c>
    </row>
    <row r="25" spans="1:21" x14ac:dyDescent="0.2">
      <c r="A25" s="2">
        <v>24</v>
      </c>
      <c r="B25" s="21" t="str">
        <f t="shared" si="10"/>
        <v>1.1.08d</v>
      </c>
      <c r="C25" s="2">
        <v>1</v>
      </c>
      <c r="D25" s="2">
        <v>1</v>
      </c>
      <c r="E25" s="2">
        <v>8</v>
      </c>
      <c r="F25" s="2" t="s">
        <v>112</v>
      </c>
      <c r="G25" s="2" t="s">
        <v>113</v>
      </c>
      <c r="H25" s="2">
        <v>4</v>
      </c>
      <c r="I25" s="19" t="str">
        <f t="shared" si="0"/>
        <v/>
      </c>
      <c r="J25" s="2" t="str">
        <f t="shared" si="1"/>
        <v/>
      </c>
      <c r="K25" s="2" t="str">
        <f t="shared" si="2"/>
        <v/>
      </c>
      <c r="L25" s="2" t="str">
        <f t="shared" si="3"/>
        <v/>
      </c>
      <c r="M25" s="2" t="str">
        <f t="shared" si="4"/>
        <v/>
      </c>
      <c r="N25" s="2">
        <f t="shared" si="5"/>
        <v>6</v>
      </c>
      <c r="O25" s="19">
        <f t="shared" si="6"/>
        <v>6</v>
      </c>
      <c r="Q25" s="2" t="str">
        <f t="shared" si="7"/>
        <v>08</v>
      </c>
      <c r="R25" s="21" t="str">
        <f t="shared" si="8"/>
        <v>1.1.08d</v>
      </c>
      <c r="S25" s="2" t="str">
        <f t="shared" si="9"/>
        <v/>
      </c>
      <c r="T25" s="2" t="str">
        <f t="shared" si="11"/>
        <v/>
      </c>
      <c r="U25" s="19" t="str">
        <f t="shared" si="12"/>
        <v/>
      </c>
    </row>
    <row r="26" spans="1:21" x14ac:dyDescent="0.2">
      <c r="A26" s="2">
        <v>25</v>
      </c>
      <c r="B26" s="21" t="str">
        <f t="shared" si="10"/>
        <v>1.1.08e</v>
      </c>
      <c r="C26" s="2">
        <v>1</v>
      </c>
      <c r="D26" s="2">
        <v>1</v>
      </c>
      <c r="E26" s="2">
        <v>8</v>
      </c>
      <c r="F26" s="2" t="s">
        <v>114</v>
      </c>
      <c r="G26" s="2" t="s">
        <v>115</v>
      </c>
      <c r="H26" s="2">
        <v>4</v>
      </c>
      <c r="I26" s="19" t="str">
        <f t="shared" si="0"/>
        <v/>
      </c>
      <c r="J26" s="2" t="str">
        <f t="shared" si="1"/>
        <v/>
      </c>
      <c r="K26" s="2" t="str">
        <f t="shared" si="2"/>
        <v/>
      </c>
      <c r="L26" s="2" t="str">
        <f t="shared" si="3"/>
        <v/>
      </c>
      <c r="M26" s="2" t="str">
        <f t="shared" si="4"/>
        <v/>
      </c>
      <c r="N26" s="2">
        <f t="shared" si="5"/>
        <v>6</v>
      </c>
      <c r="O26" s="19">
        <f t="shared" si="6"/>
        <v>6</v>
      </c>
      <c r="Q26" s="2" t="str">
        <f t="shared" si="7"/>
        <v>08</v>
      </c>
      <c r="R26" s="21" t="str">
        <f t="shared" si="8"/>
        <v>1.1.08e</v>
      </c>
      <c r="S26" s="2" t="str">
        <f t="shared" si="9"/>
        <v/>
      </c>
      <c r="T26" s="2" t="str">
        <f t="shared" si="11"/>
        <v/>
      </c>
      <c r="U26" s="19" t="str">
        <f t="shared" si="12"/>
        <v/>
      </c>
    </row>
    <row r="27" spans="1:21" x14ac:dyDescent="0.2">
      <c r="A27" s="2">
        <v>26</v>
      </c>
      <c r="B27" s="21" t="str">
        <f t="shared" si="10"/>
        <v>1.2</v>
      </c>
      <c r="C27" s="2">
        <v>1</v>
      </c>
      <c r="D27" s="2">
        <v>2</v>
      </c>
      <c r="E27" s="2" t="s">
        <v>84</v>
      </c>
      <c r="F27" s="2" t="s">
        <v>84</v>
      </c>
      <c r="G27" s="2" t="s">
        <v>116</v>
      </c>
      <c r="H27" s="2" t="s">
        <v>84</v>
      </c>
      <c r="I27" s="19" t="str">
        <f t="shared" si="0"/>
        <v/>
      </c>
      <c r="J27" s="2">
        <f t="shared" si="1"/>
        <v>2</v>
      </c>
      <c r="K27" s="2" t="str">
        <f t="shared" si="2"/>
        <v/>
      </c>
      <c r="L27" s="2" t="str">
        <f t="shared" si="3"/>
        <v/>
      </c>
      <c r="M27" s="2" t="str">
        <f t="shared" si="4"/>
        <v/>
      </c>
      <c r="N27" s="2" t="str">
        <f t="shared" si="5"/>
        <v/>
      </c>
      <c r="O27" s="19">
        <f t="shared" si="6"/>
        <v>2</v>
      </c>
      <c r="Q27" s="2" t="str">
        <f t="shared" si="7"/>
        <v/>
      </c>
      <c r="R27" s="21" t="str">
        <f t="shared" si="8"/>
        <v>1.2</v>
      </c>
      <c r="S27" s="2" t="str">
        <f t="shared" ref="S27" si="13">IF(O27=O26,IF(NOT(R27&gt;R26),1,""),"")</f>
        <v/>
      </c>
      <c r="T27" s="2" t="str">
        <f t="shared" ref="T27" si="14">IF(NOT(R27&gt;R26),1,"")</f>
        <v/>
      </c>
      <c r="U27" s="19" t="str">
        <f t="shared" si="12"/>
        <v/>
      </c>
    </row>
    <row r="28" spans="1:21" x14ac:dyDescent="0.2">
      <c r="A28" s="2">
        <v>27</v>
      </c>
      <c r="B28" s="21" t="str">
        <f t="shared" si="10"/>
        <v>1.2.01</v>
      </c>
      <c r="C28" s="2">
        <v>1</v>
      </c>
      <c r="D28" s="2">
        <v>2</v>
      </c>
      <c r="E28" s="2">
        <v>1</v>
      </c>
      <c r="F28" s="2" t="s">
        <v>84</v>
      </c>
      <c r="G28" s="2" t="s">
        <v>117</v>
      </c>
      <c r="H28" s="2">
        <v>1</v>
      </c>
      <c r="I28" s="19" t="str">
        <f t="shared" si="0"/>
        <v/>
      </c>
      <c r="J28" s="2" t="str">
        <f t="shared" si="1"/>
        <v/>
      </c>
      <c r="K28" s="2" t="str">
        <f t="shared" si="2"/>
        <v/>
      </c>
      <c r="L28" s="2" t="str">
        <f t="shared" si="3"/>
        <v/>
      </c>
      <c r="M28" s="2">
        <f t="shared" si="4"/>
        <v>5</v>
      </c>
      <c r="N28" s="2" t="str">
        <f t="shared" si="5"/>
        <v/>
      </c>
      <c r="O28" s="19">
        <f t="shared" si="6"/>
        <v>5</v>
      </c>
      <c r="Q28" s="2" t="str">
        <f t="shared" si="7"/>
        <v>01</v>
      </c>
      <c r="R28" s="21" t="str">
        <f t="shared" si="8"/>
        <v>1.2.01</v>
      </c>
      <c r="S28" s="2" t="str">
        <f t="shared" si="9"/>
        <v/>
      </c>
      <c r="T28" s="2" t="str">
        <f t="shared" si="11"/>
        <v/>
      </c>
      <c r="U28" s="19" t="str">
        <f t="shared" si="12"/>
        <v/>
      </c>
    </row>
    <row r="29" spans="1:21" x14ac:dyDescent="0.2">
      <c r="A29" s="2">
        <v>28</v>
      </c>
      <c r="B29" s="21" t="str">
        <f t="shared" si="10"/>
        <v>1.2.02</v>
      </c>
      <c r="C29" s="2">
        <v>1</v>
      </c>
      <c r="D29" s="2">
        <v>2</v>
      </c>
      <c r="E29" s="2">
        <v>2</v>
      </c>
      <c r="F29" s="2" t="s">
        <v>84</v>
      </c>
      <c r="G29" s="2" t="s">
        <v>118</v>
      </c>
      <c r="H29" s="2" t="s">
        <v>89</v>
      </c>
      <c r="I29" s="19" t="str">
        <f t="shared" si="0"/>
        <v/>
      </c>
      <c r="J29" s="2" t="str">
        <f t="shared" si="1"/>
        <v/>
      </c>
      <c r="K29" s="2" t="str">
        <f t="shared" si="2"/>
        <v/>
      </c>
      <c r="L29" s="2">
        <f t="shared" si="3"/>
        <v>4</v>
      </c>
      <c r="M29" s="2" t="str">
        <f t="shared" si="4"/>
        <v/>
      </c>
      <c r="N29" s="2" t="str">
        <f t="shared" si="5"/>
        <v/>
      </c>
      <c r="O29" s="19">
        <f t="shared" si="6"/>
        <v>4</v>
      </c>
      <c r="Q29" s="2" t="str">
        <f t="shared" si="7"/>
        <v>02</v>
      </c>
      <c r="R29" s="21" t="str">
        <f t="shared" si="8"/>
        <v>1.2.02</v>
      </c>
      <c r="S29" s="2" t="str">
        <f t="shared" si="9"/>
        <v/>
      </c>
      <c r="T29" s="2" t="str">
        <f t="shared" si="11"/>
        <v/>
      </c>
      <c r="U29" s="19" t="str">
        <f t="shared" si="12"/>
        <v/>
      </c>
    </row>
    <row r="30" spans="1:21" x14ac:dyDescent="0.2">
      <c r="A30" s="2">
        <v>29</v>
      </c>
      <c r="B30" s="21" t="str">
        <f t="shared" si="10"/>
        <v>1.2.02a</v>
      </c>
      <c r="C30" s="2">
        <v>1</v>
      </c>
      <c r="D30" s="2">
        <v>2</v>
      </c>
      <c r="E30" s="2">
        <v>2</v>
      </c>
      <c r="F30" s="2" t="s">
        <v>90</v>
      </c>
      <c r="G30" s="2" t="s">
        <v>119</v>
      </c>
      <c r="H30" s="2">
        <v>3</v>
      </c>
      <c r="I30" s="19" t="str">
        <f t="shared" si="0"/>
        <v/>
      </c>
      <c r="J30" s="2" t="str">
        <f t="shared" si="1"/>
        <v/>
      </c>
      <c r="K30" s="2" t="str">
        <f t="shared" si="2"/>
        <v/>
      </c>
      <c r="L30" s="2" t="str">
        <f t="shared" si="3"/>
        <v/>
      </c>
      <c r="M30" s="2" t="str">
        <f t="shared" si="4"/>
        <v/>
      </c>
      <c r="N30" s="2">
        <f t="shared" si="5"/>
        <v>6</v>
      </c>
      <c r="O30" s="19">
        <f t="shared" si="6"/>
        <v>6</v>
      </c>
      <c r="Q30" s="2" t="str">
        <f t="shared" si="7"/>
        <v>02</v>
      </c>
      <c r="R30" s="21" t="str">
        <f t="shared" si="8"/>
        <v>1.2.02a</v>
      </c>
      <c r="S30" s="2" t="str">
        <f t="shared" si="9"/>
        <v/>
      </c>
      <c r="T30" s="2" t="str">
        <f t="shared" si="11"/>
        <v/>
      </c>
      <c r="U30" s="19" t="str">
        <f t="shared" si="12"/>
        <v/>
      </c>
    </row>
    <row r="31" spans="1:21" x14ac:dyDescent="0.2">
      <c r="A31" s="2">
        <v>30</v>
      </c>
      <c r="B31" s="21" t="str">
        <f t="shared" si="10"/>
        <v>1.2.02b</v>
      </c>
      <c r="C31" s="2">
        <v>1</v>
      </c>
      <c r="D31" s="2">
        <v>2</v>
      </c>
      <c r="E31" s="2">
        <v>2</v>
      </c>
      <c r="F31" s="2" t="s">
        <v>92</v>
      </c>
      <c r="G31" s="2" t="s">
        <v>120</v>
      </c>
      <c r="H31" s="2">
        <v>2</v>
      </c>
      <c r="I31" s="19" t="str">
        <f t="shared" si="0"/>
        <v/>
      </c>
      <c r="J31" s="2" t="str">
        <f t="shared" si="1"/>
        <v/>
      </c>
      <c r="K31" s="2" t="str">
        <f t="shared" si="2"/>
        <v/>
      </c>
      <c r="L31" s="2" t="str">
        <f t="shared" si="3"/>
        <v/>
      </c>
      <c r="M31" s="2" t="str">
        <f t="shared" si="4"/>
        <v/>
      </c>
      <c r="N31" s="2">
        <f t="shared" si="5"/>
        <v>6</v>
      </c>
      <c r="O31" s="19">
        <f t="shared" si="6"/>
        <v>6</v>
      </c>
      <c r="Q31" s="2" t="str">
        <f t="shared" si="7"/>
        <v>02</v>
      </c>
      <c r="R31" s="21" t="str">
        <f t="shared" si="8"/>
        <v>1.2.02b</v>
      </c>
      <c r="S31" s="2" t="str">
        <f t="shared" si="9"/>
        <v/>
      </c>
      <c r="T31" s="2" t="str">
        <f t="shared" si="11"/>
        <v/>
      </c>
      <c r="U31" s="19" t="str">
        <f t="shared" si="12"/>
        <v/>
      </c>
    </row>
    <row r="32" spans="1:21" x14ac:dyDescent="0.2">
      <c r="A32" s="2">
        <v>31</v>
      </c>
      <c r="B32" s="21" t="str">
        <f t="shared" si="10"/>
        <v>1.2.02c</v>
      </c>
      <c r="C32" s="2">
        <v>1</v>
      </c>
      <c r="D32" s="2">
        <v>2</v>
      </c>
      <c r="E32" s="2">
        <v>2</v>
      </c>
      <c r="F32" s="2" t="s">
        <v>94</v>
      </c>
      <c r="G32" s="2" t="s">
        <v>121</v>
      </c>
      <c r="H32" s="2">
        <v>4</v>
      </c>
      <c r="I32" s="19" t="str">
        <f t="shared" si="0"/>
        <v/>
      </c>
      <c r="J32" s="2" t="str">
        <f t="shared" si="1"/>
        <v/>
      </c>
      <c r="K32" s="2" t="str">
        <f t="shared" si="2"/>
        <v/>
      </c>
      <c r="L32" s="2" t="str">
        <f t="shared" si="3"/>
        <v/>
      </c>
      <c r="M32" s="2" t="str">
        <f t="shared" si="4"/>
        <v/>
      </c>
      <c r="N32" s="2">
        <f t="shared" si="5"/>
        <v>6</v>
      </c>
      <c r="O32" s="19">
        <f t="shared" si="6"/>
        <v>6</v>
      </c>
      <c r="Q32" s="2" t="str">
        <f t="shared" si="7"/>
        <v>02</v>
      </c>
      <c r="R32" s="21" t="str">
        <f t="shared" si="8"/>
        <v>1.2.02c</v>
      </c>
      <c r="S32" s="2" t="str">
        <f t="shared" si="9"/>
        <v/>
      </c>
      <c r="T32" s="2" t="str">
        <f t="shared" si="11"/>
        <v/>
      </c>
      <c r="U32" s="19" t="str">
        <f t="shared" si="12"/>
        <v/>
      </c>
    </row>
    <row r="33" spans="1:21" x14ac:dyDescent="0.2">
      <c r="A33" s="2">
        <v>32</v>
      </c>
      <c r="B33" s="21" t="str">
        <f t="shared" si="10"/>
        <v>1.2.03</v>
      </c>
      <c r="C33" s="2">
        <v>1</v>
      </c>
      <c r="D33" s="2">
        <v>2</v>
      </c>
      <c r="E33" s="2">
        <v>3</v>
      </c>
      <c r="F33" s="2" t="s">
        <v>84</v>
      </c>
      <c r="G33" s="2" t="s">
        <v>122</v>
      </c>
      <c r="H33" s="2">
        <v>4</v>
      </c>
      <c r="I33" s="19" t="str">
        <f t="shared" si="0"/>
        <v/>
      </c>
      <c r="J33" s="2" t="str">
        <f t="shared" si="1"/>
        <v/>
      </c>
      <c r="K33" s="2" t="str">
        <f t="shared" si="2"/>
        <v/>
      </c>
      <c r="L33" s="2" t="str">
        <f t="shared" si="3"/>
        <v/>
      </c>
      <c r="M33" s="2">
        <f t="shared" si="4"/>
        <v>5</v>
      </c>
      <c r="N33" s="2" t="str">
        <f t="shared" si="5"/>
        <v/>
      </c>
      <c r="O33" s="19">
        <f t="shared" si="6"/>
        <v>5</v>
      </c>
      <c r="Q33" s="2" t="str">
        <f t="shared" si="7"/>
        <v>03</v>
      </c>
      <c r="R33" s="21" t="str">
        <f t="shared" si="8"/>
        <v>1.2.03</v>
      </c>
      <c r="S33" s="2" t="str">
        <f t="shared" si="9"/>
        <v/>
      </c>
      <c r="T33" s="2" t="str">
        <f t="shared" si="11"/>
        <v/>
      </c>
      <c r="U33" s="19" t="str">
        <f t="shared" si="12"/>
        <v/>
      </c>
    </row>
    <row r="34" spans="1:21" x14ac:dyDescent="0.2">
      <c r="A34" s="2">
        <v>33</v>
      </c>
      <c r="B34" s="21" t="str">
        <f t="shared" si="10"/>
        <v>1.2.04</v>
      </c>
      <c r="C34" s="2">
        <v>1</v>
      </c>
      <c r="D34" s="2">
        <v>2</v>
      </c>
      <c r="E34" s="2">
        <v>4</v>
      </c>
      <c r="F34" s="2" t="s">
        <v>84</v>
      </c>
      <c r="G34" s="2" t="s">
        <v>123</v>
      </c>
      <c r="H34" s="2" t="s">
        <v>89</v>
      </c>
      <c r="I34" s="19" t="str">
        <f t="shared" si="0"/>
        <v/>
      </c>
      <c r="J34" s="2" t="str">
        <f t="shared" si="1"/>
        <v/>
      </c>
      <c r="K34" s="2" t="str">
        <f t="shared" si="2"/>
        <v/>
      </c>
      <c r="L34" s="2">
        <f t="shared" si="3"/>
        <v>4</v>
      </c>
      <c r="M34" s="2" t="str">
        <f t="shared" si="4"/>
        <v/>
      </c>
      <c r="N34" s="2" t="str">
        <f t="shared" si="5"/>
        <v/>
      </c>
      <c r="O34" s="19">
        <f t="shared" si="6"/>
        <v>4</v>
      </c>
      <c r="Q34" s="2" t="str">
        <f t="shared" si="7"/>
        <v>04</v>
      </c>
      <c r="R34" s="21" t="str">
        <f t="shared" si="8"/>
        <v>1.2.04</v>
      </c>
      <c r="S34" s="2" t="str">
        <f t="shared" si="9"/>
        <v/>
      </c>
      <c r="T34" s="2" t="str">
        <f t="shared" si="11"/>
        <v/>
      </c>
      <c r="U34" s="19" t="str">
        <f t="shared" si="12"/>
        <v/>
      </c>
    </row>
    <row r="35" spans="1:21" x14ac:dyDescent="0.2">
      <c r="A35" s="2">
        <v>34</v>
      </c>
      <c r="B35" s="21" t="str">
        <f t="shared" si="10"/>
        <v>1.2.04a</v>
      </c>
      <c r="C35" s="2">
        <v>1</v>
      </c>
      <c r="D35" s="2">
        <v>2</v>
      </c>
      <c r="E35" s="2">
        <v>4</v>
      </c>
      <c r="F35" s="2" t="s">
        <v>90</v>
      </c>
      <c r="G35" s="2" t="s">
        <v>124</v>
      </c>
      <c r="H35" s="2">
        <v>4</v>
      </c>
      <c r="I35" s="19" t="str">
        <f t="shared" si="0"/>
        <v/>
      </c>
      <c r="J35" s="2" t="str">
        <f t="shared" si="1"/>
        <v/>
      </c>
      <c r="K35" s="2" t="str">
        <f t="shared" si="2"/>
        <v/>
      </c>
      <c r="L35" s="2" t="str">
        <f t="shared" si="3"/>
        <v/>
      </c>
      <c r="M35" s="2" t="str">
        <f t="shared" si="4"/>
        <v/>
      </c>
      <c r="N35" s="2">
        <f t="shared" si="5"/>
        <v>6</v>
      </c>
      <c r="O35" s="19">
        <f t="shared" si="6"/>
        <v>6</v>
      </c>
      <c r="Q35" s="2" t="str">
        <f t="shared" si="7"/>
        <v>04</v>
      </c>
      <c r="R35" s="21" t="str">
        <f t="shared" si="8"/>
        <v>1.2.04a</v>
      </c>
      <c r="S35" s="2" t="str">
        <f t="shared" si="9"/>
        <v/>
      </c>
      <c r="T35" s="2" t="str">
        <f t="shared" si="11"/>
        <v/>
      </c>
      <c r="U35" s="19" t="str">
        <f t="shared" si="12"/>
        <v/>
      </c>
    </row>
    <row r="36" spans="1:21" x14ac:dyDescent="0.2">
      <c r="A36" s="2">
        <v>35</v>
      </c>
      <c r="B36" s="21" t="str">
        <f t="shared" si="10"/>
        <v>1.2.04b</v>
      </c>
      <c r="C36" s="2">
        <v>1</v>
      </c>
      <c r="D36" s="2">
        <v>2</v>
      </c>
      <c r="E36" s="2">
        <v>4</v>
      </c>
      <c r="F36" s="2" t="s">
        <v>92</v>
      </c>
      <c r="G36" s="2" t="s">
        <v>125</v>
      </c>
      <c r="H36" s="2">
        <v>4</v>
      </c>
      <c r="I36" s="19" t="str">
        <f t="shared" si="0"/>
        <v/>
      </c>
      <c r="J36" s="2" t="str">
        <f t="shared" si="1"/>
        <v/>
      </c>
      <c r="K36" s="2" t="str">
        <f t="shared" si="2"/>
        <v/>
      </c>
      <c r="L36" s="2" t="str">
        <f t="shared" si="3"/>
        <v/>
      </c>
      <c r="M36" s="2" t="str">
        <f t="shared" si="4"/>
        <v/>
      </c>
      <c r="N36" s="2">
        <f t="shared" si="5"/>
        <v>6</v>
      </c>
      <c r="O36" s="19">
        <f t="shared" si="6"/>
        <v>6</v>
      </c>
      <c r="Q36" s="2" t="str">
        <f t="shared" si="7"/>
        <v>04</v>
      </c>
      <c r="R36" s="21" t="str">
        <f t="shared" si="8"/>
        <v>1.2.04b</v>
      </c>
      <c r="S36" s="2" t="str">
        <f t="shared" si="9"/>
        <v/>
      </c>
      <c r="T36" s="2" t="str">
        <f t="shared" si="11"/>
        <v/>
      </c>
      <c r="U36" s="19" t="str">
        <f t="shared" si="12"/>
        <v/>
      </c>
    </row>
    <row r="37" spans="1:21" x14ac:dyDescent="0.2">
      <c r="A37" s="2">
        <v>36</v>
      </c>
      <c r="B37" s="21" t="str">
        <f t="shared" si="10"/>
        <v>1.2.04c</v>
      </c>
      <c r="C37" s="2">
        <v>1</v>
      </c>
      <c r="D37" s="2">
        <v>2</v>
      </c>
      <c r="E37" s="2">
        <v>4</v>
      </c>
      <c r="F37" s="2" t="s">
        <v>94</v>
      </c>
      <c r="G37" s="2" t="s">
        <v>126</v>
      </c>
      <c r="H37" s="2">
        <v>4</v>
      </c>
      <c r="I37" s="19" t="str">
        <f t="shared" si="0"/>
        <v/>
      </c>
      <c r="J37" s="2" t="str">
        <f t="shared" si="1"/>
        <v/>
      </c>
      <c r="K37" s="2" t="str">
        <f t="shared" si="2"/>
        <v/>
      </c>
      <c r="L37" s="2" t="str">
        <f t="shared" si="3"/>
        <v/>
      </c>
      <c r="M37" s="2" t="str">
        <f t="shared" si="4"/>
        <v/>
      </c>
      <c r="N37" s="2">
        <f t="shared" si="5"/>
        <v>6</v>
      </c>
      <c r="O37" s="19">
        <f t="shared" si="6"/>
        <v>6</v>
      </c>
      <c r="Q37" s="2" t="str">
        <f t="shared" si="7"/>
        <v>04</v>
      </c>
      <c r="R37" s="21" t="str">
        <f t="shared" si="8"/>
        <v>1.2.04c</v>
      </c>
      <c r="S37" s="2" t="str">
        <f t="shared" si="9"/>
        <v/>
      </c>
      <c r="T37" s="2" t="str">
        <f t="shared" si="11"/>
        <v/>
      </c>
      <c r="U37" s="19" t="str">
        <f t="shared" si="12"/>
        <v/>
      </c>
    </row>
    <row r="38" spans="1:21" x14ac:dyDescent="0.2">
      <c r="A38" s="2">
        <v>37</v>
      </c>
      <c r="B38" s="21" t="str">
        <f t="shared" si="10"/>
        <v>1.2.04d</v>
      </c>
      <c r="C38" s="2">
        <v>1</v>
      </c>
      <c r="D38" s="2">
        <v>2</v>
      </c>
      <c r="E38" s="2">
        <v>4</v>
      </c>
      <c r="F38" s="2" t="s">
        <v>112</v>
      </c>
      <c r="G38" s="2" t="s">
        <v>127</v>
      </c>
      <c r="H38" s="2">
        <v>3</v>
      </c>
      <c r="I38" s="19" t="str">
        <f t="shared" si="0"/>
        <v/>
      </c>
      <c r="J38" s="2" t="str">
        <f t="shared" si="1"/>
        <v/>
      </c>
      <c r="K38" s="2" t="str">
        <f t="shared" si="2"/>
        <v/>
      </c>
      <c r="L38" s="2" t="str">
        <f t="shared" si="3"/>
        <v/>
      </c>
      <c r="M38" s="2" t="str">
        <f t="shared" si="4"/>
        <v/>
      </c>
      <c r="N38" s="2">
        <f t="shared" si="5"/>
        <v>6</v>
      </c>
      <c r="O38" s="19">
        <f t="shared" si="6"/>
        <v>6</v>
      </c>
      <c r="Q38" s="2" t="str">
        <f t="shared" si="7"/>
        <v>04</v>
      </c>
      <c r="R38" s="21" t="str">
        <f t="shared" si="8"/>
        <v>1.2.04d</v>
      </c>
      <c r="S38" s="2" t="str">
        <f t="shared" si="9"/>
        <v/>
      </c>
      <c r="T38" s="2" t="str">
        <f t="shared" si="11"/>
        <v/>
      </c>
      <c r="U38" s="19" t="str">
        <f t="shared" si="12"/>
        <v/>
      </c>
    </row>
    <row r="39" spans="1:21" x14ac:dyDescent="0.2">
      <c r="A39" s="2">
        <v>38</v>
      </c>
      <c r="B39" s="21" t="str">
        <f t="shared" si="10"/>
        <v>1.2.04e</v>
      </c>
      <c r="C39" s="2">
        <v>1</v>
      </c>
      <c r="D39" s="2">
        <v>2</v>
      </c>
      <c r="E39" s="2">
        <v>4</v>
      </c>
      <c r="F39" s="2" t="s">
        <v>114</v>
      </c>
      <c r="G39" s="2" t="s">
        <v>128</v>
      </c>
      <c r="H39" s="2">
        <v>4</v>
      </c>
      <c r="I39" s="19" t="str">
        <f t="shared" si="0"/>
        <v/>
      </c>
      <c r="J39" s="2" t="str">
        <f t="shared" si="1"/>
        <v/>
      </c>
      <c r="K39" s="2" t="str">
        <f t="shared" si="2"/>
        <v/>
      </c>
      <c r="L39" s="2" t="str">
        <f t="shared" si="3"/>
        <v/>
      </c>
      <c r="M39" s="2" t="str">
        <f t="shared" si="4"/>
        <v/>
      </c>
      <c r="N39" s="2">
        <f t="shared" si="5"/>
        <v>6</v>
      </c>
      <c r="O39" s="19">
        <f t="shared" si="6"/>
        <v>6</v>
      </c>
      <c r="Q39" s="2" t="str">
        <f t="shared" si="7"/>
        <v>04</v>
      </c>
      <c r="R39" s="21" t="str">
        <f t="shared" si="8"/>
        <v>1.2.04e</v>
      </c>
      <c r="S39" s="2" t="str">
        <f t="shared" si="9"/>
        <v/>
      </c>
      <c r="T39" s="2" t="str">
        <f t="shared" si="11"/>
        <v/>
      </c>
      <c r="U39" s="19" t="str">
        <f t="shared" si="12"/>
        <v/>
      </c>
    </row>
    <row r="40" spans="1:21" x14ac:dyDescent="0.2">
      <c r="A40" s="2">
        <v>39</v>
      </c>
      <c r="B40" s="21" t="str">
        <f t="shared" si="10"/>
        <v>1.2.04f</v>
      </c>
      <c r="C40" s="2">
        <v>1</v>
      </c>
      <c r="D40" s="2">
        <v>2</v>
      </c>
      <c r="E40" s="2">
        <v>4</v>
      </c>
      <c r="F40" s="2" t="s">
        <v>129</v>
      </c>
      <c r="G40" s="2" t="s">
        <v>130</v>
      </c>
      <c r="H40" s="2">
        <v>3</v>
      </c>
      <c r="I40" s="19" t="str">
        <f t="shared" si="0"/>
        <v/>
      </c>
      <c r="J40" s="2" t="str">
        <f t="shared" si="1"/>
        <v/>
      </c>
      <c r="K40" s="2" t="str">
        <f t="shared" si="2"/>
        <v/>
      </c>
      <c r="L40" s="2" t="str">
        <f t="shared" si="3"/>
        <v/>
      </c>
      <c r="M40" s="2" t="str">
        <f t="shared" si="4"/>
        <v/>
      </c>
      <c r="N40" s="2">
        <f t="shared" si="5"/>
        <v>6</v>
      </c>
      <c r="O40" s="19">
        <f t="shared" si="6"/>
        <v>6</v>
      </c>
      <c r="Q40" s="2" t="str">
        <f t="shared" si="7"/>
        <v>04</v>
      </c>
      <c r="R40" s="21" t="str">
        <f t="shared" si="8"/>
        <v>1.2.04f</v>
      </c>
      <c r="S40" s="2" t="str">
        <f t="shared" si="9"/>
        <v/>
      </c>
      <c r="T40" s="2" t="str">
        <f t="shared" si="11"/>
        <v/>
      </c>
      <c r="U40" s="19" t="str">
        <f t="shared" si="12"/>
        <v/>
      </c>
    </row>
    <row r="41" spans="1:21" x14ac:dyDescent="0.2">
      <c r="A41" s="2">
        <v>40</v>
      </c>
      <c r="B41" s="21" t="str">
        <f t="shared" si="10"/>
        <v>1.2.05</v>
      </c>
      <c r="C41" s="2">
        <v>1</v>
      </c>
      <c r="D41" s="2">
        <v>2</v>
      </c>
      <c r="E41" s="2">
        <v>5</v>
      </c>
      <c r="F41" s="2" t="s">
        <v>84</v>
      </c>
      <c r="G41" s="2" t="s">
        <v>131</v>
      </c>
      <c r="H41" s="2" t="s">
        <v>89</v>
      </c>
      <c r="I41" s="19" t="str">
        <f t="shared" si="0"/>
        <v/>
      </c>
      <c r="J41" s="2" t="str">
        <f t="shared" si="1"/>
        <v/>
      </c>
      <c r="K41" s="2" t="str">
        <f t="shared" si="2"/>
        <v/>
      </c>
      <c r="L41" s="2">
        <f t="shared" si="3"/>
        <v>4</v>
      </c>
      <c r="M41" s="2" t="str">
        <f t="shared" si="4"/>
        <v/>
      </c>
      <c r="N41" s="2" t="str">
        <f t="shared" si="5"/>
        <v/>
      </c>
      <c r="O41" s="19">
        <f t="shared" si="6"/>
        <v>4</v>
      </c>
      <c r="Q41" s="2" t="str">
        <f t="shared" si="7"/>
        <v>05</v>
      </c>
      <c r="R41" s="21" t="str">
        <f t="shared" si="8"/>
        <v>1.2.05</v>
      </c>
      <c r="S41" s="2" t="str">
        <f t="shared" si="9"/>
        <v/>
      </c>
      <c r="T41" s="2" t="str">
        <f t="shared" si="11"/>
        <v/>
      </c>
      <c r="U41" s="19" t="str">
        <f t="shared" si="12"/>
        <v/>
      </c>
    </row>
    <row r="42" spans="1:21" x14ac:dyDescent="0.2">
      <c r="A42" s="2">
        <v>41</v>
      </c>
      <c r="B42" s="21" t="str">
        <f t="shared" si="10"/>
        <v>1.2.05a</v>
      </c>
      <c r="C42" s="2">
        <v>1</v>
      </c>
      <c r="D42" s="2">
        <v>2</v>
      </c>
      <c r="E42" s="2">
        <v>5</v>
      </c>
      <c r="F42" s="2" t="s">
        <v>90</v>
      </c>
      <c r="G42" s="2" t="s">
        <v>132</v>
      </c>
      <c r="H42" s="2">
        <v>5</v>
      </c>
      <c r="I42" s="19" t="str">
        <f t="shared" si="0"/>
        <v/>
      </c>
      <c r="J42" s="2" t="str">
        <f t="shared" si="1"/>
        <v/>
      </c>
      <c r="K42" s="2" t="str">
        <f t="shared" si="2"/>
        <v/>
      </c>
      <c r="L42" s="2" t="str">
        <f t="shared" si="3"/>
        <v/>
      </c>
      <c r="M42" s="2" t="str">
        <f t="shared" si="4"/>
        <v/>
      </c>
      <c r="N42" s="2">
        <f t="shared" si="5"/>
        <v>6</v>
      </c>
      <c r="O42" s="19">
        <f t="shared" si="6"/>
        <v>6</v>
      </c>
      <c r="Q42" s="2" t="str">
        <f t="shared" si="7"/>
        <v>05</v>
      </c>
      <c r="R42" s="21" t="str">
        <f t="shared" si="8"/>
        <v>1.2.05a</v>
      </c>
      <c r="S42" s="2" t="str">
        <f t="shared" si="9"/>
        <v/>
      </c>
      <c r="T42" s="2" t="str">
        <f t="shared" si="11"/>
        <v/>
      </c>
      <c r="U42" s="19" t="str">
        <f t="shared" si="12"/>
        <v/>
      </c>
    </row>
    <row r="43" spans="1:21" x14ac:dyDescent="0.2">
      <c r="A43" s="2">
        <v>42</v>
      </c>
      <c r="B43" s="21" t="str">
        <f t="shared" si="10"/>
        <v>1.2.05b</v>
      </c>
      <c r="C43" s="2">
        <v>1</v>
      </c>
      <c r="D43" s="2">
        <v>2</v>
      </c>
      <c r="E43" s="2">
        <v>5</v>
      </c>
      <c r="F43" s="2" t="s">
        <v>92</v>
      </c>
      <c r="G43" s="2" t="s">
        <v>133</v>
      </c>
      <c r="H43" s="2">
        <v>2</v>
      </c>
      <c r="I43" s="19" t="str">
        <f t="shared" si="0"/>
        <v/>
      </c>
      <c r="J43" s="2" t="str">
        <f t="shared" si="1"/>
        <v/>
      </c>
      <c r="K43" s="2" t="str">
        <f t="shared" si="2"/>
        <v/>
      </c>
      <c r="L43" s="2" t="str">
        <f t="shared" si="3"/>
        <v/>
      </c>
      <c r="M43" s="2" t="str">
        <f t="shared" si="4"/>
        <v/>
      </c>
      <c r="N43" s="2">
        <f t="shared" si="5"/>
        <v>6</v>
      </c>
      <c r="O43" s="19">
        <f t="shared" si="6"/>
        <v>6</v>
      </c>
      <c r="Q43" s="2" t="str">
        <f t="shared" si="7"/>
        <v>05</v>
      </c>
      <c r="R43" s="21" t="str">
        <f t="shared" si="8"/>
        <v>1.2.05b</v>
      </c>
      <c r="S43" s="2" t="str">
        <f t="shared" si="9"/>
        <v/>
      </c>
      <c r="T43" s="2" t="str">
        <f t="shared" si="11"/>
        <v/>
      </c>
      <c r="U43" s="19" t="str">
        <f t="shared" si="12"/>
        <v/>
      </c>
    </row>
    <row r="44" spans="1:21" x14ac:dyDescent="0.2">
      <c r="A44" s="2">
        <v>43</v>
      </c>
      <c r="B44" s="21" t="str">
        <f t="shared" si="10"/>
        <v>1.2.05c</v>
      </c>
      <c r="C44" s="2">
        <v>1</v>
      </c>
      <c r="D44" s="2">
        <v>2</v>
      </c>
      <c r="E44" s="2">
        <v>5</v>
      </c>
      <c r="F44" s="2" t="s">
        <v>94</v>
      </c>
      <c r="G44" s="2" t="s">
        <v>134</v>
      </c>
      <c r="H44" s="2">
        <v>3</v>
      </c>
      <c r="I44" s="19" t="str">
        <f t="shared" si="0"/>
        <v/>
      </c>
      <c r="J44" s="2" t="str">
        <f t="shared" si="1"/>
        <v/>
      </c>
      <c r="K44" s="2" t="str">
        <f t="shared" si="2"/>
        <v/>
      </c>
      <c r="L44" s="2" t="str">
        <f t="shared" si="3"/>
        <v/>
      </c>
      <c r="M44" s="2" t="str">
        <f t="shared" si="4"/>
        <v/>
      </c>
      <c r="N44" s="2">
        <f t="shared" si="5"/>
        <v>6</v>
      </c>
      <c r="O44" s="19">
        <f t="shared" si="6"/>
        <v>6</v>
      </c>
      <c r="Q44" s="2" t="str">
        <f t="shared" si="7"/>
        <v>05</v>
      </c>
      <c r="R44" s="21" t="str">
        <f t="shared" si="8"/>
        <v>1.2.05c</v>
      </c>
      <c r="S44" s="2" t="str">
        <f t="shared" si="9"/>
        <v/>
      </c>
      <c r="T44" s="2" t="str">
        <f t="shared" si="11"/>
        <v/>
      </c>
      <c r="U44" s="19" t="str">
        <f t="shared" si="12"/>
        <v/>
      </c>
    </row>
    <row r="45" spans="1:21" x14ac:dyDescent="0.2">
      <c r="A45" s="2">
        <v>44</v>
      </c>
      <c r="B45" s="21" t="str">
        <f t="shared" si="10"/>
        <v>1.2.05d</v>
      </c>
      <c r="C45" s="2">
        <v>1</v>
      </c>
      <c r="D45" s="2">
        <v>2</v>
      </c>
      <c r="E45" s="2">
        <v>5</v>
      </c>
      <c r="F45" s="2" t="s">
        <v>112</v>
      </c>
      <c r="G45" s="2" t="s">
        <v>135</v>
      </c>
      <c r="H45" s="2">
        <v>3</v>
      </c>
      <c r="I45" s="19" t="str">
        <f t="shared" si="0"/>
        <v/>
      </c>
      <c r="J45" s="2" t="str">
        <f t="shared" si="1"/>
        <v/>
      </c>
      <c r="K45" s="2" t="str">
        <f t="shared" si="2"/>
        <v/>
      </c>
      <c r="L45" s="2" t="str">
        <f t="shared" si="3"/>
        <v/>
      </c>
      <c r="M45" s="2" t="str">
        <f t="shared" si="4"/>
        <v/>
      </c>
      <c r="N45" s="2">
        <f t="shared" si="5"/>
        <v>6</v>
      </c>
      <c r="O45" s="19">
        <f t="shared" si="6"/>
        <v>6</v>
      </c>
      <c r="Q45" s="2" t="str">
        <f t="shared" si="7"/>
        <v>05</v>
      </c>
      <c r="R45" s="21" t="str">
        <f t="shared" si="8"/>
        <v>1.2.05d</v>
      </c>
      <c r="S45" s="2" t="str">
        <f t="shared" si="9"/>
        <v/>
      </c>
      <c r="T45" s="2" t="str">
        <f t="shared" si="11"/>
        <v/>
      </c>
      <c r="U45" s="19" t="str">
        <f t="shared" si="12"/>
        <v/>
      </c>
    </row>
    <row r="46" spans="1:21" x14ac:dyDescent="0.2">
      <c r="A46" s="2">
        <v>45</v>
      </c>
      <c r="B46" s="21" t="str">
        <f t="shared" si="10"/>
        <v>1.2.06</v>
      </c>
      <c r="C46" s="2">
        <v>1</v>
      </c>
      <c r="D46" s="2">
        <v>2</v>
      </c>
      <c r="E46" s="2">
        <v>6</v>
      </c>
      <c r="F46" s="2" t="s">
        <v>84</v>
      </c>
      <c r="G46" s="2" t="s">
        <v>136</v>
      </c>
      <c r="H46" s="2" t="s">
        <v>89</v>
      </c>
      <c r="I46" s="19" t="str">
        <f t="shared" si="0"/>
        <v/>
      </c>
      <c r="J46" s="2" t="str">
        <f t="shared" si="1"/>
        <v/>
      </c>
      <c r="K46" s="2" t="str">
        <f t="shared" si="2"/>
        <v/>
      </c>
      <c r="L46" s="2">
        <f t="shared" si="3"/>
        <v>4</v>
      </c>
      <c r="M46" s="2" t="str">
        <f t="shared" si="4"/>
        <v/>
      </c>
      <c r="N46" s="2" t="str">
        <f t="shared" si="5"/>
        <v/>
      </c>
      <c r="O46" s="19">
        <f t="shared" si="6"/>
        <v>4</v>
      </c>
      <c r="Q46" s="2" t="str">
        <f t="shared" si="7"/>
        <v>06</v>
      </c>
      <c r="R46" s="21" t="str">
        <f t="shared" si="8"/>
        <v>1.2.06</v>
      </c>
      <c r="S46" s="2" t="str">
        <f t="shared" si="9"/>
        <v/>
      </c>
      <c r="T46" s="2" t="str">
        <f t="shared" si="11"/>
        <v/>
      </c>
      <c r="U46" s="19" t="str">
        <f t="shared" si="12"/>
        <v/>
      </c>
    </row>
    <row r="47" spans="1:21" x14ac:dyDescent="0.2">
      <c r="A47" s="2">
        <v>46</v>
      </c>
      <c r="B47" s="21" t="str">
        <f t="shared" si="10"/>
        <v>1.2.06a</v>
      </c>
      <c r="C47" s="2">
        <v>1</v>
      </c>
      <c r="D47" s="2">
        <v>2</v>
      </c>
      <c r="E47" s="2">
        <v>6</v>
      </c>
      <c r="F47" s="2" t="s">
        <v>90</v>
      </c>
      <c r="G47" s="2" t="s">
        <v>137</v>
      </c>
      <c r="H47" s="2">
        <v>5</v>
      </c>
      <c r="I47" s="19" t="str">
        <f t="shared" si="0"/>
        <v/>
      </c>
      <c r="J47" s="2" t="str">
        <f t="shared" si="1"/>
        <v/>
      </c>
      <c r="K47" s="2" t="str">
        <f t="shared" si="2"/>
        <v/>
      </c>
      <c r="L47" s="2" t="str">
        <f t="shared" si="3"/>
        <v/>
      </c>
      <c r="M47" s="2" t="str">
        <f t="shared" si="4"/>
        <v/>
      </c>
      <c r="N47" s="2">
        <f t="shared" si="5"/>
        <v>6</v>
      </c>
      <c r="O47" s="19">
        <f t="shared" si="6"/>
        <v>6</v>
      </c>
      <c r="Q47" s="2" t="str">
        <f t="shared" si="7"/>
        <v>06</v>
      </c>
      <c r="R47" s="21" t="str">
        <f t="shared" si="8"/>
        <v>1.2.06a</v>
      </c>
      <c r="S47" s="2" t="str">
        <f t="shared" si="9"/>
        <v/>
      </c>
      <c r="T47" s="2" t="str">
        <f t="shared" si="11"/>
        <v/>
      </c>
      <c r="U47" s="19" t="str">
        <f t="shared" si="12"/>
        <v/>
      </c>
    </row>
    <row r="48" spans="1:21" x14ac:dyDescent="0.2">
      <c r="A48" s="2">
        <v>47</v>
      </c>
      <c r="B48" s="21" t="str">
        <f t="shared" si="10"/>
        <v>1.2.06b</v>
      </c>
      <c r="C48" s="2">
        <v>1</v>
      </c>
      <c r="D48" s="2">
        <v>2</v>
      </c>
      <c r="E48" s="2">
        <v>6</v>
      </c>
      <c r="F48" s="2" t="s">
        <v>92</v>
      </c>
      <c r="G48" s="2" t="s">
        <v>138</v>
      </c>
      <c r="H48" s="2">
        <v>5</v>
      </c>
      <c r="I48" s="19" t="str">
        <f t="shared" si="0"/>
        <v/>
      </c>
      <c r="J48" s="2" t="str">
        <f t="shared" si="1"/>
        <v/>
      </c>
      <c r="K48" s="2" t="str">
        <f t="shared" si="2"/>
        <v/>
      </c>
      <c r="L48" s="2" t="str">
        <f t="shared" si="3"/>
        <v/>
      </c>
      <c r="M48" s="2" t="str">
        <f t="shared" si="4"/>
        <v/>
      </c>
      <c r="N48" s="2">
        <f t="shared" si="5"/>
        <v>6</v>
      </c>
      <c r="O48" s="19">
        <f t="shared" si="6"/>
        <v>6</v>
      </c>
      <c r="Q48" s="2" t="str">
        <f t="shared" si="7"/>
        <v>06</v>
      </c>
      <c r="R48" s="21" t="str">
        <f t="shared" si="8"/>
        <v>1.2.06b</v>
      </c>
      <c r="S48" s="2" t="str">
        <f t="shared" si="9"/>
        <v/>
      </c>
      <c r="T48" s="2" t="str">
        <f t="shared" si="11"/>
        <v/>
      </c>
      <c r="U48" s="19" t="str">
        <f t="shared" si="12"/>
        <v/>
      </c>
    </row>
    <row r="49" spans="1:21" x14ac:dyDescent="0.2">
      <c r="A49" s="2">
        <v>48</v>
      </c>
      <c r="B49" s="21" t="str">
        <f t="shared" si="10"/>
        <v>1.2.07</v>
      </c>
      <c r="C49" s="2">
        <v>1</v>
      </c>
      <c r="D49" s="2">
        <v>2</v>
      </c>
      <c r="E49" s="2">
        <v>7</v>
      </c>
      <c r="F49" s="2" t="s">
        <v>84</v>
      </c>
      <c r="G49" s="2" t="s">
        <v>139</v>
      </c>
      <c r="H49" s="2" t="s">
        <v>89</v>
      </c>
      <c r="I49" s="19" t="str">
        <f t="shared" si="0"/>
        <v/>
      </c>
      <c r="J49" s="2" t="str">
        <f t="shared" si="1"/>
        <v/>
      </c>
      <c r="K49" s="2" t="str">
        <f t="shared" si="2"/>
        <v/>
      </c>
      <c r="L49" s="2">
        <f t="shared" si="3"/>
        <v>4</v>
      </c>
      <c r="M49" s="2" t="str">
        <f t="shared" si="4"/>
        <v/>
      </c>
      <c r="N49" s="2" t="str">
        <f t="shared" si="5"/>
        <v/>
      </c>
      <c r="O49" s="19">
        <f t="shared" si="6"/>
        <v>4</v>
      </c>
      <c r="Q49" s="2" t="str">
        <f t="shared" si="7"/>
        <v>07</v>
      </c>
      <c r="R49" s="21" t="str">
        <f t="shared" si="8"/>
        <v>1.2.07</v>
      </c>
      <c r="S49" s="2" t="str">
        <f t="shared" si="9"/>
        <v/>
      </c>
      <c r="T49" s="2" t="str">
        <f t="shared" si="11"/>
        <v/>
      </c>
      <c r="U49" s="19" t="str">
        <f t="shared" si="12"/>
        <v/>
      </c>
    </row>
    <row r="50" spans="1:21" x14ac:dyDescent="0.2">
      <c r="A50" s="2">
        <v>49</v>
      </c>
      <c r="B50" s="21" t="str">
        <f t="shared" si="10"/>
        <v>1.2.07a</v>
      </c>
      <c r="C50" s="2">
        <v>1</v>
      </c>
      <c r="D50" s="2">
        <v>2</v>
      </c>
      <c r="E50" s="2">
        <v>7</v>
      </c>
      <c r="F50" s="2" t="s">
        <v>90</v>
      </c>
      <c r="G50" s="2" t="s">
        <v>140</v>
      </c>
      <c r="H50" s="2">
        <v>5</v>
      </c>
      <c r="I50" s="19" t="str">
        <f t="shared" si="0"/>
        <v/>
      </c>
      <c r="J50" s="2" t="str">
        <f t="shared" si="1"/>
        <v/>
      </c>
      <c r="K50" s="2" t="str">
        <f t="shared" si="2"/>
        <v/>
      </c>
      <c r="L50" s="2" t="str">
        <f t="shared" si="3"/>
        <v/>
      </c>
      <c r="M50" s="2" t="str">
        <f t="shared" si="4"/>
        <v/>
      </c>
      <c r="N50" s="2">
        <f t="shared" si="5"/>
        <v>6</v>
      </c>
      <c r="O50" s="19">
        <f t="shared" si="6"/>
        <v>6</v>
      </c>
      <c r="Q50" s="2" t="str">
        <f t="shared" si="7"/>
        <v>07</v>
      </c>
      <c r="R50" s="21" t="str">
        <f t="shared" si="8"/>
        <v>1.2.07a</v>
      </c>
      <c r="S50" s="2" t="str">
        <f t="shared" si="9"/>
        <v/>
      </c>
      <c r="T50" s="2" t="str">
        <f t="shared" si="11"/>
        <v/>
      </c>
      <c r="U50" s="19" t="str">
        <f t="shared" si="12"/>
        <v/>
      </c>
    </row>
    <row r="51" spans="1:21" x14ac:dyDescent="0.2">
      <c r="A51" s="2">
        <v>50</v>
      </c>
      <c r="B51" s="21" t="str">
        <f t="shared" si="10"/>
        <v>1.2.07b</v>
      </c>
      <c r="C51" s="2">
        <v>1</v>
      </c>
      <c r="D51" s="2">
        <v>2</v>
      </c>
      <c r="E51" s="2">
        <v>7</v>
      </c>
      <c r="F51" s="2" t="s">
        <v>92</v>
      </c>
      <c r="G51" s="2" t="s">
        <v>141</v>
      </c>
      <c r="H51" s="2">
        <v>5</v>
      </c>
      <c r="I51" s="19" t="str">
        <f t="shared" si="0"/>
        <v/>
      </c>
      <c r="J51" s="2" t="str">
        <f t="shared" si="1"/>
        <v/>
      </c>
      <c r="K51" s="2" t="str">
        <f t="shared" si="2"/>
        <v/>
      </c>
      <c r="L51" s="2" t="str">
        <f t="shared" si="3"/>
        <v/>
      </c>
      <c r="M51" s="2" t="str">
        <f t="shared" si="4"/>
        <v/>
      </c>
      <c r="N51" s="2">
        <f t="shared" si="5"/>
        <v>6</v>
      </c>
      <c r="O51" s="19">
        <f t="shared" si="6"/>
        <v>6</v>
      </c>
      <c r="Q51" s="2" t="str">
        <f t="shared" si="7"/>
        <v>07</v>
      </c>
      <c r="R51" s="21" t="str">
        <f t="shared" si="8"/>
        <v>1.2.07b</v>
      </c>
      <c r="S51" s="2" t="str">
        <f t="shared" si="9"/>
        <v/>
      </c>
      <c r="T51" s="2" t="str">
        <f t="shared" si="11"/>
        <v/>
      </c>
      <c r="U51" s="19" t="str">
        <f t="shared" si="12"/>
        <v/>
      </c>
    </row>
    <row r="52" spans="1:21" x14ac:dyDescent="0.2">
      <c r="A52" s="2">
        <v>51</v>
      </c>
      <c r="B52" s="21" t="str">
        <f t="shared" si="10"/>
        <v>1.2.07c</v>
      </c>
      <c r="C52" s="2">
        <v>1</v>
      </c>
      <c r="D52" s="2">
        <v>2</v>
      </c>
      <c r="E52" s="2">
        <v>7</v>
      </c>
      <c r="F52" s="2" t="s">
        <v>94</v>
      </c>
      <c r="G52" s="2" t="s">
        <v>142</v>
      </c>
      <c r="H52" s="2">
        <v>5</v>
      </c>
      <c r="I52" s="19" t="str">
        <f t="shared" si="0"/>
        <v/>
      </c>
      <c r="J52" s="2" t="str">
        <f t="shared" si="1"/>
        <v/>
      </c>
      <c r="K52" s="2" t="str">
        <f t="shared" si="2"/>
        <v/>
      </c>
      <c r="L52" s="2" t="str">
        <f t="shared" si="3"/>
        <v/>
      </c>
      <c r="M52" s="2" t="str">
        <f t="shared" si="4"/>
        <v/>
      </c>
      <c r="N52" s="2">
        <f t="shared" si="5"/>
        <v>6</v>
      </c>
      <c r="O52" s="19">
        <f t="shared" si="6"/>
        <v>6</v>
      </c>
      <c r="Q52" s="2" t="str">
        <f t="shared" si="7"/>
        <v>07</v>
      </c>
      <c r="R52" s="21" t="str">
        <f t="shared" si="8"/>
        <v>1.2.07c</v>
      </c>
      <c r="S52" s="2" t="str">
        <f t="shared" si="9"/>
        <v/>
      </c>
      <c r="T52" s="2" t="str">
        <f t="shared" si="11"/>
        <v/>
      </c>
      <c r="U52" s="19" t="str">
        <f t="shared" si="12"/>
        <v/>
      </c>
    </row>
    <row r="53" spans="1:21" x14ac:dyDescent="0.2">
      <c r="A53" s="2">
        <v>52</v>
      </c>
      <c r="B53" s="21" t="str">
        <f t="shared" si="10"/>
        <v>1.2.08</v>
      </c>
      <c r="C53" s="2">
        <v>1</v>
      </c>
      <c r="D53" s="2">
        <v>2</v>
      </c>
      <c r="E53" s="2">
        <v>8</v>
      </c>
      <c r="F53" s="2" t="s">
        <v>84</v>
      </c>
      <c r="G53" s="2" t="s">
        <v>143</v>
      </c>
      <c r="H53" s="2">
        <v>4</v>
      </c>
      <c r="I53" s="19" t="str">
        <f t="shared" si="0"/>
        <v/>
      </c>
      <c r="J53" s="2" t="str">
        <f t="shared" si="1"/>
        <v/>
      </c>
      <c r="K53" s="2" t="str">
        <f t="shared" si="2"/>
        <v/>
      </c>
      <c r="L53" s="2" t="str">
        <f t="shared" si="3"/>
        <v/>
      </c>
      <c r="M53" s="2">
        <f t="shared" si="4"/>
        <v>5</v>
      </c>
      <c r="N53" s="2" t="str">
        <f t="shared" si="5"/>
        <v/>
      </c>
      <c r="O53" s="19">
        <f t="shared" si="6"/>
        <v>5</v>
      </c>
      <c r="Q53" s="2" t="str">
        <f t="shared" si="7"/>
        <v>08</v>
      </c>
      <c r="R53" s="21" t="str">
        <f t="shared" si="8"/>
        <v>1.2.08</v>
      </c>
      <c r="S53" s="2" t="str">
        <f t="shared" si="9"/>
        <v/>
      </c>
      <c r="T53" s="2" t="str">
        <f t="shared" si="11"/>
        <v/>
      </c>
      <c r="U53" s="19" t="str">
        <f t="shared" si="12"/>
        <v/>
      </c>
    </row>
    <row r="54" spans="1:21" x14ac:dyDescent="0.2">
      <c r="A54" s="2">
        <v>53</v>
      </c>
      <c r="B54" s="21" t="str">
        <f t="shared" si="10"/>
        <v>1.2.09</v>
      </c>
      <c r="C54" s="2">
        <v>1</v>
      </c>
      <c r="D54" s="2">
        <v>2</v>
      </c>
      <c r="E54" s="2">
        <v>9</v>
      </c>
      <c r="F54" s="2" t="s">
        <v>84</v>
      </c>
      <c r="G54" s="2" t="s">
        <v>144</v>
      </c>
      <c r="H54" s="2" t="s">
        <v>89</v>
      </c>
      <c r="I54" s="19" t="str">
        <f t="shared" si="0"/>
        <v/>
      </c>
      <c r="J54" s="2" t="str">
        <f t="shared" si="1"/>
        <v/>
      </c>
      <c r="K54" s="2" t="str">
        <f t="shared" si="2"/>
        <v/>
      </c>
      <c r="L54" s="2">
        <f t="shared" si="3"/>
        <v>4</v>
      </c>
      <c r="M54" s="2" t="str">
        <f t="shared" si="4"/>
        <v/>
      </c>
      <c r="N54" s="2" t="str">
        <f t="shared" si="5"/>
        <v/>
      </c>
      <c r="O54" s="19">
        <f t="shared" si="6"/>
        <v>4</v>
      </c>
      <c r="Q54" s="2" t="str">
        <f t="shared" si="7"/>
        <v>09</v>
      </c>
      <c r="R54" s="21" t="str">
        <f t="shared" si="8"/>
        <v>1.2.09</v>
      </c>
      <c r="S54" s="2" t="str">
        <f t="shared" si="9"/>
        <v/>
      </c>
      <c r="T54" s="2" t="str">
        <f t="shared" si="11"/>
        <v/>
      </c>
      <c r="U54" s="19" t="str">
        <f t="shared" si="12"/>
        <v/>
      </c>
    </row>
    <row r="55" spans="1:21" x14ac:dyDescent="0.2">
      <c r="A55" s="2">
        <v>54</v>
      </c>
      <c r="B55" s="21" t="str">
        <f t="shared" si="10"/>
        <v>1.2.09a</v>
      </c>
      <c r="C55" s="2">
        <v>1</v>
      </c>
      <c r="D55" s="2">
        <v>2</v>
      </c>
      <c r="E55" s="2">
        <v>9</v>
      </c>
      <c r="F55" s="2" t="s">
        <v>90</v>
      </c>
      <c r="G55" s="2" t="s">
        <v>145</v>
      </c>
      <c r="H55" s="2">
        <v>4</v>
      </c>
      <c r="I55" s="19" t="str">
        <f t="shared" si="0"/>
        <v/>
      </c>
      <c r="J55" s="2" t="str">
        <f t="shared" si="1"/>
        <v/>
      </c>
      <c r="K55" s="2" t="str">
        <f t="shared" si="2"/>
        <v/>
      </c>
      <c r="L55" s="2" t="str">
        <f t="shared" si="3"/>
        <v/>
      </c>
      <c r="M55" s="2" t="str">
        <f t="shared" si="4"/>
        <v/>
      </c>
      <c r="N55" s="2">
        <f t="shared" si="5"/>
        <v>6</v>
      </c>
      <c r="O55" s="19">
        <f t="shared" si="6"/>
        <v>6</v>
      </c>
      <c r="Q55" s="2" t="str">
        <f t="shared" si="7"/>
        <v>09</v>
      </c>
      <c r="R55" s="21" t="str">
        <f t="shared" si="8"/>
        <v>1.2.09a</v>
      </c>
      <c r="S55" s="2" t="str">
        <f t="shared" si="9"/>
        <v/>
      </c>
      <c r="T55" s="2" t="str">
        <f t="shared" si="11"/>
        <v/>
      </c>
      <c r="U55" s="19" t="str">
        <f t="shared" si="12"/>
        <v/>
      </c>
    </row>
    <row r="56" spans="1:21" x14ac:dyDescent="0.2">
      <c r="A56" s="2">
        <v>55</v>
      </c>
      <c r="B56" s="21" t="str">
        <f t="shared" si="10"/>
        <v>1.2.09b</v>
      </c>
      <c r="C56" s="2">
        <v>1</v>
      </c>
      <c r="D56" s="2">
        <v>2</v>
      </c>
      <c r="E56" s="2">
        <v>9</v>
      </c>
      <c r="F56" s="2" t="s">
        <v>92</v>
      </c>
      <c r="G56" s="2" t="s">
        <v>146</v>
      </c>
      <c r="H56" s="2">
        <v>4</v>
      </c>
      <c r="I56" s="19" t="str">
        <f t="shared" si="0"/>
        <v/>
      </c>
      <c r="J56" s="2" t="str">
        <f t="shared" si="1"/>
        <v/>
      </c>
      <c r="K56" s="2" t="str">
        <f t="shared" si="2"/>
        <v/>
      </c>
      <c r="L56" s="2" t="str">
        <f t="shared" si="3"/>
        <v/>
      </c>
      <c r="M56" s="2" t="str">
        <f t="shared" si="4"/>
        <v/>
      </c>
      <c r="N56" s="2">
        <f t="shared" si="5"/>
        <v>6</v>
      </c>
      <c r="O56" s="19">
        <f t="shared" si="6"/>
        <v>6</v>
      </c>
      <c r="Q56" s="2" t="str">
        <f t="shared" si="7"/>
        <v>09</v>
      </c>
      <c r="R56" s="21" t="str">
        <f t="shared" si="8"/>
        <v>1.2.09b</v>
      </c>
      <c r="S56" s="2" t="str">
        <f t="shared" si="9"/>
        <v/>
      </c>
      <c r="T56" s="2" t="str">
        <f t="shared" si="11"/>
        <v/>
      </c>
      <c r="U56" s="19" t="str">
        <f t="shared" si="12"/>
        <v/>
      </c>
    </row>
    <row r="57" spans="1:21" x14ac:dyDescent="0.2">
      <c r="A57" s="2">
        <v>56</v>
      </c>
      <c r="B57" s="21" t="str">
        <f t="shared" si="10"/>
        <v>1.2.09c</v>
      </c>
      <c r="C57" s="2">
        <v>1</v>
      </c>
      <c r="D57" s="2">
        <v>2</v>
      </c>
      <c r="E57" s="2">
        <v>9</v>
      </c>
      <c r="F57" s="2" t="s">
        <v>94</v>
      </c>
      <c r="G57" s="2" t="s">
        <v>147</v>
      </c>
      <c r="H57" s="2">
        <v>5</v>
      </c>
      <c r="I57" s="19" t="str">
        <f t="shared" si="0"/>
        <v/>
      </c>
      <c r="J57" s="2" t="str">
        <f t="shared" si="1"/>
        <v/>
      </c>
      <c r="K57" s="2" t="str">
        <f t="shared" si="2"/>
        <v/>
      </c>
      <c r="L57" s="2" t="str">
        <f t="shared" si="3"/>
        <v/>
      </c>
      <c r="M57" s="2" t="str">
        <f t="shared" si="4"/>
        <v/>
      </c>
      <c r="N57" s="2">
        <f t="shared" si="5"/>
        <v>6</v>
      </c>
      <c r="O57" s="19">
        <f t="shared" si="6"/>
        <v>6</v>
      </c>
      <c r="Q57" s="2" t="str">
        <f t="shared" si="7"/>
        <v>09</v>
      </c>
      <c r="R57" s="21" t="str">
        <f t="shared" si="8"/>
        <v>1.2.09c</v>
      </c>
      <c r="S57" s="2" t="str">
        <f t="shared" si="9"/>
        <v/>
      </c>
      <c r="T57" s="2" t="str">
        <f t="shared" si="11"/>
        <v/>
      </c>
      <c r="U57" s="19" t="str">
        <f t="shared" si="12"/>
        <v/>
      </c>
    </row>
    <row r="58" spans="1:21" x14ac:dyDescent="0.2">
      <c r="A58" s="2">
        <v>57</v>
      </c>
      <c r="B58" s="21" t="str">
        <f t="shared" si="10"/>
        <v>1.2.10</v>
      </c>
      <c r="C58" s="2">
        <v>1</v>
      </c>
      <c r="D58" s="2">
        <v>2</v>
      </c>
      <c r="E58" s="2">
        <v>10</v>
      </c>
      <c r="F58" s="2" t="s">
        <v>84</v>
      </c>
      <c r="G58" s="2" t="s">
        <v>148</v>
      </c>
      <c r="H58" s="2">
        <v>5</v>
      </c>
      <c r="I58" s="19" t="str">
        <f t="shared" si="0"/>
        <v/>
      </c>
      <c r="J58" s="2" t="str">
        <f t="shared" si="1"/>
        <v/>
      </c>
      <c r="K58" s="2" t="str">
        <f t="shared" si="2"/>
        <v/>
      </c>
      <c r="L58" s="2" t="str">
        <f t="shared" si="3"/>
        <v/>
      </c>
      <c r="M58" s="2">
        <f t="shared" si="4"/>
        <v>5</v>
      </c>
      <c r="N58" s="2" t="str">
        <f t="shared" si="5"/>
        <v/>
      </c>
      <c r="O58" s="19">
        <f t="shared" si="6"/>
        <v>5</v>
      </c>
      <c r="Q58" s="2" t="str">
        <f t="shared" si="7"/>
        <v>10</v>
      </c>
      <c r="R58" s="21" t="str">
        <f t="shared" si="8"/>
        <v>1.2.10</v>
      </c>
      <c r="S58" s="2" t="str">
        <f t="shared" si="9"/>
        <v/>
      </c>
      <c r="T58" s="2" t="str">
        <f t="shared" si="11"/>
        <v/>
      </c>
      <c r="U58" s="19" t="str">
        <f t="shared" si="12"/>
        <v/>
      </c>
    </row>
    <row r="59" spans="1:21" x14ac:dyDescent="0.2">
      <c r="A59" s="2">
        <v>58</v>
      </c>
      <c r="B59" s="21" t="str">
        <f t="shared" si="10"/>
        <v>1.2.11</v>
      </c>
      <c r="C59" s="2">
        <v>1</v>
      </c>
      <c r="D59" s="2">
        <v>2</v>
      </c>
      <c r="E59" s="2">
        <v>11</v>
      </c>
      <c r="F59" s="2" t="s">
        <v>84</v>
      </c>
      <c r="G59" s="2" t="s">
        <v>149</v>
      </c>
      <c r="H59" s="2">
        <v>4</v>
      </c>
      <c r="I59" s="19" t="str">
        <f t="shared" si="0"/>
        <v/>
      </c>
      <c r="J59" s="2" t="str">
        <f t="shared" si="1"/>
        <v/>
      </c>
      <c r="K59" s="2" t="str">
        <f t="shared" si="2"/>
        <v/>
      </c>
      <c r="L59" s="2" t="str">
        <f t="shared" si="3"/>
        <v/>
      </c>
      <c r="M59" s="2">
        <f t="shared" si="4"/>
        <v>5</v>
      </c>
      <c r="N59" s="2" t="str">
        <f t="shared" si="5"/>
        <v/>
      </c>
      <c r="O59" s="19">
        <f t="shared" si="6"/>
        <v>5</v>
      </c>
      <c r="Q59" s="2" t="str">
        <f t="shared" si="7"/>
        <v>11</v>
      </c>
      <c r="R59" s="21" t="str">
        <f t="shared" si="8"/>
        <v>1.2.11</v>
      </c>
      <c r="S59" s="2" t="str">
        <f t="shared" si="9"/>
        <v/>
      </c>
      <c r="T59" s="2" t="str">
        <f t="shared" si="11"/>
        <v/>
      </c>
      <c r="U59" s="19" t="str">
        <f t="shared" si="12"/>
        <v/>
      </c>
    </row>
    <row r="60" spans="1:21" x14ac:dyDescent="0.2">
      <c r="A60" s="2">
        <v>59</v>
      </c>
      <c r="B60" s="21" t="str">
        <f t="shared" si="10"/>
        <v>1.2.12</v>
      </c>
      <c r="C60" s="2">
        <v>1</v>
      </c>
      <c r="D60" s="2">
        <v>2</v>
      </c>
      <c r="E60" s="2">
        <v>12</v>
      </c>
      <c r="F60" s="2" t="s">
        <v>84</v>
      </c>
      <c r="G60" s="2" t="s">
        <v>150</v>
      </c>
      <c r="H60" s="2" t="s">
        <v>89</v>
      </c>
      <c r="I60" s="19" t="str">
        <f t="shared" si="0"/>
        <v/>
      </c>
      <c r="J60" s="2" t="str">
        <f t="shared" si="1"/>
        <v/>
      </c>
      <c r="K60" s="2" t="str">
        <f t="shared" si="2"/>
        <v/>
      </c>
      <c r="L60" s="2">
        <f t="shared" si="3"/>
        <v>4</v>
      </c>
      <c r="M60" s="2" t="str">
        <f t="shared" si="4"/>
        <v/>
      </c>
      <c r="N60" s="2" t="str">
        <f t="shared" si="5"/>
        <v/>
      </c>
      <c r="O60" s="19">
        <f t="shared" si="6"/>
        <v>4</v>
      </c>
      <c r="Q60" s="2" t="str">
        <f t="shared" si="7"/>
        <v>12</v>
      </c>
      <c r="R60" s="21" t="str">
        <f t="shared" si="8"/>
        <v>1.2.12</v>
      </c>
      <c r="S60" s="2" t="str">
        <f t="shared" si="9"/>
        <v/>
      </c>
      <c r="T60" s="2" t="str">
        <f t="shared" si="11"/>
        <v/>
      </c>
      <c r="U60" s="19" t="str">
        <f t="shared" si="12"/>
        <v/>
      </c>
    </row>
    <row r="61" spans="1:21" x14ac:dyDescent="0.2">
      <c r="A61" s="2">
        <v>60</v>
      </c>
      <c r="B61" s="21" t="str">
        <f t="shared" si="10"/>
        <v>1.2.12a</v>
      </c>
      <c r="C61" s="2">
        <v>1</v>
      </c>
      <c r="D61" s="2">
        <v>2</v>
      </c>
      <c r="E61" s="2">
        <v>12</v>
      </c>
      <c r="F61" s="2" t="s">
        <v>90</v>
      </c>
      <c r="G61" s="2" t="s">
        <v>151</v>
      </c>
      <c r="H61" s="2">
        <v>5</v>
      </c>
      <c r="I61" s="19" t="str">
        <f t="shared" si="0"/>
        <v/>
      </c>
      <c r="J61" s="2" t="str">
        <f t="shared" si="1"/>
        <v/>
      </c>
      <c r="K61" s="2" t="str">
        <f t="shared" si="2"/>
        <v/>
      </c>
      <c r="L61" s="2" t="str">
        <f t="shared" si="3"/>
        <v/>
      </c>
      <c r="M61" s="2" t="str">
        <f t="shared" si="4"/>
        <v/>
      </c>
      <c r="N61" s="2">
        <f t="shared" si="5"/>
        <v>6</v>
      </c>
      <c r="O61" s="19">
        <f t="shared" si="6"/>
        <v>6</v>
      </c>
      <c r="Q61" s="2" t="str">
        <f t="shared" si="7"/>
        <v>12</v>
      </c>
      <c r="R61" s="21" t="str">
        <f t="shared" si="8"/>
        <v>1.2.12a</v>
      </c>
      <c r="S61" s="2" t="str">
        <f t="shared" si="9"/>
        <v/>
      </c>
      <c r="T61" s="2" t="str">
        <f t="shared" si="11"/>
        <v/>
      </c>
      <c r="U61" s="19" t="str">
        <f t="shared" si="12"/>
        <v/>
      </c>
    </row>
    <row r="62" spans="1:21" x14ac:dyDescent="0.2">
      <c r="A62" s="2">
        <v>61</v>
      </c>
      <c r="B62" s="21" t="str">
        <f t="shared" si="10"/>
        <v>1.2.12b</v>
      </c>
      <c r="C62" s="2">
        <v>1</v>
      </c>
      <c r="D62" s="2">
        <v>2</v>
      </c>
      <c r="E62" s="2">
        <v>12</v>
      </c>
      <c r="F62" s="2" t="s">
        <v>92</v>
      </c>
      <c r="G62" s="2" t="s">
        <v>152</v>
      </c>
      <c r="H62" s="2">
        <v>5</v>
      </c>
      <c r="I62" s="19" t="str">
        <f t="shared" si="0"/>
        <v/>
      </c>
      <c r="J62" s="2" t="str">
        <f t="shared" si="1"/>
        <v/>
      </c>
      <c r="K62" s="2" t="str">
        <f t="shared" si="2"/>
        <v/>
      </c>
      <c r="L62" s="2" t="str">
        <f t="shared" si="3"/>
        <v/>
      </c>
      <c r="M62" s="2" t="str">
        <f t="shared" si="4"/>
        <v/>
      </c>
      <c r="N62" s="2">
        <f t="shared" si="5"/>
        <v>6</v>
      </c>
      <c r="O62" s="19">
        <f t="shared" si="6"/>
        <v>6</v>
      </c>
      <c r="Q62" s="2" t="str">
        <f t="shared" si="7"/>
        <v>12</v>
      </c>
      <c r="R62" s="21" t="str">
        <f t="shared" si="8"/>
        <v>1.2.12b</v>
      </c>
      <c r="S62" s="2" t="str">
        <f t="shared" si="9"/>
        <v/>
      </c>
      <c r="T62" s="2" t="str">
        <f t="shared" si="11"/>
        <v/>
      </c>
      <c r="U62" s="19" t="str">
        <f t="shared" si="12"/>
        <v/>
      </c>
    </row>
    <row r="63" spans="1:21" x14ac:dyDescent="0.2">
      <c r="A63" s="2">
        <v>62</v>
      </c>
      <c r="B63" s="21" t="str">
        <f t="shared" si="10"/>
        <v>1.2.12c</v>
      </c>
      <c r="C63" s="2">
        <v>1</v>
      </c>
      <c r="D63" s="2">
        <v>2</v>
      </c>
      <c r="E63" s="2">
        <v>12</v>
      </c>
      <c r="F63" s="2" t="s">
        <v>94</v>
      </c>
      <c r="G63" s="2" t="s">
        <v>153</v>
      </c>
      <c r="H63" s="2">
        <v>5</v>
      </c>
      <c r="I63" s="19" t="str">
        <f t="shared" si="0"/>
        <v/>
      </c>
      <c r="J63" s="2" t="str">
        <f t="shared" si="1"/>
        <v/>
      </c>
      <c r="K63" s="2" t="str">
        <f t="shared" si="2"/>
        <v/>
      </c>
      <c r="L63" s="2" t="str">
        <f t="shared" si="3"/>
        <v/>
      </c>
      <c r="M63" s="2" t="str">
        <f t="shared" si="4"/>
        <v/>
      </c>
      <c r="N63" s="2">
        <f t="shared" si="5"/>
        <v>6</v>
      </c>
      <c r="O63" s="19">
        <f t="shared" si="6"/>
        <v>6</v>
      </c>
      <c r="Q63" s="2" t="str">
        <f t="shared" si="7"/>
        <v>12</v>
      </c>
      <c r="R63" s="21" t="str">
        <f t="shared" si="8"/>
        <v>1.2.12c</v>
      </c>
      <c r="S63" s="2" t="str">
        <f t="shared" si="9"/>
        <v/>
      </c>
      <c r="T63" s="2" t="str">
        <f t="shared" si="11"/>
        <v/>
      </c>
      <c r="U63" s="19" t="str">
        <f t="shared" si="12"/>
        <v/>
      </c>
    </row>
    <row r="64" spans="1:21" x14ac:dyDescent="0.2">
      <c r="A64" s="2">
        <v>63</v>
      </c>
      <c r="B64" s="21" t="str">
        <f t="shared" si="10"/>
        <v>1.2.13</v>
      </c>
      <c r="C64" s="2">
        <v>1</v>
      </c>
      <c r="D64" s="2">
        <v>2</v>
      </c>
      <c r="E64" s="2">
        <v>13</v>
      </c>
      <c r="F64" s="2" t="s">
        <v>84</v>
      </c>
      <c r="G64" s="2" t="s">
        <v>154</v>
      </c>
      <c r="H64" s="2" t="s">
        <v>89</v>
      </c>
      <c r="I64" s="19" t="str">
        <f t="shared" si="0"/>
        <v/>
      </c>
      <c r="J64" s="2" t="str">
        <f t="shared" si="1"/>
        <v/>
      </c>
      <c r="K64" s="2" t="str">
        <f t="shared" si="2"/>
        <v/>
      </c>
      <c r="L64" s="2">
        <f t="shared" si="3"/>
        <v>4</v>
      </c>
      <c r="M64" s="2" t="str">
        <f t="shared" si="4"/>
        <v/>
      </c>
      <c r="N64" s="2" t="str">
        <f t="shared" si="5"/>
        <v/>
      </c>
      <c r="O64" s="19">
        <f t="shared" si="6"/>
        <v>4</v>
      </c>
      <c r="Q64" s="2" t="str">
        <f t="shared" si="7"/>
        <v>13</v>
      </c>
      <c r="R64" s="21" t="str">
        <f t="shared" si="8"/>
        <v>1.2.13</v>
      </c>
      <c r="S64" s="2" t="str">
        <f t="shared" si="9"/>
        <v/>
      </c>
      <c r="T64" s="2" t="str">
        <f t="shared" si="11"/>
        <v/>
      </c>
      <c r="U64" s="19" t="str">
        <f t="shared" si="12"/>
        <v/>
      </c>
    </row>
    <row r="65" spans="1:21" x14ac:dyDescent="0.2">
      <c r="A65" s="2">
        <v>64</v>
      </c>
      <c r="B65" s="21" t="str">
        <f t="shared" si="10"/>
        <v>1.2.13a</v>
      </c>
      <c r="C65" s="2">
        <v>1</v>
      </c>
      <c r="D65" s="2">
        <v>2</v>
      </c>
      <c r="E65" s="2">
        <v>13</v>
      </c>
      <c r="F65" s="2" t="s">
        <v>90</v>
      </c>
      <c r="G65" s="2" t="s">
        <v>155</v>
      </c>
      <c r="H65" s="2">
        <v>5</v>
      </c>
      <c r="I65" s="19" t="str">
        <f t="shared" ref="I65:I127" si="15">IF(AND(LEN(C65)=1,LEN(D65)=0),1,"")</f>
        <v/>
      </c>
      <c r="J65" s="2" t="str">
        <f t="shared" ref="J65:J127" si="16">IF(AND(LEN(C65)=1,LEN(D65)=1,LEN(E65)=0,LEN(F65)=0),2,"")</f>
        <v/>
      </c>
      <c r="K65" s="2" t="str">
        <f t="shared" ref="K65:K127" si="17">IF(AND(LEN(C65)=0,LEN(E65)=0),3,"")</f>
        <v/>
      </c>
      <c r="L65" s="2" t="str">
        <f t="shared" ref="L65:L127" si="18">IF(AND(LEN(C65)&gt;0,LEN(D65&gt;0),LEN(E65)&gt;0,LEN(F65)=0,H65="N/A"),4,"")</f>
        <v/>
      </c>
      <c r="M65" s="2" t="str">
        <f t="shared" ref="M65:M127" si="19">IF(AND(LEN(C65)&gt;0,LEN(D65&gt;0),LEN(E65)&gt;0,LEN(F65)=0,H65&gt;0,H65&lt;6),5,"")</f>
        <v/>
      </c>
      <c r="N65" s="2">
        <f t="shared" ref="N65:N127" si="20">IF(AND(LEN(C65)&gt;0,LEN(D65&gt;0),LEN(E65)&gt;0,LEN(F65)&gt;0,H65&gt;0,H65&lt;6),6,"")</f>
        <v>6</v>
      </c>
      <c r="O65" s="19">
        <f t="shared" ref="O65:O127" si="21">SUM(I65:N65)</f>
        <v>6</v>
      </c>
      <c r="Q65" s="2" t="str">
        <f t="shared" ref="Q65:Q127" si="22">IF(LEN(E65)&gt;0,TEXT(E65,"00"),"")</f>
        <v>13</v>
      </c>
      <c r="R65" s="21" t="str">
        <f t="shared" ref="R65:R127" si="23">IF(O65=1,C65,IF(O65=2,C65&amp;"."&amp;D65,IF(O65=3,"",IF(O65=4,C65&amp;"."&amp;D65&amp;"."&amp;Q65,IF(O65=5,C65&amp;"."&amp;D65&amp;"."&amp;Q65,IF(O65=6,C65&amp;"."&amp;D65&amp;"."&amp;Q65&amp;F65,""))))))</f>
        <v>1.2.13a</v>
      </c>
      <c r="S65" s="2" t="str">
        <f t="shared" ref="S65:S127" si="24">IF(O65=O64,IF(NOT(R65&gt;R64),1,""),"")</f>
        <v/>
      </c>
      <c r="T65" s="2" t="str">
        <f t="shared" si="11"/>
        <v/>
      </c>
      <c r="U65" s="19" t="str">
        <f t="shared" si="12"/>
        <v/>
      </c>
    </row>
    <row r="66" spans="1:21" x14ac:dyDescent="0.2">
      <c r="A66" s="2">
        <v>65</v>
      </c>
      <c r="B66" s="21" t="str">
        <f t="shared" ref="B66:B128" si="25">R66</f>
        <v>1.2.13b</v>
      </c>
      <c r="C66" s="2">
        <v>1</v>
      </c>
      <c r="D66" s="2">
        <v>2</v>
      </c>
      <c r="E66" s="2">
        <v>13</v>
      </c>
      <c r="F66" s="2" t="s">
        <v>92</v>
      </c>
      <c r="G66" s="2" t="s">
        <v>156</v>
      </c>
      <c r="H66" s="2">
        <v>5</v>
      </c>
      <c r="I66" s="19" t="str">
        <f t="shared" si="15"/>
        <v/>
      </c>
      <c r="J66" s="2" t="str">
        <f t="shared" si="16"/>
        <v/>
      </c>
      <c r="K66" s="2" t="str">
        <f t="shared" si="17"/>
        <v/>
      </c>
      <c r="L66" s="2" t="str">
        <f t="shared" si="18"/>
        <v/>
      </c>
      <c r="M66" s="2" t="str">
        <f t="shared" si="19"/>
        <v/>
      </c>
      <c r="N66" s="2">
        <f t="shared" si="20"/>
        <v>6</v>
      </c>
      <c r="O66" s="19">
        <f t="shared" si="21"/>
        <v>6</v>
      </c>
      <c r="Q66" s="2" t="str">
        <f t="shared" si="22"/>
        <v>13</v>
      </c>
      <c r="R66" s="21" t="str">
        <f t="shared" si="23"/>
        <v>1.2.13b</v>
      </c>
      <c r="S66" s="2" t="str">
        <f t="shared" si="24"/>
        <v/>
      </c>
      <c r="T66" s="2" t="str">
        <f t="shared" ref="T66:T128" si="26">IF(NOT(R66&gt;R65),1,"")</f>
        <v/>
      </c>
      <c r="U66" s="19" t="str">
        <f t="shared" si="12"/>
        <v/>
      </c>
    </row>
    <row r="67" spans="1:21" x14ac:dyDescent="0.2">
      <c r="A67" s="2">
        <v>66</v>
      </c>
      <c r="B67" s="21" t="str">
        <f t="shared" si="25"/>
        <v>1.2.14</v>
      </c>
      <c r="C67" s="2">
        <v>1</v>
      </c>
      <c r="D67" s="2">
        <v>2</v>
      </c>
      <c r="E67" s="2">
        <v>14</v>
      </c>
      <c r="F67" s="2" t="s">
        <v>84</v>
      </c>
      <c r="G67" s="2" t="s">
        <v>157</v>
      </c>
      <c r="H67" s="2">
        <v>4</v>
      </c>
      <c r="I67" s="19" t="str">
        <f t="shared" si="15"/>
        <v/>
      </c>
      <c r="J67" s="2" t="str">
        <f t="shared" si="16"/>
        <v/>
      </c>
      <c r="K67" s="2" t="str">
        <f t="shared" si="17"/>
        <v/>
      </c>
      <c r="L67" s="2" t="str">
        <f t="shared" si="18"/>
        <v/>
      </c>
      <c r="M67" s="2">
        <f t="shared" si="19"/>
        <v>5</v>
      </c>
      <c r="N67" s="2" t="str">
        <f t="shared" si="20"/>
        <v/>
      </c>
      <c r="O67" s="19">
        <f t="shared" si="21"/>
        <v>5</v>
      </c>
      <c r="Q67" s="2" t="str">
        <f t="shared" si="22"/>
        <v>14</v>
      </c>
      <c r="R67" s="21" t="str">
        <f t="shared" si="23"/>
        <v>1.2.14</v>
      </c>
      <c r="S67" s="2" t="str">
        <f t="shared" si="24"/>
        <v/>
      </c>
      <c r="T67" s="2" t="str">
        <f t="shared" si="26"/>
        <v/>
      </c>
      <c r="U67" s="19" t="str">
        <f t="shared" ref="U67:U130" si="27">IF(O67&lt;4,IF(LEN(H67)=0,"",1),IF(O67=4,IF(H67="N/A","",1),IF(AND(O67&gt;4,O67&lt;7),IF(AND(H67&gt;0,H67&lt;6),"",1),1)))</f>
        <v/>
      </c>
    </row>
    <row r="68" spans="1:21" x14ac:dyDescent="0.2">
      <c r="A68" s="2">
        <v>67</v>
      </c>
      <c r="B68" s="21" t="str">
        <f t="shared" si="25"/>
        <v>1.2.15</v>
      </c>
      <c r="C68" s="2">
        <v>1</v>
      </c>
      <c r="D68" s="2">
        <v>2</v>
      </c>
      <c r="E68" s="2">
        <v>15</v>
      </c>
      <c r="F68" s="2" t="s">
        <v>84</v>
      </c>
      <c r="G68" s="2" t="s">
        <v>158</v>
      </c>
      <c r="H68" s="2">
        <v>5</v>
      </c>
      <c r="I68" s="19" t="str">
        <f t="shared" si="15"/>
        <v/>
      </c>
      <c r="J68" s="2" t="str">
        <f t="shared" si="16"/>
        <v/>
      </c>
      <c r="K68" s="2" t="str">
        <f t="shared" si="17"/>
        <v/>
      </c>
      <c r="L68" s="2" t="str">
        <f t="shared" si="18"/>
        <v/>
      </c>
      <c r="M68" s="2">
        <f t="shared" si="19"/>
        <v>5</v>
      </c>
      <c r="N68" s="2" t="str">
        <f t="shared" si="20"/>
        <v/>
      </c>
      <c r="O68" s="19">
        <f t="shared" si="21"/>
        <v>5</v>
      </c>
      <c r="Q68" s="2" t="str">
        <f t="shared" si="22"/>
        <v>15</v>
      </c>
      <c r="R68" s="21" t="str">
        <f t="shared" si="23"/>
        <v>1.2.15</v>
      </c>
      <c r="S68" s="2" t="str">
        <f t="shared" si="24"/>
        <v/>
      </c>
      <c r="T68" s="2" t="str">
        <f t="shared" si="26"/>
        <v/>
      </c>
      <c r="U68" s="19" t="str">
        <f t="shared" si="27"/>
        <v/>
      </c>
    </row>
    <row r="69" spans="1:21" x14ac:dyDescent="0.2">
      <c r="A69" s="2">
        <v>68</v>
      </c>
      <c r="B69" s="21" t="str">
        <f t="shared" si="25"/>
        <v>1.2.16</v>
      </c>
      <c r="C69" s="2">
        <v>1</v>
      </c>
      <c r="D69" s="2">
        <v>2</v>
      </c>
      <c r="E69" s="2">
        <v>16</v>
      </c>
      <c r="F69" s="2" t="s">
        <v>84</v>
      </c>
      <c r="G69" s="2" t="s">
        <v>159</v>
      </c>
      <c r="H69" s="2">
        <v>5</v>
      </c>
      <c r="I69" s="19" t="str">
        <f t="shared" si="15"/>
        <v/>
      </c>
      <c r="J69" s="2" t="str">
        <f t="shared" si="16"/>
        <v/>
      </c>
      <c r="K69" s="2" t="str">
        <f t="shared" si="17"/>
        <v/>
      </c>
      <c r="L69" s="2" t="str">
        <f t="shared" si="18"/>
        <v/>
      </c>
      <c r="M69" s="2">
        <f t="shared" si="19"/>
        <v>5</v>
      </c>
      <c r="N69" s="2" t="str">
        <f t="shared" si="20"/>
        <v/>
      </c>
      <c r="O69" s="19">
        <f t="shared" si="21"/>
        <v>5</v>
      </c>
      <c r="Q69" s="2" t="str">
        <f t="shared" si="22"/>
        <v>16</v>
      </c>
      <c r="R69" s="21" t="str">
        <f t="shared" si="23"/>
        <v>1.2.16</v>
      </c>
      <c r="S69" s="2" t="str">
        <f t="shared" si="24"/>
        <v/>
      </c>
      <c r="T69" s="2" t="str">
        <f t="shared" si="26"/>
        <v/>
      </c>
      <c r="U69" s="19" t="str">
        <f t="shared" si="27"/>
        <v/>
      </c>
    </row>
    <row r="70" spans="1:21" x14ac:dyDescent="0.2">
      <c r="A70" s="2">
        <v>69</v>
      </c>
      <c r="B70" s="21" t="str">
        <f t="shared" si="25"/>
        <v>1.3</v>
      </c>
      <c r="C70" s="2">
        <v>1</v>
      </c>
      <c r="D70" s="2">
        <v>3</v>
      </c>
      <c r="E70" s="2" t="s">
        <v>84</v>
      </c>
      <c r="F70" s="2" t="s">
        <v>84</v>
      </c>
      <c r="G70" s="2" t="s">
        <v>160</v>
      </c>
      <c r="H70" s="2" t="s">
        <v>84</v>
      </c>
      <c r="I70" s="19" t="str">
        <f t="shared" si="15"/>
        <v/>
      </c>
      <c r="J70" s="2">
        <f t="shared" si="16"/>
        <v>2</v>
      </c>
      <c r="K70" s="2" t="str">
        <f t="shared" si="17"/>
        <v/>
      </c>
      <c r="L70" s="2" t="str">
        <f t="shared" si="18"/>
        <v/>
      </c>
      <c r="M70" s="2" t="str">
        <f t="shared" si="19"/>
        <v/>
      </c>
      <c r="N70" s="2" t="str">
        <f t="shared" si="20"/>
        <v/>
      </c>
      <c r="O70" s="19">
        <f t="shared" si="21"/>
        <v>2</v>
      </c>
      <c r="Q70" s="2" t="str">
        <f t="shared" si="22"/>
        <v/>
      </c>
      <c r="R70" s="21" t="str">
        <f t="shared" si="23"/>
        <v>1.3</v>
      </c>
      <c r="S70" s="2" t="str">
        <f t="shared" ref="S70" si="28">IF(O70=O69,IF(NOT(R70&gt;R69),1,""),"")</f>
        <v/>
      </c>
      <c r="T70" s="2" t="str">
        <f t="shared" ref="T70" si="29">IF(NOT(R70&gt;R69),1,"")</f>
        <v/>
      </c>
      <c r="U70" s="19" t="str">
        <f t="shared" si="27"/>
        <v/>
      </c>
    </row>
    <row r="71" spans="1:21" x14ac:dyDescent="0.2">
      <c r="A71" s="2">
        <v>70</v>
      </c>
      <c r="B71" s="21" t="str">
        <f t="shared" si="25"/>
        <v/>
      </c>
      <c r="C71" s="2" t="s">
        <v>84</v>
      </c>
      <c r="D71" s="2" t="s">
        <v>84</v>
      </c>
      <c r="E71" s="2" t="s">
        <v>84</v>
      </c>
      <c r="F71" s="2" t="s">
        <v>84</v>
      </c>
      <c r="G71" s="2" t="s">
        <v>161</v>
      </c>
      <c r="H71" s="2" t="s">
        <v>84</v>
      </c>
      <c r="I71" s="19" t="str">
        <f t="shared" si="15"/>
        <v/>
      </c>
      <c r="J71" s="2" t="str">
        <f t="shared" si="16"/>
        <v/>
      </c>
      <c r="K71" s="2">
        <f t="shared" si="17"/>
        <v>3</v>
      </c>
      <c r="L71" s="2" t="str">
        <f t="shared" si="18"/>
        <v/>
      </c>
      <c r="M71" s="2" t="str">
        <f t="shared" si="19"/>
        <v/>
      </c>
      <c r="N71" s="2" t="str">
        <f t="shared" si="20"/>
        <v/>
      </c>
      <c r="O71" s="19">
        <f t="shared" si="21"/>
        <v>3</v>
      </c>
      <c r="Q71" s="2" t="str">
        <f t="shared" si="22"/>
        <v/>
      </c>
      <c r="R71" s="21" t="str">
        <f t="shared" si="23"/>
        <v/>
      </c>
      <c r="S71" s="2" t="str">
        <f t="shared" si="24"/>
        <v/>
      </c>
      <c r="T71" s="2">
        <f t="shared" si="26"/>
        <v>1</v>
      </c>
      <c r="U71" s="19" t="str">
        <f t="shared" si="27"/>
        <v/>
      </c>
    </row>
    <row r="72" spans="1:21" x14ac:dyDescent="0.2">
      <c r="A72" s="2">
        <v>71</v>
      </c>
      <c r="B72" s="21" t="str">
        <f t="shared" si="25"/>
        <v>1.3.01</v>
      </c>
      <c r="C72" s="2">
        <v>1</v>
      </c>
      <c r="D72" s="2">
        <v>3</v>
      </c>
      <c r="E72" s="2">
        <v>1</v>
      </c>
      <c r="F72" s="2" t="s">
        <v>84</v>
      </c>
      <c r="G72" s="2" t="s">
        <v>162</v>
      </c>
      <c r="H72" s="2">
        <v>1</v>
      </c>
      <c r="I72" s="19" t="str">
        <f t="shared" si="15"/>
        <v/>
      </c>
      <c r="J72" s="2" t="str">
        <f t="shared" si="16"/>
        <v/>
      </c>
      <c r="K72" s="2" t="str">
        <f t="shared" si="17"/>
        <v/>
      </c>
      <c r="L72" s="2" t="str">
        <f t="shared" si="18"/>
        <v/>
      </c>
      <c r="M72" s="2">
        <f t="shared" si="19"/>
        <v>5</v>
      </c>
      <c r="N72" s="2" t="str">
        <f t="shared" si="20"/>
        <v/>
      </c>
      <c r="O72" s="19">
        <f t="shared" si="21"/>
        <v>5</v>
      </c>
      <c r="Q72" s="2" t="str">
        <f t="shared" si="22"/>
        <v>01</v>
      </c>
      <c r="R72" s="21" t="str">
        <f t="shared" si="23"/>
        <v>1.3.01</v>
      </c>
      <c r="S72" s="2" t="str">
        <f t="shared" si="24"/>
        <v/>
      </c>
      <c r="T72" s="2" t="str">
        <f t="shared" si="26"/>
        <v/>
      </c>
      <c r="U72" s="19" t="str">
        <f t="shared" si="27"/>
        <v/>
      </c>
    </row>
    <row r="73" spans="1:21" x14ac:dyDescent="0.2">
      <c r="A73" s="2">
        <v>72</v>
      </c>
      <c r="B73" s="21" t="str">
        <f t="shared" si="25"/>
        <v>1.3.02</v>
      </c>
      <c r="C73" s="2">
        <v>1</v>
      </c>
      <c r="D73" s="2">
        <v>3</v>
      </c>
      <c r="E73" s="2">
        <v>2</v>
      </c>
      <c r="F73" s="2" t="s">
        <v>84</v>
      </c>
      <c r="G73" s="2" t="s">
        <v>163</v>
      </c>
      <c r="H73" s="2" t="s">
        <v>89</v>
      </c>
      <c r="I73" s="19" t="str">
        <f t="shared" si="15"/>
        <v/>
      </c>
      <c r="J73" s="2" t="str">
        <f t="shared" si="16"/>
        <v/>
      </c>
      <c r="K73" s="2" t="str">
        <f t="shared" si="17"/>
        <v/>
      </c>
      <c r="L73" s="2">
        <f t="shared" si="18"/>
        <v>4</v>
      </c>
      <c r="M73" s="2" t="str">
        <f t="shared" si="19"/>
        <v/>
      </c>
      <c r="N73" s="2" t="str">
        <f t="shared" si="20"/>
        <v/>
      </c>
      <c r="O73" s="19">
        <f t="shared" si="21"/>
        <v>4</v>
      </c>
      <c r="Q73" s="2" t="str">
        <f t="shared" si="22"/>
        <v>02</v>
      </c>
      <c r="R73" s="21" t="str">
        <f t="shared" si="23"/>
        <v>1.3.02</v>
      </c>
      <c r="S73" s="2" t="str">
        <f t="shared" si="24"/>
        <v/>
      </c>
      <c r="T73" s="2" t="str">
        <f t="shared" si="26"/>
        <v/>
      </c>
      <c r="U73" s="19" t="str">
        <f t="shared" si="27"/>
        <v/>
      </c>
    </row>
    <row r="74" spans="1:21" x14ac:dyDescent="0.2">
      <c r="A74" s="2">
        <v>73</v>
      </c>
      <c r="B74" s="21" t="str">
        <f t="shared" si="25"/>
        <v>1.3.02a</v>
      </c>
      <c r="C74" s="2">
        <v>1</v>
      </c>
      <c r="D74" s="2">
        <v>3</v>
      </c>
      <c r="E74" s="2">
        <v>2</v>
      </c>
      <c r="F74" s="2" t="s">
        <v>90</v>
      </c>
      <c r="G74" s="2" t="s">
        <v>164</v>
      </c>
      <c r="H74" s="2">
        <v>2</v>
      </c>
      <c r="I74" s="19" t="str">
        <f t="shared" si="15"/>
        <v/>
      </c>
      <c r="J74" s="2" t="str">
        <f t="shared" si="16"/>
        <v/>
      </c>
      <c r="K74" s="2" t="str">
        <f t="shared" si="17"/>
        <v/>
      </c>
      <c r="L74" s="2" t="str">
        <f t="shared" si="18"/>
        <v/>
      </c>
      <c r="M74" s="2" t="str">
        <f t="shared" si="19"/>
        <v/>
      </c>
      <c r="N74" s="2">
        <f t="shared" si="20"/>
        <v>6</v>
      </c>
      <c r="O74" s="19">
        <f t="shared" si="21"/>
        <v>6</v>
      </c>
      <c r="Q74" s="2" t="str">
        <f t="shared" si="22"/>
        <v>02</v>
      </c>
      <c r="R74" s="21" t="str">
        <f t="shared" si="23"/>
        <v>1.3.02a</v>
      </c>
      <c r="S74" s="2" t="str">
        <f t="shared" si="24"/>
        <v/>
      </c>
      <c r="T74" s="2" t="str">
        <f t="shared" si="26"/>
        <v/>
      </c>
      <c r="U74" s="19" t="str">
        <f t="shared" si="27"/>
        <v/>
      </c>
    </row>
    <row r="75" spans="1:21" x14ac:dyDescent="0.2">
      <c r="A75" s="2">
        <v>74</v>
      </c>
      <c r="B75" s="21" t="str">
        <f t="shared" si="25"/>
        <v>1.3.02b</v>
      </c>
      <c r="C75" s="2">
        <v>1</v>
      </c>
      <c r="D75" s="2">
        <v>3</v>
      </c>
      <c r="E75" s="2">
        <v>2</v>
      </c>
      <c r="F75" s="2" t="s">
        <v>92</v>
      </c>
      <c r="G75" s="2" t="s">
        <v>165</v>
      </c>
      <c r="H75" s="2">
        <v>1</v>
      </c>
      <c r="I75" s="19" t="str">
        <f t="shared" si="15"/>
        <v/>
      </c>
      <c r="J75" s="2" t="str">
        <f t="shared" si="16"/>
        <v/>
      </c>
      <c r="K75" s="2" t="str">
        <f t="shared" si="17"/>
        <v/>
      </c>
      <c r="L75" s="2" t="str">
        <f t="shared" si="18"/>
        <v/>
      </c>
      <c r="M75" s="2" t="str">
        <f t="shared" si="19"/>
        <v/>
      </c>
      <c r="N75" s="2">
        <f t="shared" si="20"/>
        <v>6</v>
      </c>
      <c r="O75" s="19">
        <f t="shared" si="21"/>
        <v>6</v>
      </c>
      <c r="Q75" s="2" t="str">
        <f t="shared" si="22"/>
        <v>02</v>
      </c>
      <c r="R75" s="21" t="str">
        <f t="shared" si="23"/>
        <v>1.3.02b</v>
      </c>
      <c r="S75" s="2" t="str">
        <f t="shared" si="24"/>
        <v/>
      </c>
      <c r="T75" s="2" t="str">
        <f t="shared" si="26"/>
        <v/>
      </c>
      <c r="U75" s="19" t="str">
        <f t="shared" si="27"/>
        <v/>
      </c>
    </row>
    <row r="76" spans="1:21" x14ac:dyDescent="0.2">
      <c r="A76" s="2">
        <v>75</v>
      </c>
      <c r="B76" s="21" t="str">
        <f t="shared" si="25"/>
        <v>1.3.02c</v>
      </c>
      <c r="C76" s="2">
        <v>1</v>
      </c>
      <c r="D76" s="2">
        <v>3</v>
      </c>
      <c r="E76" s="2">
        <v>2</v>
      </c>
      <c r="F76" s="2" t="s">
        <v>94</v>
      </c>
      <c r="G76" s="2" t="s">
        <v>166</v>
      </c>
      <c r="H76" s="2">
        <v>2</v>
      </c>
      <c r="I76" s="19" t="str">
        <f t="shared" si="15"/>
        <v/>
      </c>
      <c r="J76" s="2" t="str">
        <f t="shared" si="16"/>
        <v/>
      </c>
      <c r="K76" s="2" t="str">
        <f t="shared" si="17"/>
        <v/>
      </c>
      <c r="L76" s="2" t="str">
        <f t="shared" si="18"/>
        <v/>
      </c>
      <c r="M76" s="2" t="str">
        <f t="shared" si="19"/>
        <v/>
      </c>
      <c r="N76" s="2">
        <f t="shared" si="20"/>
        <v>6</v>
      </c>
      <c r="O76" s="19">
        <f t="shared" si="21"/>
        <v>6</v>
      </c>
      <c r="Q76" s="2" t="str">
        <f t="shared" si="22"/>
        <v>02</v>
      </c>
      <c r="R76" s="21" t="str">
        <f t="shared" si="23"/>
        <v>1.3.02c</v>
      </c>
      <c r="S76" s="2" t="str">
        <f t="shared" si="24"/>
        <v/>
      </c>
      <c r="T76" s="2" t="str">
        <f t="shared" si="26"/>
        <v/>
      </c>
      <c r="U76" s="19" t="str">
        <f t="shared" si="27"/>
        <v/>
      </c>
    </row>
    <row r="77" spans="1:21" x14ac:dyDescent="0.2">
      <c r="A77" s="2">
        <v>76</v>
      </c>
      <c r="B77" s="21" t="str">
        <f t="shared" si="25"/>
        <v>1.3.03</v>
      </c>
      <c r="C77" s="2">
        <v>1</v>
      </c>
      <c r="D77" s="2">
        <v>3</v>
      </c>
      <c r="E77" s="2">
        <v>3</v>
      </c>
      <c r="F77" s="2" t="s">
        <v>84</v>
      </c>
      <c r="G77" s="2" t="s">
        <v>167</v>
      </c>
      <c r="H77" s="2">
        <v>2</v>
      </c>
      <c r="I77" s="19" t="str">
        <f t="shared" si="15"/>
        <v/>
      </c>
      <c r="J77" s="2" t="str">
        <f t="shared" si="16"/>
        <v/>
      </c>
      <c r="K77" s="2" t="str">
        <f t="shared" si="17"/>
        <v/>
      </c>
      <c r="L77" s="2" t="str">
        <f t="shared" si="18"/>
        <v/>
      </c>
      <c r="M77" s="2">
        <f t="shared" si="19"/>
        <v>5</v>
      </c>
      <c r="N77" s="2" t="str">
        <f t="shared" si="20"/>
        <v/>
      </c>
      <c r="O77" s="19">
        <f t="shared" si="21"/>
        <v>5</v>
      </c>
      <c r="Q77" s="2" t="str">
        <f t="shared" si="22"/>
        <v>03</v>
      </c>
      <c r="R77" s="21" t="str">
        <f t="shared" si="23"/>
        <v>1.3.03</v>
      </c>
      <c r="S77" s="2" t="str">
        <f t="shared" si="24"/>
        <v/>
      </c>
      <c r="T77" s="2" t="str">
        <f t="shared" si="26"/>
        <v/>
      </c>
      <c r="U77" s="19" t="str">
        <f t="shared" si="27"/>
        <v/>
      </c>
    </row>
    <row r="78" spans="1:21" x14ac:dyDescent="0.2">
      <c r="A78" s="2">
        <v>77</v>
      </c>
      <c r="B78" s="21" t="str">
        <f t="shared" si="25"/>
        <v>1.3.04</v>
      </c>
      <c r="C78" s="2">
        <v>1</v>
      </c>
      <c r="D78" s="2">
        <v>3</v>
      </c>
      <c r="E78" s="2">
        <v>4</v>
      </c>
      <c r="F78" s="2" t="s">
        <v>84</v>
      </c>
      <c r="G78" s="2" t="s">
        <v>168</v>
      </c>
      <c r="H78" s="2" t="s">
        <v>89</v>
      </c>
      <c r="I78" s="19" t="str">
        <f t="shared" si="15"/>
        <v/>
      </c>
      <c r="J78" s="2" t="str">
        <f t="shared" si="16"/>
        <v/>
      </c>
      <c r="K78" s="2" t="str">
        <f t="shared" si="17"/>
        <v/>
      </c>
      <c r="L78" s="2">
        <f t="shared" si="18"/>
        <v>4</v>
      </c>
      <c r="M78" s="2" t="str">
        <f t="shared" si="19"/>
        <v/>
      </c>
      <c r="N78" s="2" t="str">
        <f t="shared" si="20"/>
        <v/>
      </c>
      <c r="O78" s="19">
        <f t="shared" si="21"/>
        <v>4</v>
      </c>
      <c r="Q78" s="2" t="str">
        <f t="shared" si="22"/>
        <v>04</v>
      </c>
      <c r="R78" s="21" t="str">
        <f t="shared" si="23"/>
        <v>1.3.04</v>
      </c>
      <c r="S78" s="2" t="str">
        <f t="shared" si="24"/>
        <v/>
      </c>
      <c r="T78" s="2" t="str">
        <f t="shared" si="26"/>
        <v/>
      </c>
      <c r="U78" s="19" t="str">
        <f t="shared" si="27"/>
        <v/>
      </c>
    </row>
    <row r="79" spans="1:21" x14ac:dyDescent="0.2">
      <c r="A79" s="2">
        <v>78</v>
      </c>
      <c r="B79" s="21" t="str">
        <f t="shared" si="25"/>
        <v>1.3.04a</v>
      </c>
      <c r="C79" s="2">
        <v>1</v>
      </c>
      <c r="D79" s="2">
        <v>3</v>
      </c>
      <c r="E79" s="2">
        <v>4</v>
      </c>
      <c r="F79" s="2" t="s">
        <v>90</v>
      </c>
      <c r="G79" s="2" t="s">
        <v>169</v>
      </c>
      <c r="H79" s="2">
        <v>2</v>
      </c>
      <c r="I79" s="19" t="str">
        <f t="shared" si="15"/>
        <v/>
      </c>
      <c r="J79" s="2" t="str">
        <f t="shared" si="16"/>
        <v/>
      </c>
      <c r="K79" s="2" t="str">
        <f t="shared" si="17"/>
        <v/>
      </c>
      <c r="L79" s="2" t="str">
        <f t="shared" si="18"/>
        <v/>
      </c>
      <c r="M79" s="2" t="str">
        <f t="shared" si="19"/>
        <v/>
      </c>
      <c r="N79" s="2">
        <f t="shared" si="20"/>
        <v>6</v>
      </c>
      <c r="O79" s="19">
        <f t="shared" si="21"/>
        <v>6</v>
      </c>
      <c r="Q79" s="2" t="str">
        <f t="shared" si="22"/>
        <v>04</v>
      </c>
      <c r="R79" s="21" t="str">
        <f t="shared" si="23"/>
        <v>1.3.04a</v>
      </c>
      <c r="S79" s="2" t="str">
        <f t="shared" si="24"/>
        <v/>
      </c>
      <c r="T79" s="2" t="str">
        <f t="shared" si="26"/>
        <v/>
      </c>
      <c r="U79" s="19" t="str">
        <f t="shared" si="27"/>
        <v/>
      </c>
    </row>
    <row r="80" spans="1:21" x14ac:dyDescent="0.2">
      <c r="A80" s="2">
        <v>79</v>
      </c>
      <c r="B80" s="21" t="str">
        <f t="shared" si="25"/>
        <v>1.3.04b</v>
      </c>
      <c r="C80" s="2">
        <v>1</v>
      </c>
      <c r="D80" s="2">
        <v>3</v>
      </c>
      <c r="E80" s="2">
        <v>4</v>
      </c>
      <c r="F80" s="2" t="s">
        <v>92</v>
      </c>
      <c r="G80" s="2" t="s">
        <v>170</v>
      </c>
      <c r="H80" s="2">
        <v>2</v>
      </c>
      <c r="I80" s="19" t="str">
        <f t="shared" si="15"/>
        <v/>
      </c>
      <c r="J80" s="2" t="str">
        <f t="shared" si="16"/>
        <v/>
      </c>
      <c r="K80" s="2" t="str">
        <f t="shared" si="17"/>
        <v/>
      </c>
      <c r="L80" s="2" t="str">
        <f t="shared" si="18"/>
        <v/>
      </c>
      <c r="M80" s="2" t="str">
        <f t="shared" si="19"/>
        <v/>
      </c>
      <c r="N80" s="2">
        <f t="shared" si="20"/>
        <v>6</v>
      </c>
      <c r="O80" s="19">
        <f t="shared" si="21"/>
        <v>6</v>
      </c>
      <c r="Q80" s="2" t="str">
        <f t="shared" si="22"/>
        <v>04</v>
      </c>
      <c r="R80" s="21" t="str">
        <f t="shared" si="23"/>
        <v>1.3.04b</v>
      </c>
      <c r="S80" s="2" t="str">
        <f t="shared" si="24"/>
        <v/>
      </c>
      <c r="T80" s="2" t="str">
        <f t="shared" si="26"/>
        <v/>
      </c>
      <c r="U80" s="19" t="str">
        <f t="shared" si="27"/>
        <v/>
      </c>
    </row>
    <row r="81" spans="1:21" x14ac:dyDescent="0.2">
      <c r="A81" s="2">
        <v>80</v>
      </c>
      <c r="B81" s="21" t="str">
        <f t="shared" si="25"/>
        <v>1.3.05</v>
      </c>
      <c r="C81" s="2">
        <v>1</v>
      </c>
      <c r="D81" s="2">
        <v>3</v>
      </c>
      <c r="E81" s="2">
        <v>5</v>
      </c>
      <c r="F81" s="2" t="s">
        <v>84</v>
      </c>
      <c r="G81" s="2" t="s">
        <v>171</v>
      </c>
      <c r="H81" s="2" t="s">
        <v>89</v>
      </c>
      <c r="I81" s="19" t="str">
        <f t="shared" si="15"/>
        <v/>
      </c>
      <c r="J81" s="2" t="str">
        <f t="shared" si="16"/>
        <v/>
      </c>
      <c r="K81" s="2" t="str">
        <f t="shared" si="17"/>
        <v/>
      </c>
      <c r="L81" s="2">
        <f t="shared" si="18"/>
        <v>4</v>
      </c>
      <c r="M81" s="2" t="str">
        <f t="shared" si="19"/>
        <v/>
      </c>
      <c r="N81" s="2" t="str">
        <f t="shared" si="20"/>
        <v/>
      </c>
      <c r="O81" s="19">
        <f t="shared" si="21"/>
        <v>4</v>
      </c>
      <c r="Q81" s="2" t="str">
        <f t="shared" si="22"/>
        <v>05</v>
      </c>
      <c r="R81" s="21" t="str">
        <f t="shared" si="23"/>
        <v>1.3.05</v>
      </c>
      <c r="S81" s="2" t="str">
        <f t="shared" si="24"/>
        <v/>
      </c>
      <c r="T81" s="2" t="str">
        <f t="shared" si="26"/>
        <v/>
      </c>
      <c r="U81" s="19" t="str">
        <f t="shared" si="27"/>
        <v/>
      </c>
    </row>
    <row r="82" spans="1:21" x14ac:dyDescent="0.2">
      <c r="A82" s="2">
        <v>81</v>
      </c>
      <c r="B82" s="21" t="str">
        <f t="shared" si="25"/>
        <v>1.3.05a</v>
      </c>
      <c r="C82" s="2">
        <v>1</v>
      </c>
      <c r="D82" s="2">
        <v>3</v>
      </c>
      <c r="E82" s="2">
        <v>5</v>
      </c>
      <c r="F82" s="2" t="s">
        <v>90</v>
      </c>
      <c r="G82" s="2" t="s">
        <v>172</v>
      </c>
      <c r="H82" s="2">
        <v>2</v>
      </c>
      <c r="I82" s="19" t="str">
        <f t="shared" si="15"/>
        <v/>
      </c>
      <c r="J82" s="2" t="str">
        <f t="shared" si="16"/>
        <v/>
      </c>
      <c r="K82" s="2" t="str">
        <f t="shared" si="17"/>
        <v/>
      </c>
      <c r="L82" s="2" t="str">
        <f t="shared" si="18"/>
        <v/>
      </c>
      <c r="M82" s="2" t="str">
        <f t="shared" si="19"/>
        <v/>
      </c>
      <c r="N82" s="2">
        <f t="shared" si="20"/>
        <v>6</v>
      </c>
      <c r="O82" s="19">
        <f t="shared" si="21"/>
        <v>6</v>
      </c>
      <c r="Q82" s="2" t="str">
        <f t="shared" si="22"/>
        <v>05</v>
      </c>
      <c r="R82" s="21" t="str">
        <f t="shared" si="23"/>
        <v>1.3.05a</v>
      </c>
      <c r="S82" s="2" t="str">
        <f t="shared" si="24"/>
        <v/>
      </c>
      <c r="T82" s="2" t="str">
        <f t="shared" si="26"/>
        <v/>
      </c>
      <c r="U82" s="19" t="str">
        <f t="shared" si="27"/>
        <v/>
      </c>
    </row>
    <row r="83" spans="1:21" x14ac:dyDescent="0.2">
      <c r="A83" s="2">
        <v>82</v>
      </c>
      <c r="B83" s="21" t="str">
        <f t="shared" si="25"/>
        <v>1.3.05b</v>
      </c>
      <c r="C83" s="2">
        <v>1</v>
      </c>
      <c r="D83" s="2">
        <v>3</v>
      </c>
      <c r="E83" s="2">
        <v>5</v>
      </c>
      <c r="F83" s="2" t="s">
        <v>92</v>
      </c>
      <c r="G83" s="2" t="s">
        <v>173</v>
      </c>
      <c r="H83" s="2">
        <v>3</v>
      </c>
      <c r="I83" s="19" t="str">
        <f t="shared" si="15"/>
        <v/>
      </c>
      <c r="J83" s="2" t="str">
        <f t="shared" si="16"/>
        <v/>
      </c>
      <c r="K83" s="2" t="str">
        <f t="shared" si="17"/>
        <v/>
      </c>
      <c r="L83" s="2" t="str">
        <f t="shared" si="18"/>
        <v/>
      </c>
      <c r="M83" s="2" t="str">
        <f t="shared" si="19"/>
        <v/>
      </c>
      <c r="N83" s="2">
        <f t="shared" si="20"/>
        <v>6</v>
      </c>
      <c r="O83" s="19">
        <f t="shared" si="21"/>
        <v>6</v>
      </c>
      <c r="Q83" s="2" t="str">
        <f t="shared" si="22"/>
        <v>05</v>
      </c>
      <c r="R83" s="21" t="str">
        <f t="shared" si="23"/>
        <v>1.3.05b</v>
      </c>
      <c r="S83" s="2" t="str">
        <f t="shared" si="24"/>
        <v/>
      </c>
      <c r="T83" s="2" t="str">
        <f t="shared" si="26"/>
        <v/>
      </c>
      <c r="U83" s="19" t="str">
        <f t="shared" si="27"/>
        <v/>
      </c>
    </row>
    <row r="84" spans="1:21" x14ac:dyDescent="0.2">
      <c r="A84" s="2">
        <v>83</v>
      </c>
      <c r="B84" s="21" t="str">
        <f t="shared" si="25"/>
        <v>1.3.05c</v>
      </c>
      <c r="C84" s="2">
        <v>1</v>
      </c>
      <c r="D84" s="2">
        <v>3</v>
      </c>
      <c r="E84" s="2">
        <v>5</v>
      </c>
      <c r="F84" s="2" t="s">
        <v>94</v>
      </c>
      <c r="G84" s="2" t="s">
        <v>174</v>
      </c>
      <c r="H84" s="2">
        <v>3</v>
      </c>
      <c r="I84" s="19" t="str">
        <f t="shared" si="15"/>
        <v/>
      </c>
      <c r="J84" s="2" t="str">
        <f t="shared" si="16"/>
        <v/>
      </c>
      <c r="K84" s="2" t="str">
        <f t="shared" si="17"/>
        <v/>
      </c>
      <c r="L84" s="2" t="str">
        <f t="shared" si="18"/>
        <v/>
      </c>
      <c r="M84" s="2" t="str">
        <f t="shared" si="19"/>
        <v/>
      </c>
      <c r="N84" s="2">
        <f t="shared" si="20"/>
        <v>6</v>
      </c>
      <c r="O84" s="19">
        <f t="shared" si="21"/>
        <v>6</v>
      </c>
      <c r="Q84" s="2" t="str">
        <f t="shared" si="22"/>
        <v>05</v>
      </c>
      <c r="R84" s="21" t="str">
        <f t="shared" si="23"/>
        <v>1.3.05c</v>
      </c>
      <c r="S84" s="2" t="str">
        <f t="shared" si="24"/>
        <v/>
      </c>
      <c r="T84" s="2" t="str">
        <f t="shared" si="26"/>
        <v/>
      </c>
      <c r="U84" s="19" t="str">
        <f t="shared" si="27"/>
        <v/>
      </c>
    </row>
    <row r="85" spans="1:21" x14ac:dyDescent="0.2">
      <c r="A85" s="2">
        <v>84</v>
      </c>
      <c r="B85" s="21" t="str">
        <f t="shared" si="25"/>
        <v>1.3.05d</v>
      </c>
      <c r="C85" s="2">
        <v>1</v>
      </c>
      <c r="D85" s="2">
        <v>3</v>
      </c>
      <c r="E85" s="2">
        <v>5</v>
      </c>
      <c r="F85" s="2" t="s">
        <v>112</v>
      </c>
      <c r="G85" s="2" t="s">
        <v>175</v>
      </c>
      <c r="H85" s="2">
        <v>2</v>
      </c>
      <c r="I85" s="19" t="str">
        <f t="shared" si="15"/>
        <v/>
      </c>
      <c r="J85" s="2" t="str">
        <f t="shared" si="16"/>
        <v/>
      </c>
      <c r="K85" s="2" t="str">
        <f t="shared" si="17"/>
        <v/>
      </c>
      <c r="L85" s="2" t="str">
        <f t="shared" si="18"/>
        <v/>
      </c>
      <c r="M85" s="2" t="str">
        <f t="shared" si="19"/>
        <v/>
      </c>
      <c r="N85" s="2">
        <f t="shared" si="20"/>
        <v>6</v>
      </c>
      <c r="O85" s="19">
        <f t="shared" si="21"/>
        <v>6</v>
      </c>
      <c r="Q85" s="2" t="str">
        <f t="shared" si="22"/>
        <v>05</v>
      </c>
      <c r="R85" s="21" t="str">
        <f t="shared" si="23"/>
        <v>1.3.05d</v>
      </c>
      <c r="S85" s="2" t="str">
        <f t="shared" si="24"/>
        <v/>
      </c>
      <c r="T85" s="2" t="str">
        <f t="shared" si="26"/>
        <v/>
      </c>
      <c r="U85" s="19" t="str">
        <f t="shared" si="27"/>
        <v/>
      </c>
    </row>
    <row r="86" spans="1:21" x14ac:dyDescent="0.2">
      <c r="A86" s="2">
        <v>85</v>
      </c>
      <c r="B86" s="21" t="str">
        <f t="shared" si="25"/>
        <v>1.3.06</v>
      </c>
      <c r="C86" s="2">
        <v>1</v>
      </c>
      <c r="D86" s="2">
        <v>3</v>
      </c>
      <c r="E86" s="2">
        <v>6</v>
      </c>
      <c r="F86" s="2" t="s">
        <v>84</v>
      </c>
      <c r="G86" s="2" t="s">
        <v>176</v>
      </c>
      <c r="H86" s="2" t="s">
        <v>89</v>
      </c>
      <c r="I86" s="19" t="str">
        <f t="shared" si="15"/>
        <v/>
      </c>
      <c r="J86" s="2" t="str">
        <f t="shared" si="16"/>
        <v/>
      </c>
      <c r="K86" s="2" t="str">
        <f t="shared" si="17"/>
        <v/>
      </c>
      <c r="L86" s="2">
        <f t="shared" si="18"/>
        <v>4</v>
      </c>
      <c r="M86" s="2" t="str">
        <f t="shared" si="19"/>
        <v/>
      </c>
      <c r="N86" s="2" t="str">
        <f t="shared" si="20"/>
        <v/>
      </c>
      <c r="O86" s="19">
        <f t="shared" si="21"/>
        <v>4</v>
      </c>
      <c r="Q86" s="2" t="str">
        <f t="shared" si="22"/>
        <v>06</v>
      </c>
      <c r="R86" s="21" t="str">
        <f t="shared" si="23"/>
        <v>1.3.06</v>
      </c>
      <c r="S86" s="2" t="str">
        <f t="shared" si="24"/>
        <v/>
      </c>
      <c r="T86" s="2" t="str">
        <f t="shared" si="26"/>
        <v/>
      </c>
      <c r="U86" s="19" t="str">
        <f t="shared" si="27"/>
        <v/>
      </c>
    </row>
    <row r="87" spans="1:21" x14ac:dyDescent="0.2">
      <c r="A87" s="2">
        <v>86</v>
      </c>
      <c r="B87" s="21" t="str">
        <f t="shared" si="25"/>
        <v>1.3.06a</v>
      </c>
      <c r="C87" s="2">
        <v>1</v>
      </c>
      <c r="D87" s="2">
        <v>3</v>
      </c>
      <c r="E87" s="2">
        <v>6</v>
      </c>
      <c r="F87" s="2" t="s">
        <v>90</v>
      </c>
      <c r="G87" s="2" t="s">
        <v>177</v>
      </c>
      <c r="H87" s="2">
        <v>3</v>
      </c>
      <c r="I87" s="19" t="str">
        <f t="shared" si="15"/>
        <v/>
      </c>
      <c r="J87" s="2" t="str">
        <f t="shared" si="16"/>
        <v/>
      </c>
      <c r="K87" s="2" t="str">
        <f t="shared" si="17"/>
        <v/>
      </c>
      <c r="L87" s="2" t="str">
        <f t="shared" si="18"/>
        <v/>
      </c>
      <c r="M87" s="2" t="str">
        <f t="shared" si="19"/>
        <v/>
      </c>
      <c r="N87" s="2">
        <f t="shared" si="20"/>
        <v>6</v>
      </c>
      <c r="O87" s="19">
        <f t="shared" si="21"/>
        <v>6</v>
      </c>
      <c r="Q87" s="2" t="str">
        <f t="shared" si="22"/>
        <v>06</v>
      </c>
      <c r="R87" s="21" t="str">
        <f t="shared" si="23"/>
        <v>1.3.06a</v>
      </c>
      <c r="S87" s="2" t="str">
        <f t="shared" si="24"/>
        <v/>
      </c>
      <c r="T87" s="2" t="str">
        <f t="shared" si="26"/>
        <v/>
      </c>
      <c r="U87" s="19" t="str">
        <f t="shared" si="27"/>
        <v/>
      </c>
    </row>
    <row r="88" spans="1:21" x14ac:dyDescent="0.2">
      <c r="A88" s="2">
        <v>87</v>
      </c>
      <c r="B88" s="21" t="str">
        <f t="shared" si="25"/>
        <v>1.3.06b</v>
      </c>
      <c r="C88" s="2">
        <v>1</v>
      </c>
      <c r="D88" s="2">
        <v>3</v>
      </c>
      <c r="E88" s="2">
        <v>6</v>
      </c>
      <c r="F88" s="2" t="s">
        <v>92</v>
      </c>
      <c r="G88" s="2" t="s">
        <v>178</v>
      </c>
      <c r="H88" s="2">
        <v>3</v>
      </c>
      <c r="I88" s="19" t="str">
        <f t="shared" si="15"/>
        <v/>
      </c>
      <c r="J88" s="2" t="str">
        <f t="shared" si="16"/>
        <v/>
      </c>
      <c r="K88" s="2" t="str">
        <f t="shared" si="17"/>
        <v/>
      </c>
      <c r="L88" s="2" t="str">
        <f t="shared" si="18"/>
        <v/>
      </c>
      <c r="M88" s="2" t="str">
        <f t="shared" si="19"/>
        <v/>
      </c>
      <c r="N88" s="2">
        <f t="shared" si="20"/>
        <v>6</v>
      </c>
      <c r="O88" s="19">
        <f t="shared" si="21"/>
        <v>6</v>
      </c>
      <c r="Q88" s="2" t="str">
        <f t="shared" si="22"/>
        <v>06</v>
      </c>
      <c r="R88" s="21" t="str">
        <f t="shared" si="23"/>
        <v>1.3.06b</v>
      </c>
      <c r="S88" s="2" t="str">
        <f t="shared" si="24"/>
        <v/>
      </c>
      <c r="T88" s="2" t="str">
        <f t="shared" si="26"/>
        <v/>
      </c>
      <c r="U88" s="19" t="str">
        <f t="shared" si="27"/>
        <v/>
      </c>
    </row>
    <row r="89" spans="1:21" x14ac:dyDescent="0.2">
      <c r="A89" s="2">
        <v>88</v>
      </c>
      <c r="B89" s="21" t="str">
        <f t="shared" si="25"/>
        <v>1.3.06c</v>
      </c>
      <c r="C89" s="2">
        <v>1</v>
      </c>
      <c r="D89" s="2">
        <v>3</v>
      </c>
      <c r="E89" s="2">
        <v>6</v>
      </c>
      <c r="F89" s="2" t="s">
        <v>94</v>
      </c>
      <c r="G89" s="2" t="s">
        <v>179</v>
      </c>
      <c r="H89" s="2">
        <v>3</v>
      </c>
      <c r="I89" s="19" t="str">
        <f t="shared" si="15"/>
        <v/>
      </c>
      <c r="J89" s="2" t="str">
        <f t="shared" si="16"/>
        <v/>
      </c>
      <c r="K89" s="2" t="str">
        <f t="shared" si="17"/>
        <v/>
      </c>
      <c r="L89" s="2" t="str">
        <f t="shared" si="18"/>
        <v/>
      </c>
      <c r="M89" s="2" t="str">
        <f t="shared" si="19"/>
        <v/>
      </c>
      <c r="N89" s="2">
        <f t="shared" si="20"/>
        <v>6</v>
      </c>
      <c r="O89" s="19">
        <f t="shared" si="21"/>
        <v>6</v>
      </c>
      <c r="Q89" s="2" t="str">
        <f t="shared" si="22"/>
        <v>06</v>
      </c>
      <c r="R89" s="21" t="str">
        <f t="shared" si="23"/>
        <v>1.3.06c</v>
      </c>
      <c r="S89" s="2" t="str">
        <f t="shared" si="24"/>
        <v/>
      </c>
      <c r="T89" s="2" t="str">
        <f t="shared" si="26"/>
        <v/>
      </c>
      <c r="U89" s="19" t="str">
        <f t="shared" si="27"/>
        <v/>
      </c>
    </row>
    <row r="90" spans="1:21" x14ac:dyDescent="0.2">
      <c r="A90" s="2">
        <v>89</v>
      </c>
      <c r="B90" s="21" t="str">
        <f t="shared" si="25"/>
        <v>1.3.07</v>
      </c>
      <c r="C90" s="2">
        <v>1</v>
      </c>
      <c r="D90" s="2">
        <v>3</v>
      </c>
      <c r="E90" s="2">
        <v>7</v>
      </c>
      <c r="F90" s="2" t="s">
        <v>84</v>
      </c>
      <c r="G90" s="2" t="s">
        <v>180</v>
      </c>
      <c r="H90" s="2" t="s">
        <v>89</v>
      </c>
      <c r="I90" s="19" t="str">
        <f t="shared" si="15"/>
        <v/>
      </c>
      <c r="J90" s="2" t="str">
        <f t="shared" si="16"/>
        <v/>
      </c>
      <c r="K90" s="2" t="str">
        <f t="shared" si="17"/>
        <v/>
      </c>
      <c r="L90" s="2">
        <f t="shared" si="18"/>
        <v>4</v>
      </c>
      <c r="M90" s="2" t="str">
        <f t="shared" si="19"/>
        <v/>
      </c>
      <c r="N90" s="2" t="str">
        <f t="shared" si="20"/>
        <v/>
      </c>
      <c r="O90" s="19">
        <f t="shared" si="21"/>
        <v>4</v>
      </c>
      <c r="Q90" s="2" t="str">
        <f t="shared" si="22"/>
        <v>07</v>
      </c>
      <c r="R90" s="21" t="str">
        <f t="shared" si="23"/>
        <v>1.3.07</v>
      </c>
      <c r="S90" s="2" t="str">
        <f t="shared" si="24"/>
        <v/>
      </c>
      <c r="T90" s="2" t="str">
        <f t="shared" si="26"/>
        <v/>
      </c>
      <c r="U90" s="19" t="str">
        <f t="shared" si="27"/>
        <v/>
      </c>
    </row>
    <row r="91" spans="1:21" x14ac:dyDescent="0.2">
      <c r="A91" s="2">
        <v>90</v>
      </c>
      <c r="B91" s="21" t="str">
        <f t="shared" si="25"/>
        <v>1.3.07a</v>
      </c>
      <c r="C91" s="2">
        <v>1</v>
      </c>
      <c r="D91" s="2">
        <v>3</v>
      </c>
      <c r="E91" s="2">
        <v>7</v>
      </c>
      <c r="F91" s="2" t="s">
        <v>90</v>
      </c>
      <c r="G91" s="2" t="s">
        <v>181</v>
      </c>
      <c r="H91" s="2">
        <v>4</v>
      </c>
      <c r="I91" s="19" t="str">
        <f t="shared" si="15"/>
        <v/>
      </c>
      <c r="J91" s="2" t="str">
        <f t="shared" si="16"/>
        <v/>
      </c>
      <c r="K91" s="2" t="str">
        <f t="shared" si="17"/>
        <v/>
      </c>
      <c r="L91" s="2" t="str">
        <f t="shared" si="18"/>
        <v/>
      </c>
      <c r="M91" s="2" t="str">
        <f t="shared" si="19"/>
        <v/>
      </c>
      <c r="N91" s="2">
        <f t="shared" si="20"/>
        <v>6</v>
      </c>
      <c r="O91" s="19">
        <f t="shared" si="21"/>
        <v>6</v>
      </c>
      <c r="Q91" s="2" t="str">
        <f t="shared" si="22"/>
        <v>07</v>
      </c>
      <c r="R91" s="21" t="str">
        <f t="shared" si="23"/>
        <v>1.3.07a</v>
      </c>
      <c r="S91" s="2" t="str">
        <f t="shared" si="24"/>
        <v/>
      </c>
      <c r="T91" s="2" t="str">
        <f t="shared" si="26"/>
        <v/>
      </c>
      <c r="U91" s="19" t="str">
        <f t="shared" si="27"/>
        <v/>
      </c>
    </row>
    <row r="92" spans="1:21" x14ac:dyDescent="0.2">
      <c r="A92" s="2">
        <v>91</v>
      </c>
      <c r="B92" s="21" t="str">
        <f t="shared" si="25"/>
        <v>1.3.07b</v>
      </c>
      <c r="C92" s="2">
        <v>1</v>
      </c>
      <c r="D92" s="2">
        <v>3</v>
      </c>
      <c r="E92" s="2">
        <v>7</v>
      </c>
      <c r="F92" s="2" t="s">
        <v>92</v>
      </c>
      <c r="G92" s="2" t="s">
        <v>182</v>
      </c>
      <c r="H92" s="2">
        <v>3</v>
      </c>
      <c r="I92" s="19" t="str">
        <f t="shared" si="15"/>
        <v/>
      </c>
      <c r="J92" s="2" t="str">
        <f t="shared" si="16"/>
        <v/>
      </c>
      <c r="K92" s="2" t="str">
        <f t="shared" si="17"/>
        <v/>
      </c>
      <c r="L92" s="2" t="str">
        <f t="shared" si="18"/>
        <v/>
      </c>
      <c r="M92" s="2" t="str">
        <f t="shared" si="19"/>
        <v/>
      </c>
      <c r="N92" s="2">
        <f t="shared" si="20"/>
        <v>6</v>
      </c>
      <c r="O92" s="19">
        <f t="shared" si="21"/>
        <v>6</v>
      </c>
      <c r="Q92" s="2" t="str">
        <f t="shared" si="22"/>
        <v>07</v>
      </c>
      <c r="R92" s="21" t="str">
        <f t="shared" si="23"/>
        <v>1.3.07b</v>
      </c>
      <c r="S92" s="2" t="str">
        <f t="shared" si="24"/>
        <v/>
      </c>
      <c r="T92" s="2" t="str">
        <f t="shared" si="26"/>
        <v/>
      </c>
      <c r="U92" s="19" t="str">
        <f t="shared" si="27"/>
        <v/>
      </c>
    </row>
    <row r="93" spans="1:21" x14ac:dyDescent="0.2">
      <c r="A93" s="2">
        <v>92</v>
      </c>
      <c r="B93" s="21" t="str">
        <f t="shared" si="25"/>
        <v>1.3.07c</v>
      </c>
      <c r="C93" s="2">
        <v>1</v>
      </c>
      <c r="D93" s="2">
        <v>3</v>
      </c>
      <c r="E93" s="2">
        <v>7</v>
      </c>
      <c r="F93" s="2" t="s">
        <v>94</v>
      </c>
      <c r="G93" s="2" t="s">
        <v>183</v>
      </c>
      <c r="H93" s="2">
        <v>4</v>
      </c>
      <c r="I93" s="19" t="str">
        <f t="shared" si="15"/>
        <v/>
      </c>
      <c r="J93" s="2" t="str">
        <f t="shared" si="16"/>
        <v/>
      </c>
      <c r="K93" s="2" t="str">
        <f t="shared" si="17"/>
        <v/>
      </c>
      <c r="L93" s="2" t="str">
        <f t="shared" si="18"/>
        <v/>
      </c>
      <c r="M93" s="2" t="str">
        <f t="shared" si="19"/>
        <v/>
      </c>
      <c r="N93" s="2">
        <f t="shared" si="20"/>
        <v>6</v>
      </c>
      <c r="O93" s="19">
        <f t="shared" si="21"/>
        <v>6</v>
      </c>
      <c r="Q93" s="2" t="str">
        <f t="shared" si="22"/>
        <v>07</v>
      </c>
      <c r="R93" s="21" t="str">
        <f t="shared" si="23"/>
        <v>1.3.07c</v>
      </c>
      <c r="S93" s="2" t="str">
        <f t="shared" si="24"/>
        <v/>
      </c>
      <c r="T93" s="2" t="str">
        <f t="shared" si="26"/>
        <v/>
      </c>
      <c r="U93" s="19" t="str">
        <f t="shared" si="27"/>
        <v/>
      </c>
    </row>
    <row r="94" spans="1:21" x14ac:dyDescent="0.2">
      <c r="A94" s="2">
        <v>93</v>
      </c>
      <c r="B94" s="21" t="str">
        <f t="shared" si="25"/>
        <v>1.3.07d</v>
      </c>
      <c r="C94" s="2">
        <v>1</v>
      </c>
      <c r="D94" s="2">
        <v>3</v>
      </c>
      <c r="E94" s="2">
        <v>7</v>
      </c>
      <c r="F94" s="2" t="s">
        <v>112</v>
      </c>
      <c r="G94" s="2" t="s">
        <v>184</v>
      </c>
      <c r="H94" s="2">
        <v>3</v>
      </c>
      <c r="I94" s="19" t="str">
        <f t="shared" si="15"/>
        <v/>
      </c>
      <c r="J94" s="2" t="str">
        <f t="shared" si="16"/>
        <v/>
      </c>
      <c r="K94" s="2" t="str">
        <f t="shared" si="17"/>
        <v/>
      </c>
      <c r="L94" s="2" t="str">
        <f t="shared" si="18"/>
        <v/>
      </c>
      <c r="M94" s="2" t="str">
        <f t="shared" si="19"/>
        <v/>
      </c>
      <c r="N94" s="2">
        <f t="shared" si="20"/>
        <v>6</v>
      </c>
      <c r="O94" s="19">
        <f t="shared" si="21"/>
        <v>6</v>
      </c>
      <c r="Q94" s="2" t="str">
        <f t="shared" si="22"/>
        <v>07</v>
      </c>
      <c r="R94" s="21" t="str">
        <f t="shared" si="23"/>
        <v>1.3.07d</v>
      </c>
      <c r="S94" s="2" t="str">
        <f t="shared" si="24"/>
        <v/>
      </c>
      <c r="T94" s="2" t="str">
        <f t="shared" si="26"/>
        <v/>
      </c>
      <c r="U94" s="19" t="str">
        <f t="shared" si="27"/>
        <v/>
      </c>
    </row>
    <row r="95" spans="1:21" x14ac:dyDescent="0.2">
      <c r="A95" s="2">
        <v>94</v>
      </c>
      <c r="B95" s="21" t="str">
        <f t="shared" si="25"/>
        <v>1.3.07e</v>
      </c>
      <c r="C95" s="2">
        <v>1</v>
      </c>
      <c r="D95" s="2">
        <v>3</v>
      </c>
      <c r="E95" s="2">
        <v>7</v>
      </c>
      <c r="F95" s="2" t="s">
        <v>114</v>
      </c>
      <c r="G95" s="2" t="s">
        <v>185</v>
      </c>
      <c r="H95" s="2">
        <v>5</v>
      </c>
      <c r="I95" s="19" t="str">
        <f t="shared" si="15"/>
        <v/>
      </c>
      <c r="J95" s="2" t="str">
        <f t="shared" si="16"/>
        <v/>
      </c>
      <c r="K95" s="2" t="str">
        <f t="shared" si="17"/>
        <v/>
      </c>
      <c r="L95" s="2" t="str">
        <f t="shared" si="18"/>
        <v/>
      </c>
      <c r="M95" s="2" t="str">
        <f t="shared" si="19"/>
        <v/>
      </c>
      <c r="N95" s="2">
        <f t="shared" si="20"/>
        <v>6</v>
      </c>
      <c r="O95" s="19">
        <f t="shared" si="21"/>
        <v>6</v>
      </c>
      <c r="Q95" s="2" t="str">
        <f t="shared" si="22"/>
        <v>07</v>
      </c>
      <c r="R95" s="21" t="str">
        <f t="shared" si="23"/>
        <v>1.3.07e</v>
      </c>
      <c r="S95" s="2" t="str">
        <f t="shared" si="24"/>
        <v/>
      </c>
      <c r="T95" s="2" t="str">
        <f t="shared" si="26"/>
        <v/>
      </c>
      <c r="U95" s="19" t="str">
        <f t="shared" si="27"/>
        <v/>
      </c>
    </row>
    <row r="96" spans="1:21" x14ac:dyDescent="0.2">
      <c r="A96" s="2">
        <v>95</v>
      </c>
      <c r="B96" s="21" t="str">
        <f t="shared" si="25"/>
        <v>1.3.07f</v>
      </c>
      <c r="C96" s="2">
        <v>1</v>
      </c>
      <c r="D96" s="2">
        <v>3</v>
      </c>
      <c r="E96" s="2">
        <v>7</v>
      </c>
      <c r="F96" s="2" t="s">
        <v>129</v>
      </c>
      <c r="G96" s="2" t="s">
        <v>186</v>
      </c>
      <c r="H96" s="2">
        <v>5</v>
      </c>
      <c r="I96" s="19" t="str">
        <f t="shared" si="15"/>
        <v/>
      </c>
      <c r="J96" s="2" t="str">
        <f t="shared" si="16"/>
        <v/>
      </c>
      <c r="K96" s="2" t="str">
        <f t="shared" si="17"/>
        <v/>
      </c>
      <c r="L96" s="2" t="str">
        <f t="shared" si="18"/>
        <v/>
      </c>
      <c r="M96" s="2" t="str">
        <f t="shared" si="19"/>
        <v/>
      </c>
      <c r="N96" s="2">
        <f t="shared" si="20"/>
        <v>6</v>
      </c>
      <c r="O96" s="19">
        <f t="shared" si="21"/>
        <v>6</v>
      </c>
      <c r="Q96" s="2" t="str">
        <f t="shared" si="22"/>
        <v>07</v>
      </c>
      <c r="R96" s="21" t="str">
        <f t="shared" si="23"/>
        <v>1.3.07f</v>
      </c>
      <c r="S96" s="2" t="str">
        <f t="shared" si="24"/>
        <v/>
      </c>
      <c r="T96" s="2" t="str">
        <f t="shared" si="26"/>
        <v/>
      </c>
      <c r="U96" s="19" t="str">
        <f t="shared" si="27"/>
        <v/>
      </c>
    </row>
    <row r="97" spans="1:21" x14ac:dyDescent="0.2">
      <c r="A97" s="2">
        <v>96</v>
      </c>
      <c r="B97" s="21" t="str">
        <f t="shared" si="25"/>
        <v>1.3.08</v>
      </c>
      <c r="C97" s="2">
        <v>1</v>
      </c>
      <c r="D97" s="2">
        <v>3</v>
      </c>
      <c r="E97" s="2">
        <v>8</v>
      </c>
      <c r="F97" s="2" t="s">
        <v>84</v>
      </c>
      <c r="G97" s="2" t="s">
        <v>187</v>
      </c>
      <c r="H97" s="2">
        <v>4</v>
      </c>
      <c r="I97" s="19" t="str">
        <f t="shared" si="15"/>
        <v/>
      </c>
      <c r="J97" s="2" t="str">
        <f t="shared" si="16"/>
        <v/>
      </c>
      <c r="K97" s="2" t="str">
        <f t="shared" si="17"/>
        <v/>
      </c>
      <c r="L97" s="2" t="str">
        <f t="shared" si="18"/>
        <v/>
      </c>
      <c r="M97" s="2">
        <f t="shared" si="19"/>
        <v>5</v>
      </c>
      <c r="N97" s="2" t="str">
        <f t="shared" si="20"/>
        <v/>
      </c>
      <c r="O97" s="19">
        <f t="shared" si="21"/>
        <v>5</v>
      </c>
      <c r="Q97" s="2" t="str">
        <f t="shared" si="22"/>
        <v>08</v>
      </c>
      <c r="R97" s="21" t="str">
        <f t="shared" si="23"/>
        <v>1.3.08</v>
      </c>
      <c r="S97" s="2" t="str">
        <f t="shared" si="24"/>
        <v/>
      </c>
      <c r="T97" s="2" t="str">
        <f t="shared" si="26"/>
        <v/>
      </c>
      <c r="U97" s="19" t="str">
        <f t="shared" si="27"/>
        <v/>
      </c>
    </row>
    <row r="98" spans="1:21" x14ac:dyDescent="0.2">
      <c r="A98" s="2">
        <v>97</v>
      </c>
      <c r="B98" s="21" t="str">
        <f t="shared" si="25"/>
        <v>1.3.09</v>
      </c>
      <c r="C98" s="2">
        <v>1</v>
      </c>
      <c r="D98" s="2">
        <v>3</v>
      </c>
      <c r="E98" s="2">
        <v>9</v>
      </c>
      <c r="F98" s="2" t="s">
        <v>84</v>
      </c>
      <c r="G98" s="2" t="s">
        <v>188</v>
      </c>
      <c r="H98" s="2" t="s">
        <v>89</v>
      </c>
      <c r="I98" s="19" t="str">
        <f t="shared" si="15"/>
        <v/>
      </c>
      <c r="J98" s="2" t="str">
        <f t="shared" si="16"/>
        <v/>
      </c>
      <c r="K98" s="2" t="str">
        <f t="shared" si="17"/>
        <v/>
      </c>
      <c r="L98" s="2">
        <f t="shared" si="18"/>
        <v>4</v>
      </c>
      <c r="M98" s="2" t="str">
        <f t="shared" si="19"/>
        <v/>
      </c>
      <c r="N98" s="2" t="str">
        <f t="shared" si="20"/>
        <v/>
      </c>
      <c r="O98" s="19">
        <f t="shared" si="21"/>
        <v>4</v>
      </c>
      <c r="Q98" s="2" t="str">
        <f t="shared" si="22"/>
        <v>09</v>
      </c>
      <c r="R98" s="21" t="str">
        <f t="shared" si="23"/>
        <v>1.3.09</v>
      </c>
      <c r="S98" s="2" t="str">
        <f t="shared" si="24"/>
        <v/>
      </c>
      <c r="T98" s="2" t="str">
        <f t="shared" si="26"/>
        <v/>
      </c>
      <c r="U98" s="19" t="str">
        <f t="shared" si="27"/>
        <v/>
      </c>
    </row>
    <row r="99" spans="1:21" x14ac:dyDescent="0.2">
      <c r="A99" s="2">
        <v>98</v>
      </c>
      <c r="B99" s="21" t="str">
        <f t="shared" si="25"/>
        <v>1.3.09a</v>
      </c>
      <c r="C99" s="2">
        <v>1</v>
      </c>
      <c r="D99" s="2">
        <v>3</v>
      </c>
      <c r="E99" s="2">
        <v>9</v>
      </c>
      <c r="F99" s="2" t="s">
        <v>90</v>
      </c>
      <c r="G99" s="2" t="s">
        <v>189</v>
      </c>
      <c r="H99" s="2">
        <v>4</v>
      </c>
      <c r="I99" s="19" t="str">
        <f t="shared" si="15"/>
        <v/>
      </c>
      <c r="J99" s="2" t="str">
        <f t="shared" si="16"/>
        <v/>
      </c>
      <c r="K99" s="2" t="str">
        <f t="shared" si="17"/>
        <v/>
      </c>
      <c r="L99" s="2" t="str">
        <f t="shared" si="18"/>
        <v/>
      </c>
      <c r="M99" s="2" t="str">
        <f t="shared" si="19"/>
        <v/>
      </c>
      <c r="N99" s="2">
        <f t="shared" si="20"/>
        <v>6</v>
      </c>
      <c r="O99" s="19">
        <f t="shared" si="21"/>
        <v>6</v>
      </c>
      <c r="Q99" s="2" t="str">
        <f t="shared" si="22"/>
        <v>09</v>
      </c>
      <c r="R99" s="21" t="str">
        <f t="shared" si="23"/>
        <v>1.3.09a</v>
      </c>
      <c r="S99" s="2" t="str">
        <f t="shared" si="24"/>
        <v/>
      </c>
      <c r="T99" s="2" t="str">
        <f t="shared" si="26"/>
        <v/>
      </c>
      <c r="U99" s="19" t="str">
        <f t="shared" si="27"/>
        <v/>
      </c>
    </row>
    <row r="100" spans="1:21" x14ac:dyDescent="0.2">
      <c r="A100" s="2">
        <v>99</v>
      </c>
      <c r="B100" s="21" t="str">
        <f t="shared" si="25"/>
        <v>1.3.09b</v>
      </c>
      <c r="C100" s="2">
        <v>1</v>
      </c>
      <c r="D100" s="2">
        <v>3</v>
      </c>
      <c r="E100" s="2">
        <v>9</v>
      </c>
      <c r="F100" s="2" t="s">
        <v>92</v>
      </c>
      <c r="G100" s="2" t="s">
        <v>190</v>
      </c>
      <c r="H100" s="2">
        <v>3</v>
      </c>
      <c r="I100" s="19" t="str">
        <f t="shared" si="15"/>
        <v/>
      </c>
      <c r="J100" s="2" t="str">
        <f t="shared" si="16"/>
        <v/>
      </c>
      <c r="K100" s="2" t="str">
        <f t="shared" si="17"/>
        <v/>
      </c>
      <c r="L100" s="2" t="str">
        <f t="shared" si="18"/>
        <v/>
      </c>
      <c r="M100" s="2" t="str">
        <f t="shared" si="19"/>
        <v/>
      </c>
      <c r="N100" s="2">
        <f t="shared" si="20"/>
        <v>6</v>
      </c>
      <c r="O100" s="19">
        <f t="shared" si="21"/>
        <v>6</v>
      </c>
      <c r="Q100" s="2" t="str">
        <f t="shared" si="22"/>
        <v>09</v>
      </c>
      <c r="R100" s="21" t="str">
        <f t="shared" si="23"/>
        <v>1.3.09b</v>
      </c>
      <c r="S100" s="2" t="str">
        <f t="shared" si="24"/>
        <v/>
      </c>
      <c r="T100" s="2" t="str">
        <f t="shared" si="26"/>
        <v/>
      </c>
      <c r="U100" s="19" t="str">
        <f t="shared" si="27"/>
        <v/>
      </c>
    </row>
    <row r="101" spans="1:21" x14ac:dyDescent="0.2">
      <c r="A101" s="2">
        <v>100</v>
      </c>
      <c r="B101" s="21" t="str">
        <f t="shared" si="25"/>
        <v>1.3.09c</v>
      </c>
      <c r="C101" s="2">
        <v>1</v>
      </c>
      <c r="D101" s="2">
        <v>3</v>
      </c>
      <c r="E101" s="2">
        <v>9</v>
      </c>
      <c r="F101" s="2" t="s">
        <v>94</v>
      </c>
      <c r="G101" s="2" t="s">
        <v>191</v>
      </c>
      <c r="H101" s="2">
        <v>5</v>
      </c>
      <c r="I101" s="19" t="str">
        <f t="shared" si="15"/>
        <v/>
      </c>
      <c r="J101" s="2" t="str">
        <f t="shared" si="16"/>
        <v/>
      </c>
      <c r="K101" s="2" t="str">
        <f t="shared" si="17"/>
        <v/>
      </c>
      <c r="L101" s="2" t="str">
        <f t="shared" si="18"/>
        <v/>
      </c>
      <c r="M101" s="2" t="str">
        <f t="shared" si="19"/>
        <v/>
      </c>
      <c r="N101" s="2">
        <f t="shared" si="20"/>
        <v>6</v>
      </c>
      <c r="O101" s="19">
        <f t="shared" si="21"/>
        <v>6</v>
      </c>
      <c r="Q101" s="2" t="str">
        <f t="shared" si="22"/>
        <v>09</v>
      </c>
      <c r="R101" s="21" t="str">
        <f t="shared" si="23"/>
        <v>1.3.09c</v>
      </c>
      <c r="S101" s="2" t="str">
        <f t="shared" si="24"/>
        <v/>
      </c>
      <c r="T101" s="2" t="str">
        <f t="shared" si="26"/>
        <v/>
      </c>
      <c r="U101" s="19" t="str">
        <f t="shared" si="27"/>
        <v/>
      </c>
    </row>
    <row r="102" spans="1:21" x14ac:dyDescent="0.2">
      <c r="A102" s="2">
        <v>101</v>
      </c>
      <c r="B102" s="21" t="str">
        <f t="shared" si="25"/>
        <v>1.3.09d</v>
      </c>
      <c r="C102" s="2">
        <v>1</v>
      </c>
      <c r="D102" s="2">
        <v>3</v>
      </c>
      <c r="E102" s="2">
        <v>9</v>
      </c>
      <c r="F102" s="2" t="s">
        <v>112</v>
      </c>
      <c r="G102" s="2" t="s">
        <v>192</v>
      </c>
      <c r="H102" s="2">
        <v>5</v>
      </c>
      <c r="I102" s="19" t="str">
        <f t="shared" si="15"/>
        <v/>
      </c>
      <c r="J102" s="2" t="str">
        <f t="shared" si="16"/>
        <v/>
      </c>
      <c r="K102" s="2" t="str">
        <f t="shared" si="17"/>
        <v/>
      </c>
      <c r="L102" s="2" t="str">
        <f t="shared" si="18"/>
        <v/>
      </c>
      <c r="M102" s="2" t="str">
        <f t="shared" si="19"/>
        <v/>
      </c>
      <c r="N102" s="2">
        <f t="shared" si="20"/>
        <v>6</v>
      </c>
      <c r="O102" s="19">
        <f t="shared" si="21"/>
        <v>6</v>
      </c>
      <c r="Q102" s="2" t="str">
        <f t="shared" si="22"/>
        <v>09</v>
      </c>
      <c r="R102" s="21" t="str">
        <f t="shared" si="23"/>
        <v>1.3.09d</v>
      </c>
      <c r="S102" s="2" t="str">
        <f t="shared" si="24"/>
        <v/>
      </c>
      <c r="T102" s="2" t="str">
        <f t="shared" si="26"/>
        <v/>
      </c>
      <c r="U102" s="19" t="str">
        <f t="shared" si="27"/>
        <v/>
      </c>
    </row>
    <row r="103" spans="1:21" x14ac:dyDescent="0.2">
      <c r="A103" s="2">
        <v>102</v>
      </c>
      <c r="B103" s="21" t="str">
        <f t="shared" si="25"/>
        <v>1.3.09e</v>
      </c>
      <c r="C103" s="2">
        <v>1</v>
      </c>
      <c r="D103" s="2">
        <v>3</v>
      </c>
      <c r="E103" s="2">
        <v>9</v>
      </c>
      <c r="F103" s="2" t="s">
        <v>114</v>
      </c>
      <c r="G103" s="2" t="s">
        <v>193</v>
      </c>
      <c r="H103" s="2">
        <v>4</v>
      </c>
      <c r="I103" s="19" t="str">
        <f t="shared" si="15"/>
        <v/>
      </c>
      <c r="J103" s="2" t="str">
        <f t="shared" si="16"/>
        <v/>
      </c>
      <c r="K103" s="2" t="str">
        <f t="shared" si="17"/>
        <v/>
      </c>
      <c r="L103" s="2" t="str">
        <f t="shared" si="18"/>
        <v/>
      </c>
      <c r="M103" s="2" t="str">
        <f t="shared" si="19"/>
        <v/>
      </c>
      <c r="N103" s="2">
        <f t="shared" si="20"/>
        <v>6</v>
      </c>
      <c r="O103" s="19">
        <f t="shared" si="21"/>
        <v>6</v>
      </c>
      <c r="Q103" s="2" t="str">
        <f t="shared" si="22"/>
        <v>09</v>
      </c>
      <c r="R103" s="21" t="str">
        <f t="shared" si="23"/>
        <v>1.3.09e</v>
      </c>
      <c r="S103" s="2" t="str">
        <f t="shared" si="24"/>
        <v/>
      </c>
      <c r="T103" s="2" t="str">
        <f t="shared" si="26"/>
        <v/>
      </c>
      <c r="U103" s="19" t="str">
        <f t="shared" si="27"/>
        <v/>
      </c>
    </row>
    <row r="104" spans="1:21" x14ac:dyDescent="0.2">
      <c r="A104" s="2">
        <v>103</v>
      </c>
      <c r="B104" s="21" t="str">
        <f t="shared" si="25"/>
        <v/>
      </c>
      <c r="C104" s="2" t="s">
        <v>84</v>
      </c>
      <c r="D104" s="2" t="s">
        <v>84</v>
      </c>
      <c r="E104" s="2" t="s">
        <v>84</v>
      </c>
      <c r="F104" s="2" t="s">
        <v>84</v>
      </c>
      <c r="G104" s="2" t="s">
        <v>194</v>
      </c>
      <c r="H104" s="2" t="s">
        <v>84</v>
      </c>
      <c r="I104" s="19" t="str">
        <f t="shared" si="15"/>
        <v/>
      </c>
      <c r="J104" s="2" t="str">
        <f t="shared" si="16"/>
        <v/>
      </c>
      <c r="K104" s="2">
        <f t="shared" si="17"/>
        <v>3</v>
      </c>
      <c r="L104" s="2" t="str">
        <f t="shared" si="18"/>
        <v/>
      </c>
      <c r="M104" s="2" t="str">
        <f t="shared" si="19"/>
        <v/>
      </c>
      <c r="N104" s="2" t="str">
        <f t="shared" si="20"/>
        <v/>
      </c>
      <c r="O104" s="19">
        <f t="shared" si="21"/>
        <v>3</v>
      </c>
      <c r="Q104" s="2" t="str">
        <f t="shared" si="22"/>
        <v/>
      </c>
      <c r="R104" s="21" t="str">
        <f t="shared" si="23"/>
        <v/>
      </c>
      <c r="S104" s="2" t="str">
        <f t="shared" si="24"/>
        <v/>
      </c>
      <c r="T104" s="2">
        <f t="shared" si="26"/>
        <v>1</v>
      </c>
      <c r="U104" s="19" t="str">
        <f t="shared" si="27"/>
        <v/>
      </c>
    </row>
    <row r="105" spans="1:21" x14ac:dyDescent="0.2">
      <c r="A105" s="2">
        <v>104</v>
      </c>
      <c r="B105" s="21" t="str">
        <f t="shared" si="25"/>
        <v>1.3.10</v>
      </c>
      <c r="C105" s="2">
        <v>1</v>
      </c>
      <c r="D105" s="2">
        <v>3</v>
      </c>
      <c r="E105" s="2">
        <v>10</v>
      </c>
      <c r="F105" s="2" t="s">
        <v>84</v>
      </c>
      <c r="G105" s="2" t="s">
        <v>195</v>
      </c>
      <c r="H105" s="2" t="s">
        <v>89</v>
      </c>
      <c r="I105" s="19" t="str">
        <f t="shared" si="15"/>
        <v/>
      </c>
      <c r="J105" s="2" t="str">
        <f t="shared" si="16"/>
        <v/>
      </c>
      <c r="K105" s="2" t="str">
        <f t="shared" si="17"/>
        <v/>
      </c>
      <c r="L105" s="2">
        <f t="shared" si="18"/>
        <v>4</v>
      </c>
      <c r="M105" s="2" t="str">
        <f t="shared" si="19"/>
        <v/>
      </c>
      <c r="N105" s="2" t="str">
        <f t="shared" si="20"/>
        <v/>
      </c>
      <c r="O105" s="19">
        <f t="shared" si="21"/>
        <v>4</v>
      </c>
      <c r="Q105" s="2" t="str">
        <f t="shared" si="22"/>
        <v>10</v>
      </c>
      <c r="R105" s="21" t="str">
        <f t="shared" si="23"/>
        <v>1.3.10</v>
      </c>
      <c r="S105" s="2" t="str">
        <f t="shared" si="24"/>
        <v/>
      </c>
      <c r="T105" s="2" t="str">
        <f t="shared" si="26"/>
        <v/>
      </c>
      <c r="U105" s="19" t="str">
        <f t="shared" si="27"/>
        <v/>
      </c>
    </row>
    <row r="106" spans="1:21" x14ac:dyDescent="0.2">
      <c r="A106" s="2">
        <v>105</v>
      </c>
      <c r="B106" s="21" t="str">
        <f t="shared" si="25"/>
        <v>1.3.10a</v>
      </c>
      <c r="C106" s="2">
        <v>1</v>
      </c>
      <c r="D106" s="2">
        <v>3</v>
      </c>
      <c r="E106" s="2">
        <v>10</v>
      </c>
      <c r="F106" s="2" t="s">
        <v>90</v>
      </c>
      <c r="G106" s="2" t="s">
        <v>196</v>
      </c>
      <c r="H106" s="2">
        <v>1</v>
      </c>
      <c r="I106" s="19" t="str">
        <f t="shared" si="15"/>
        <v/>
      </c>
      <c r="J106" s="2" t="str">
        <f t="shared" si="16"/>
        <v/>
      </c>
      <c r="K106" s="2" t="str">
        <f t="shared" si="17"/>
        <v/>
      </c>
      <c r="L106" s="2" t="str">
        <f t="shared" si="18"/>
        <v/>
      </c>
      <c r="M106" s="2" t="str">
        <f t="shared" si="19"/>
        <v/>
      </c>
      <c r="N106" s="2">
        <f t="shared" si="20"/>
        <v>6</v>
      </c>
      <c r="O106" s="19">
        <f t="shared" si="21"/>
        <v>6</v>
      </c>
      <c r="Q106" s="2" t="str">
        <f t="shared" si="22"/>
        <v>10</v>
      </c>
      <c r="R106" s="21" t="str">
        <f t="shared" si="23"/>
        <v>1.3.10a</v>
      </c>
      <c r="S106" s="2" t="str">
        <f t="shared" si="24"/>
        <v/>
      </c>
      <c r="T106" s="2" t="str">
        <f t="shared" si="26"/>
        <v/>
      </c>
      <c r="U106" s="19" t="str">
        <f t="shared" si="27"/>
        <v/>
      </c>
    </row>
    <row r="107" spans="1:21" x14ac:dyDescent="0.2">
      <c r="A107" s="2">
        <v>106</v>
      </c>
      <c r="B107" s="21" t="str">
        <f t="shared" si="25"/>
        <v>1.3.10b</v>
      </c>
      <c r="C107" s="2">
        <v>1</v>
      </c>
      <c r="D107" s="2">
        <v>3</v>
      </c>
      <c r="E107" s="2">
        <v>10</v>
      </c>
      <c r="F107" s="2" t="s">
        <v>92</v>
      </c>
      <c r="G107" s="2" t="s">
        <v>197</v>
      </c>
      <c r="H107" s="2">
        <v>1</v>
      </c>
      <c r="I107" s="19" t="str">
        <f t="shared" si="15"/>
        <v/>
      </c>
      <c r="J107" s="2" t="str">
        <f t="shared" si="16"/>
        <v/>
      </c>
      <c r="K107" s="2" t="str">
        <f t="shared" si="17"/>
        <v/>
      </c>
      <c r="L107" s="2" t="str">
        <f t="shared" si="18"/>
        <v/>
      </c>
      <c r="M107" s="2" t="str">
        <f t="shared" si="19"/>
        <v/>
      </c>
      <c r="N107" s="2">
        <f t="shared" si="20"/>
        <v>6</v>
      </c>
      <c r="O107" s="19">
        <f t="shared" si="21"/>
        <v>6</v>
      </c>
      <c r="Q107" s="2" t="str">
        <f t="shared" si="22"/>
        <v>10</v>
      </c>
      <c r="R107" s="21" t="str">
        <f t="shared" si="23"/>
        <v>1.3.10b</v>
      </c>
      <c r="S107" s="2" t="str">
        <f t="shared" si="24"/>
        <v/>
      </c>
      <c r="T107" s="2" t="str">
        <f t="shared" si="26"/>
        <v/>
      </c>
      <c r="U107" s="19" t="str">
        <f t="shared" si="27"/>
        <v/>
      </c>
    </row>
    <row r="108" spans="1:21" x14ac:dyDescent="0.2">
      <c r="A108" s="2">
        <v>107</v>
      </c>
      <c r="B108" s="21" t="str">
        <f t="shared" si="25"/>
        <v>1.3.10c</v>
      </c>
      <c r="C108" s="2">
        <v>1</v>
      </c>
      <c r="D108" s="2">
        <v>3</v>
      </c>
      <c r="E108" s="2">
        <v>10</v>
      </c>
      <c r="F108" s="2" t="s">
        <v>94</v>
      </c>
      <c r="G108" s="2" t="s">
        <v>198</v>
      </c>
      <c r="H108" s="2">
        <v>3</v>
      </c>
      <c r="I108" s="19" t="str">
        <f t="shared" si="15"/>
        <v/>
      </c>
      <c r="J108" s="2" t="str">
        <f t="shared" si="16"/>
        <v/>
      </c>
      <c r="K108" s="2" t="str">
        <f t="shared" si="17"/>
        <v/>
      </c>
      <c r="L108" s="2" t="str">
        <f t="shared" si="18"/>
        <v/>
      </c>
      <c r="M108" s="2" t="str">
        <f t="shared" si="19"/>
        <v/>
      </c>
      <c r="N108" s="2">
        <f t="shared" si="20"/>
        <v>6</v>
      </c>
      <c r="O108" s="19">
        <f t="shared" si="21"/>
        <v>6</v>
      </c>
      <c r="Q108" s="2" t="str">
        <f t="shared" si="22"/>
        <v>10</v>
      </c>
      <c r="R108" s="21" t="str">
        <f t="shared" si="23"/>
        <v>1.3.10c</v>
      </c>
      <c r="S108" s="2" t="str">
        <f t="shared" si="24"/>
        <v/>
      </c>
      <c r="T108" s="2" t="str">
        <f t="shared" si="26"/>
        <v/>
      </c>
      <c r="U108" s="19" t="str">
        <f t="shared" si="27"/>
        <v/>
      </c>
    </row>
    <row r="109" spans="1:21" x14ac:dyDescent="0.2">
      <c r="A109" s="2">
        <v>108</v>
      </c>
      <c r="B109" s="21" t="str">
        <f t="shared" si="25"/>
        <v>1.3.11</v>
      </c>
      <c r="C109" s="2">
        <v>1</v>
      </c>
      <c r="D109" s="2">
        <v>3</v>
      </c>
      <c r="E109" s="2">
        <v>11</v>
      </c>
      <c r="F109" s="2" t="s">
        <v>84</v>
      </c>
      <c r="G109" s="2" t="s">
        <v>199</v>
      </c>
      <c r="H109" s="2" t="s">
        <v>89</v>
      </c>
      <c r="I109" s="19" t="str">
        <f t="shared" si="15"/>
        <v/>
      </c>
      <c r="J109" s="2" t="str">
        <f t="shared" si="16"/>
        <v/>
      </c>
      <c r="K109" s="2" t="str">
        <f t="shared" si="17"/>
        <v/>
      </c>
      <c r="L109" s="2">
        <f t="shared" si="18"/>
        <v>4</v>
      </c>
      <c r="M109" s="2" t="str">
        <f t="shared" si="19"/>
        <v/>
      </c>
      <c r="N109" s="2" t="str">
        <f t="shared" si="20"/>
        <v/>
      </c>
      <c r="O109" s="19">
        <f t="shared" si="21"/>
        <v>4</v>
      </c>
      <c r="Q109" s="2" t="str">
        <f t="shared" si="22"/>
        <v>11</v>
      </c>
      <c r="R109" s="21" t="str">
        <f t="shared" si="23"/>
        <v>1.3.11</v>
      </c>
      <c r="S109" s="2" t="str">
        <f t="shared" si="24"/>
        <v/>
      </c>
      <c r="T109" s="2" t="str">
        <f t="shared" si="26"/>
        <v/>
      </c>
      <c r="U109" s="19" t="str">
        <f t="shared" si="27"/>
        <v/>
      </c>
    </row>
    <row r="110" spans="1:21" x14ac:dyDescent="0.2">
      <c r="A110" s="2">
        <v>109</v>
      </c>
      <c r="B110" s="21" t="str">
        <f t="shared" si="25"/>
        <v>1.3.11a</v>
      </c>
      <c r="C110" s="2">
        <v>1</v>
      </c>
      <c r="D110" s="2">
        <v>3</v>
      </c>
      <c r="E110" s="2">
        <v>11</v>
      </c>
      <c r="F110" s="2" t="s">
        <v>90</v>
      </c>
      <c r="G110" s="2" t="s">
        <v>200</v>
      </c>
      <c r="H110" s="2">
        <v>4</v>
      </c>
      <c r="I110" s="19" t="str">
        <f t="shared" si="15"/>
        <v/>
      </c>
      <c r="J110" s="2" t="str">
        <f t="shared" si="16"/>
        <v/>
      </c>
      <c r="K110" s="2" t="str">
        <f t="shared" si="17"/>
        <v/>
      </c>
      <c r="L110" s="2" t="str">
        <f t="shared" si="18"/>
        <v/>
      </c>
      <c r="M110" s="2" t="str">
        <f t="shared" si="19"/>
        <v/>
      </c>
      <c r="N110" s="2">
        <f t="shared" si="20"/>
        <v>6</v>
      </c>
      <c r="O110" s="19">
        <f t="shared" si="21"/>
        <v>6</v>
      </c>
      <c r="Q110" s="2" t="str">
        <f t="shared" si="22"/>
        <v>11</v>
      </c>
      <c r="R110" s="21" t="str">
        <f t="shared" si="23"/>
        <v>1.3.11a</v>
      </c>
      <c r="S110" s="2" t="str">
        <f t="shared" si="24"/>
        <v/>
      </c>
      <c r="T110" s="2" t="str">
        <f t="shared" si="26"/>
        <v/>
      </c>
      <c r="U110" s="19" t="str">
        <f t="shared" si="27"/>
        <v/>
      </c>
    </row>
    <row r="111" spans="1:21" x14ac:dyDescent="0.2">
      <c r="A111" s="2">
        <v>110</v>
      </c>
      <c r="B111" s="21" t="str">
        <f t="shared" si="25"/>
        <v>1.3.11b</v>
      </c>
      <c r="C111" s="2">
        <v>1</v>
      </c>
      <c r="D111" s="2">
        <v>3</v>
      </c>
      <c r="E111" s="2">
        <v>11</v>
      </c>
      <c r="F111" s="2" t="s">
        <v>92</v>
      </c>
      <c r="G111" s="2" t="s">
        <v>201</v>
      </c>
      <c r="H111" s="2">
        <v>5</v>
      </c>
      <c r="I111" s="19" t="str">
        <f t="shared" si="15"/>
        <v/>
      </c>
      <c r="J111" s="2" t="str">
        <f t="shared" si="16"/>
        <v/>
      </c>
      <c r="K111" s="2" t="str">
        <f t="shared" si="17"/>
        <v/>
      </c>
      <c r="L111" s="2" t="str">
        <f t="shared" si="18"/>
        <v/>
      </c>
      <c r="M111" s="2" t="str">
        <f t="shared" si="19"/>
        <v/>
      </c>
      <c r="N111" s="2">
        <f t="shared" si="20"/>
        <v>6</v>
      </c>
      <c r="O111" s="19">
        <f t="shared" si="21"/>
        <v>6</v>
      </c>
      <c r="Q111" s="2" t="str">
        <f t="shared" si="22"/>
        <v>11</v>
      </c>
      <c r="R111" s="21" t="str">
        <f t="shared" si="23"/>
        <v>1.3.11b</v>
      </c>
      <c r="S111" s="2" t="str">
        <f t="shared" si="24"/>
        <v/>
      </c>
      <c r="T111" s="2" t="str">
        <f t="shared" si="26"/>
        <v/>
      </c>
      <c r="U111" s="19" t="str">
        <f t="shared" si="27"/>
        <v/>
      </c>
    </row>
    <row r="112" spans="1:21" x14ac:dyDescent="0.2">
      <c r="A112" s="2">
        <v>111</v>
      </c>
      <c r="B112" s="21" t="str">
        <f t="shared" si="25"/>
        <v>1.3.11c</v>
      </c>
      <c r="C112" s="2">
        <v>1</v>
      </c>
      <c r="D112" s="2">
        <v>3</v>
      </c>
      <c r="E112" s="2">
        <v>11</v>
      </c>
      <c r="F112" s="2" t="s">
        <v>94</v>
      </c>
      <c r="G112" s="2" t="s">
        <v>202</v>
      </c>
      <c r="H112" s="2">
        <v>5</v>
      </c>
      <c r="I112" s="19" t="str">
        <f t="shared" si="15"/>
        <v/>
      </c>
      <c r="J112" s="2" t="str">
        <f t="shared" si="16"/>
        <v/>
      </c>
      <c r="K112" s="2" t="str">
        <f t="shared" si="17"/>
        <v/>
      </c>
      <c r="L112" s="2" t="str">
        <f t="shared" si="18"/>
        <v/>
      </c>
      <c r="M112" s="2" t="str">
        <f t="shared" si="19"/>
        <v/>
      </c>
      <c r="N112" s="2">
        <f t="shared" si="20"/>
        <v>6</v>
      </c>
      <c r="O112" s="19">
        <f t="shared" si="21"/>
        <v>6</v>
      </c>
      <c r="Q112" s="2" t="str">
        <f t="shared" si="22"/>
        <v>11</v>
      </c>
      <c r="R112" s="21" t="str">
        <f t="shared" si="23"/>
        <v>1.3.11c</v>
      </c>
      <c r="S112" s="2" t="str">
        <f t="shared" si="24"/>
        <v/>
      </c>
      <c r="T112" s="2" t="str">
        <f t="shared" si="26"/>
        <v/>
      </c>
      <c r="U112" s="19" t="str">
        <f t="shared" si="27"/>
        <v/>
      </c>
    </row>
    <row r="113" spans="1:21" x14ac:dyDescent="0.2">
      <c r="A113" s="2">
        <v>112</v>
      </c>
      <c r="B113" s="21" t="str">
        <f t="shared" si="25"/>
        <v>1.3.11d</v>
      </c>
      <c r="C113" s="2">
        <v>1</v>
      </c>
      <c r="D113" s="2">
        <v>3</v>
      </c>
      <c r="E113" s="2">
        <v>11</v>
      </c>
      <c r="F113" s="2" t="s">
        <v>112</v>
      </c>
      <c r="G113" s="2" t="s">
        <v>203</v>
      </c>
      <c r="H113" s="2">
        <v>5</v>
      </c>
      <c r="I113" s="19" t="str">
        <f t="shared" si="15"/>
        <v/>
      </c>
      <c r="J113" s="2" t="str">
        <f t="shared" si="16"/>
        <v/>
      </c>
      <c r="K113" s="2" t="str">
        <f t="shared" si="17"/>
        <v/>
      </c>
      <c r="L113" s="2" t="str">
        <f t="shared" si="18"/>
        <v/>
      </c>
      <c r="M113" s="2" t="str">
        <f t="shared" si="19"/>
        <v/>
      </c>
      <c r="N113" s="2">
        <f t="shared" si="20"/>
        <v>6</v>
      </c>
      <c r="O113" s="19">
        <f t="shared" si="21"/>
        <v>6</v>
      </c>
      <c r="Q113" s="2" t="str">
        <f t="shared" si="22"/>
        <v>11</v>
      </c>
      <c r="R113" s="21" t="str">
        <f t="shared" si="23"/>
        <v>1.3.11d</v>
      </c>
      <c r="S113" s="2" t="str">
        <f t="shared" si="24"/>
        <v/>
      </c>
      <c r="T113" s="2" t="str">
        <f t="shared" si="26"/>
        <v/>
      </c>
      <c r="U113" s="19" t="str">
        <f t="shared" si="27"/>
        <v/>
      </c>
    </row>
    <row r="114" spans="1:21" x14ac:dyDescent="0.2">
      <c r="A114" s="2">
        <v>113</v>
      </c>
      <c r="B114" s="21" t="str">
        <f t="shared" si="25"/>
        <v>1.3.11e</v>
      </c>
      <c r="C114" s="2">
        <v>1</v>
      </c>
      <c r="D114" s="2">
        <v>3</v>
      </c>
      <c r="E114" s="2">
        <v>11</v>
      </c>
      <c r="F114" s="2" t="s">
        <v>114</v>
      </c>
      <c r="G114" s="2" t="s">
        <v>204</v>
      </c>
      <c r="H114" s="2">
        <v>4</v>
      </c>
      <c r="I114" s="19" t="str">
        <f t="shared" si="15"/>
        <v/>
      </c>
      <c r="J114" s="2" t="str">
        <f t="shared" si="16"/>
        <v/>
      </c>
      <c r="K114" s="2" t="str">
        <f t="shared" si="17"/>
        <v/>
      </c>
      <c r="L114" s="2" t="str">
        <f t="shared" si="18"/>
        <v/>
      </c>
      <c r="M114" s="2" t="str">
        <f t="shared" si="19"/>
        <v/>
      </c>
      <c r="N114" s="2">
        <f t="shared" si="20"/>
        <v>6</v>
      </c>
      <c r="O114" s="19">
        <f t="shared" si="21"/>
        <v>6</v>
      </c>
      <c r="Q114" s="2" t="str">
        <f t="shared" si="22"/>
        <v>11</v>
      </c>
      <c r="R114" s="21" t="str">
        <f t="shared" si="23"/>
        <v>1.3.11e</v>
      </c>
      <c r="S114" s="2" t="str">
        <f t="shared" si="24"/>
        <v/>
      </c>
      <c r="T114" s="2" t="str">
        <f t="shared" si="26"/>
        <v/>
      </c>
      <c r="U114" s="19" t="str">
        <f t="shared" si="27"/>
        <v/>
      </c>
    </row>
    <row r="115" spans="1:21" x14ac:dyDescent="0.2">
      <c r="A115" s="2">
        <v>114</v>
      </c>
      <c r="B115" s="21" t="str">
        <f t="shared" si="25"/>
        <v>1.3.11f</v>
      </c>
      <c r="C115" s="2">
        <v>1</v>
      </c>
      <c r="D115" s="2">
        <v>3</v>
      </c>
      <c r="E115" s="2">
        <v>11</v>
      </c>
      <c r="F115" s="2" t="s">
        <v>129</v>
      </c>
      <c r="G115" s="2" t="s">
        <v>205</v>
      </c>
      <c r="H115" s="2">
        <v>4</v>
      </c>
      <c r="I115" s="19" t="str">
        <f t="shared" si="15"/>
        <v/>
      </c>
      <c r="J115" s="2" t="str">
        <f t="shared" si="16"/>
        <v/>
      </c>
      <c r="K115" s="2" t="str">
        <f t="shared" si="17"/>
        <v/>
      </c>
      <c r="L115" s="2" t="str">
        <f t="shared" si="18"/>
        <v/>
      </c>
      <c r="M115" s="2" t="str">
        <f t="shared" si="19"/>
        <v/>
      </c>
      <c r="N115" s="2">
        <f t="shared" si="20"/>
        <v>6</v>
      </c>
      <c r="O115" s="19">
        <f t="shared" si="21"/>
        <v>6</v>
      </c>
      <c r="Q115" s="2" t="str">
        <f t="shared" si="22"/>
        <v>11</v>
      </c>
      <c r="R115" s="21" t="str">
        <f t="shared" si="23"/>
        <v>1.3.11f</v>
      </c>
      <c r="S115" s="2" t="str">
        <f t="shared" si="24"/>
        <v/>
      </c>
      <c r="T115" s="2" t="str">
        <f t="shared" si="26"/>
        <v/>
      </c>
      <c r="U115" s="19" t="str">
        <f t="shared" si="27"/>
        <v/>
      </c>
    </row>
    <row r="116" spans="1:21" x14ac:dyDescent="0.2">
      <c r="A116" s="2">
        <v>115</v>
      </c>
      <c r="B116" s="21" t="str">
        <f t="shared" si="25"/>
        <v>1.3.11g</v>
      </c>
      <c r="C116" s="2">
        <v>1</v>
      </c>
      <c r="D116" s="2">
        <v>3</v>
      </c>
      <c r="E116" s="2">
        <v>11</v>
      </c>
      <c r="F116" s="2" t="s">
        <v>206</v>
      </c>
      <c r="G116" s="2" t="s">
        <v>207</v>
      </c>
      <c r="H116" s="2">
        <v>4</v>
      </c>
      <c r="I116" s="19" t="str">
        <f t="shared" si="15"/>
        <v/>
      </c>
      <c r="J116" s="2" t="str">
        <f t="shared" si="16"/>
        <v/>
      </c>
      <c r="K116" s="2" t="str">
        <f t="shared" si="17"/>
        <v/>
      </c>
      <c r="L116" s="2" t="str">
        <f t="shared" si="18"/>
        <v/>
      </c>
      <c r="M116" s="2" t="str">
        <f t="shared" si="19"/>
        <v/>
      </c>
      <c r="N116" s="2">
        <f t="shared" si="20"/>
        <v>6</v>
      </c>
      <c r="O116" s="19">
        <f t="shared" si="21"/>
        <v>6</v>
      </c>
      <c r="Q116" s="2" t="str">
        <f t="shared" si="22"/>
        <v>11</v>
      </c>
      <c r="R116" s="21" t="str">
        <f t="shared" si="23"/>
        <v>1.3.11g</v>
      </c>
      <c r="S116" s="2" t="str">
        <f t="shared" si="24"/>
        <v/>
      </c>
      <c r="T116" s="2" t="str">
        <f t="shared" si="26"/>
        <v/>
      </c>
      <c r="U116" s="19" t="str">
        <f t="shared" si="27"/>
        <v/>
      </c>
    </row>
    <row r="117" spans="1:21" x14ac:dyDescent="0.2">
      <c r="A117" s="2">
        <v>116</v>
      </c>
      <c r="B117" s="21" t="str">
        <f t="shared" si="25"/>
        <v>1.3.11h</v>
      </c>
      <c r="C117" s="2">
        <v>1</v>
      </c>
      <c r="D117" s="2">
        <v>3</v>
      </c>
      <c r="E117" s="2">
        <v>11</v>
      </c>
      <c r="F117" s="2" t="s">
        <v>208</v>
      </c>
      <c r="G117" s="2" t="s">
        <v>209</v>
      </c>
      <c r="H117" s="2">
        <v>4</v>
      </c>
      <c r="I117" s="19" t="str">
        <f t="shared" si="15"/>
        <v/>
      </c>
      <c r="J117" s="2" t="str">
        <f t="shared" si="16"/>
        <v/>
      </c>
      <c r="K117" s="2" t="str">
        <f t="shared" si="17"/>
        <v/>
      </c>
      <c r="L117" s="2" t="str">
        <f t="shared" si="18"/>
        <v/>
      </c>
      <c r="M117" s="2" t="str">
        <f t="shared" si="19"/>
        <v/>
      </c>
      <c r="N117" s="2">
        <f t="shared" si="20"/>
        <v>6</v>
      </c>
      <c r="O117" s="19">
        <f t="shared" si="21"/>
        <v>6</v>
      </c>
      <c r="Q117" s="2" t="str">
        <f t="shared" si="22"/>
        <v>11</v>
      </c>
      <c r="R117" s="21" t="str">
        <f t="shared" si="23"/>
        <v>1.3.11h</v>
      </c>
      <c r="S117" s="2" t="str">
        <f t="shared" si="24"/>
        <v/>
      </c>
      <c r="T117" s="2" t="str">
        <f t="shared" si="26"/>
        <v/>
      </c>
      <c r="U117" s="19" t="str">
        <f t="shared" si="27"/>
        <v/>
      </c>
    </row>
    <row r="118" spans="1:21" x14ac:dyDescent="0.2">
      <c r="A118" s="2">
        <v>117</v>
      </c>
      <c r="B118" s="21" t="str">
        <f t="shared" si="25"/>
        <v>1.3.12</v>
      </c>
      <c r="C118" s="2">
        <v>1</v>
      </c>
      <c r="D118" s="2">
        <v>3</v>
      </c>
      <c r="E118" s="2">
        <v>12</v>
      </c>
      <c r="F118" s="2" t="s">
        <v>84</v>
      </c>
      <c r="G118" s="2" t="s">
        <v>210</v>
      </c>
      <c r="H118" s="2" t="s">
        <v>89</v>
      </c>
      <c r="I118" s="19" t="str">
        <f t="shared" si="15"/>
        <v/>
      </c>
      <c r="J118" s="2" t="str">
        <f t="shared" si="16"/>
        <v/>
      </c>
      <c r="K118" s="2" t="str">
        <f t="shared" si="17"/>
        <v/>
      </c>
      <c r="L118" s="2">
        <f t="shared" si="18"/>
        <v>4</v>
      </c>
      <c r="M118" s="2" t="str">
        <f t="shared" si="19"/>
        <v/>
      </c>
      <c r="N118" s="2" t="str">
        <f t="shared" si="20"/>
        <v/>
      </c>
      <c r="O118" s="19">
        <f t="shared" si="21"/>
        <v>4</v>
      </c>
      <c r="Q118" s="2" t="str">
        <f t="shared" si="22"/>
        <v>12</v>
      </c>
      <c r="R118" s="21" t="str">
        <f t="shared" si="23"/>
        <v>1.3.12</v>
      </c>
      <c r="S118" s="2" t="str">
        <f t="shared" si="24"/>
        <v/>
      </c>
      <c r="T118" s="2" t="str">
        <f t="shared" si="26"/>
        <v/>
      </c>
      <c r="U118" s="19" t="str">
        <f t="shared" si="27"/>
        <v/>
      </c>
    </row>
    <row r="119" spans="1:21" x14ac:dyDescent="0.2">
      <c r="A119" s="2">
        <v>118</v>
      </c>
      <c r="B119" s="21" t="str">
        <f t="shared" si="25"/>
        <v>1.3.12a</v>
      </c>
      <c r="C119" s="2">
        <v>1</v>
      </c>
      <c r="D119" s="2">
        <v>3</v>
      </c>
      <c r="E119" s="2">
        <v>12</v>
      </c>
      <c r="F119" s="2" t="s">
        <v>90</v>
      </c>
      <c r="G119" s="2" t="s">
        <v>211</v>
      </c>
      <c r="H119" s="2">
        <v>4</v>
      </c>
      <c r="I119" s="19" t="str">
        <f t="shared" si="15"/>
        <v/>
      </c>
      <c r="J119" s="2" t="str">
        <f t="shared" si="16"/>
        <v/>
      </c>
      <c r="K119" s="2" t="str">
        <f t="shared" si="17"/>
        <v/>
      </c>
      <c r="L119" s="2" t="str">
        <f t="shared" si="18"/>
        <v/>
      </c>
      <c r="M119" s="2" t="str">
        <f t="shared" si="19"/>
        <v/>
      </c>
      <c r="N119" s="2">
        <f t="shared" si="20"/>
        <v>6</v>
      </c>
      <c r="O119" s="19">
        <f t="shared" si="21"/>
        <v>6</v>
      </c>
      <c r="Q119" s="2" t="str">
        <f t="shared" si="22"/>
        <v>12</v>
      </c>
      <c r="R119" s="21" t="str">
        <f t="shared" si="23"/>
        <v>1.3.12a</v>
      </c>
      <c r="S119" s="2" t="str">
        <f t="shared" si="24"/>
        <v/>
      </c>
      <c r="T119" s="2" t="str">
        <f t="shared" si="26"/>
        <v/>
      </c>
      <c r="U119" s="19" t="str">
        <f t="shared" si="27"/>
        <v/>
      </c>
    </row>
    <row r="120" spans="1:21" x14ac:dyDescent="0.2">
      <c r="A120" s="2">
        <v>119</v>
      </c>
      <c r="B120" s="21" t="str">
        <f t="shared" si="25"/>
        <v>1.3.12b</v>
      </c>
      <c r="C120" s="2">
        <v>1</v>
      </c>
      <c r="D120" s="2">
        <v>3</v>
      </c>
      <c r="E120" s="2">
        <v>12</v>
      </c>
      <c r="F120" s="2" t="s">
        <v>92</v>
      </c>
      <c r="G120" s="2" t="s">
        <v>212</v>
      </c>
      <c r="H120" s="2">
        <v>3</v>
      </c>
      <c r="I120" s="19" t="str">
        <f t="shared" si="15"/>
        <v/>
      </c>
      <c r="J120" s="2" t="str">
        <f t="shared" si="16"/>
        <v/>
      </c>
      <c r="K120" s="2" t="str">
        <f t="shared" si="17"/>
        <v/>
      </c>
      <c r="L120" s="2" t="str">
        <f t="shared" si="18"/>
        <v/>
      </c>
      <c r="M120" s="2" t="str">
        <f t="shared" si="19"/>
        <v/>
      </c>
      <c r="N120" s="2">
        <f t="shared" si="20"/>
        <v>6</v>
      </c>
      <c r="O120" s="19">
        <f t="shared" si="21"/>
        <v>6</v>
      </c>
      <c r="Q120" s="2" t="str">
        <f t="shared" si="22"/>
        <v>12</v>
      </c>
      <c r="R120" s="21" t="str">
        <f t="shared" si="23"/>
        <v>1.3.12b</v>
      </c>
      <c r="S120" s="2" t="str">
        <f t="shared" si="24"/>
        <v/>
      </c>
      <c r="T120" s="2" t="str">
        <f t="shared" si="26"/>
        <v/>
      </c>
      <c r="U120" s="19" t="str">
        <f t="shared" si="27"/>
        <v/>
      </c>
    </row>
    <row r="121" spans="1:21" x14ac:dyDescent="0.2">
      <c r="A121" s="2">
        <v>120</v>
      </c>
      <c r="B121" s="21" t="str">
        <f t="shared" si="25"/>
        <v>1.3.12c</v>
      </c>
      <c r="C121" s="2">
        <v>1</v>
      </c>
      <c r="D121" s="2">
        <v>3</v>
      </c>
      <c r="E121" s="2">
        <v>12</v>
      </c>
      <c r="F121" s="2" t="s">
        <v>94</v>
      </c>
      <c r="G121" s="2" t="s">
        <v>213</v>
      </c>
      <c r="H121" s="2">
        <v>3</v>
      </c>
      <c r="I121" s="19" t="str">
        <f t="shared" si="15"/>
        <v/>
      </c>
      <c r="J121" s="2" t="str">
        <f t="shared" si="16"/>
        <v/>
      </c>
      <c r="K121" s="2" t="str">
        <f t="shared" si="17"/>
        <v/>
      </c>
      <c r="L121" s="2" t="str">
        <f t="shared" si="18"/>
        <v/>
      </c>
      <c r="M121" s="2" t="str">
        <f t="shared" si="19"/>
        <v/>
      </c>
      <c r="N121" s="2">
        <f t="shared" si="20"/>
        <v>6</v>
      </c>
      <c r="O121" s="19">
        <f t="shared" si="21"/>
        <v>6</v>
      </c>
      <c r="Q121" s="2" t="str">
        <f t="shared" si="22"/>
        <v>12</v>
      </c>
      <c r="R121" s="21" t="str">
        <f t="shared" si="23"/>
        <v>1.3.12c</v>
      </c>
      <c r="S121" s="2" t="str">
        <f t="shared" si="24"/>
        <v/>
      </c>
      <c r="T121" s="2" t="str">
        <f t="shared" si="26"/>
        <v/>
      </c>
      <c r="U121" s="19" t="str">
        <f t="shared" si="27"/>
        <v/>
      </c>
    </row>
    <row r="122" spans="1:21" x14ac:dyDescent="0.2">
      <c r="A122" s="2">
        <v>121</v>
      </c>
      <c r="B122" s="21" t="str">
        <f t="shared" si="25"/>
        <v>1.3.13</v>
      </c>
      <c r="C122" s="2">
        <v>1</v>
      </c>
      <c r="D122" s="2">
        <v>3</v>
      </c>
      <c r="E122" s="2">
        <v>13</v>
      </c>
      <c r="F122" s="2" t="s">
        <v>84</v>
      </c>
      <c r="G122" s="2" t="s">
        <v>214</v>
      </c>
      <c r="H122" s="2" t="s">
        <v>89</v>
      </c>
      <c r="I122" s="19" t="str">
        <f t="shared" si="15"/>
        <v/>
      </c>
      <c r="J122" s="2" t="str">
        <f t="shared" si="16"/>
        <v/>
      </c>
      <c r="K122" s="2" t="str">
        <f t="shared" si="17"/>
        <v/>
      </c>
      <c r="L122" s="2">
        <f t="shared" si="18"/>
        <v>4</v>
      </c>
      <c r="M122" s="2" t="str">
        <f t="shared" si="19"/>
        <v/>
      </c>
      <c r="N122" s="2" t="str">
        <f t="shared" si="20"/>
        <v/>
      </c>
      <c r="O122" s="19">
        <f t="shared" si="21"/>
        <v>4</v>
      </c>
      <c r="Q122" s="2" t="str">
        <f t="shared" si="22"/>
        <v>13</v>
      </c>
      <c r="R122" s="21" t="str">
        <f t="shared" si="23"/>
        <v>1.3.13</v>
      </c>
      <c r="S122" s="2" t="str">
        <f t="shared" si="24"/>
        <v/>
      </c>
      <c r="T122" s="2" t="str">
        <f t="shared" si="26"/>
        <v/>
      </c>
      <c r="U122" s="19" t="str">
        <f t="shared" si="27"/>
        <v/>
      </c>
    </row>
    <row r="123" spans="1:21" x14ac:dyDescent="0.2">
      <c r="A123" s="2">
        <v>122</v>
      </c>
      <c r="B123" s="21" t="str">
        <f t="shared" si="25"/>
        <v>1.3.13a</v>
      </c>
      <c r="C123" s="2">
        <v>1</v>
      </c>
      <c r="D123" s="2">
        <v>3</v>
      </c>
      <c r="E123" s="2">
        <v>13</v>
      </c>
      <c r="F123" s="2" t="s">
        <v>90</v>
      </c>
      <c r="G123" s="2" t="s">
        <v>215</v>
      </c>
      <c r="H123" s="2">
        <v>2</v>
      </c>
      <c r="I123" s="19" t="str">
        <f t="shared" si="15"/>
        <v/>
      </c>
      <c r="J123" s="2" t="str">
        <f t="shared" si="16"/>
        <v/>
      </c>
      <c r="K123" s="2" t="str">
        <f t="shared" si="17"/>
        <v/>
      </c>
      <c r="L123" s="2" t="str">
        <f t="shared" si="18"/>
        <v/>
      </c>
      <c r="M123" s="2" t="str">
        <f t="shared" si="19"/>
        <v/>
      </c>
      <c r="N123" s="2">
        <f t="shared" si="20"/>
        <v>6</v>
      </c>
      <c r="O123" s="19">
        <f t="shared" si="21"/>
        <v>6</v>
      </c>
      <c r="Q123" s="2" t="str">
        <f t="shared" si="22"/>
        <v>13</v>
      </c>
      <c r="R123" s="21" t="str">
        <f t="shared" si="23"/>
        <v>1.3.13a</v>
      </c>
      <c r="S123" s="2" t="str">
        <f t="shared" si="24"/>
        <v/>
      </c>
      <c r="T123" s="2" t="str">
        <f t="shared" si="26"/>
        <v/>
      </c>
      <c r="U123" s="19" t="str">
        <f t="shared" si="27"/>
        <v/>
      </c>
    </row>
    <row r="124" spans="1:21" x14ac:dyDescent="0.2">
      <c r="A124" s="2">
        <v>123</v>
      </c>
      <c r="B124" s="21" t="str">
        <f t="shared" si="25"/>
        <v>1.3.13b</v>
      </c>
      <c r="C124" s="2">
        <v>1</v>
      </c>
      <c r="D124" s="2">
        <v>3</v>
      </c>
      <c r="E124" s="2">
        <v>13</v>
      </c>
      <c r="F124" s="2" t="s">
        <v>92</v>
      </c>
      <c r="G124" s="2" t="s">
        <v>216</v>
      </c>
      <c r="H124" s="2">
        <v>2</v>
      </c>
      <c r="I124" s="19" t="str">
        <f t="shared" si="15"/>
        <v/>
      </c>
      <c r="J124" s="2" t="str">
        <f t="shared" si="16"/>
        <v/>
      </c>
      <c r="K124" s="2" t="str">
        <f t="shared" si="17"/>
        <v/>
      </c>
      <c r="L124" s="2" t="str">
        <f t="shared" si="18"/>
        <v/>
      </c>
      <c r="M124" s="2" t="str">
        <f t="shared" si="19"/>
        <v/>
      </c>
      <c r="N124" s="2">
        <f t="shared" si="20"/>
        <v>6</v>
      </c>
      <c r="O124" s="19">
        <f t="shared" si="21"/>
        <v>6</v>
      </c>
      <c r="Q124" s="2" t="str">
        <f t="shared" si="22"/>
        <v>13</v>
      </c>
      <c r="R124" s="21" t="str">
        <f t="shared" si="23"/>
        <v>1.3.13b</v>
      </c>
      <c r="S124" s="2" t="str">
        <f t="shared" si="24"/>
        <v/>
      </c>
      <c r="T124" s="2" t="str">
        <f t="shared" si="26"/>
        <v/>
      </c>
      <c r="U124" s="19" t="str">
        <f t="shared" si="27"/>
        <v/>
      </c>
    </row>
    <row r="125" spans="1:21" x14ac:dyDescent="0.2">
      <c r="A125" s="2">
        <v>124</v>
      </c>
      <c r="B125" s="21" t="str">
        <f t="shared" si="25"/>
        <v>1.3.13c</v>
      </c>
      <c r="C125" s="2">
        <v>1</v>
      </c>
      <c r="D125" s="2">
        <v>3</v>
      </c>
      <c r="E125" s="2">
        <v>13</v>
      </c>
      <c r="F125" s="2" t="s">
        <v>94</v>
      </c>
      <c r="G125" s="2" t="s">
        <v>217</v>
      </c>
      <c r="H125" s="2">
        <v>2</v>
      </c>
      <c r="I125" s="19" t="str">
        <f t="shared" si="15"/>
        <v/>
      </c>
      <c r="J125" s="2" t="str">
        <f t="shared" si="16"/>
        <v/>
      </c>
      <c r="K125" s="2" t="str">
        <f t="shared" si="17"/>
        <v/>
      </c>
      <c r="L125" s="2" t="str">
        <f t="shared" si="18"/>
        <v/>
      </c>
      <c r="M125" s="2" t="str">
        <f t="shared" si="19"/>
        <v/>
      </c>
      <c r="N125" s="2">
        <f t="shared" si="20"/>
        <v>6</v>
      </c>
      <c r="O125" s="19">
        <f t="shared" si="21"/>
        <v>6</v>
      </c>
      <c r="Q125" s="2" t="str">
        <f t="shared" si="22"/>
        <v>13</v>
      </c>
      <c r="R125" s="21" t="str">
        <f t="shared" si="23"/>
        <v>1.3.13c</v>
      </c>
      <c r="S125" s="2" t="str">
        <f t="shared" si="24"/>
        <v/>
      </c>
      <c r="T125" s="2" t="str">
        <f t="shared" si="26"/>
        <v/>
      </c>
      <c r="U125" s="19" t="str">
        <f t="shared" si="27"/>
        <v/>
      </c>
    </row>
    <row r="126" spans="1:21" x14ac:dyDescent="0.2">
      <c r="A126" s="2">
        <v>125</v>
      </c>
      <c r="B126" s="21" t="str">
        <f t="shared" si="25"/>
        <v>1.3.13d</v>
      </c>
      <c r="C126" s="2">
        <v>1</v>
      </c>
      <c r="D126" s="2">
        <v>3</v>
      </c>
      <c r="E126" s="2">
        <v>13</v>
      </c>
      <c r="F126" s="2" t="s">
        <v>112</v>
      </c>
      <c r="G126" s="2" t="s">
        <v>218</v>
      </c>
      <c r="H126" s="2">
        <v>2</v>
      </c>
      <c r="I126" s="19" t="str">
        <f t="shared" si="15"/>
        <v/>
      </c>
      <c r="J126" s="2" t="str">
        <f t="shared" si="16"/>
        <v/>
      </c>
      <c r="K126" s="2" t="str">
        <f t="shared" si="17"/>
        <v/>
      </c>
      <c r="L126" s="2" t="str">
        <f t="shared" si="18"/>
        <v/>
      </c>
      <c r="M126" s="2" t="str">
        <f t="shared" si="19"/>
        <v/>
      </c>
      <c r="N126" s="2">
        <f t="shared" si="20"/>
        <v>6</v>
      </c>
      <c r="O126" s="19">
        <f t="shared" si="21"/>
        <v>6</v>
      </c>
      <c r="Q126" s="2" t="str">
        <f t="shared" si="22"/>
        <v>13</v>
      </c>
      <c r="R126" s="21" t="str">
        <f t="shared" si="23"/>
        <v>1.3.13d</v>
      </c>
      <c r="S126" s="2" t="str">
        <f t="shared" si="24"/>
        <v/>
      </c>
      <c r="T126" s="2" t="str">
        <f t="shared" si="26"/>
        <v/>
      </c>
      <c r="U126" s="19" t="str">
        <f t="shared" si="27"/>
        <v/>
      </c>
    </row>
    <row r="127" spans="1:21" x14ac:dyDescent="0.2">
      <c r="A127" s="2">
        <v>126</v>
      </c>
      <c r="B127" s="21" t="str">
        <f t="shared" si="25"/>
        <v>1.3.14</v>
      </c>
      <c r="C127" s="2">
        <v>1</v>
      </c>
      <c r="D127" s="2">
        <v>3</v>
      </c>
      <c r="E127" s="2">
        <v>14</v>
      </c>
      <c r="F127" s="2" t="s">
        <v>84</v>
      </c>
      <c r="G127" s="2" t="s">
        <v>219</v>
      </c>
      <c r="H127" s="2" t="s">
        <v>89</v>
      </c>
      <c r="I127" s="19" t="str">
        <f t="shared" si="15"/>
        <v/>
      </c>
      <c r="J127" s="2" t="str">
        <f t="shared" si="16"/>
        <v/>
      </c>
      <c r="K127" s="2" t="str">
        <f t="shared" si="17"/>
        <v/>
      </c>
      <c r="L127" s="2">
        <f t="shared" si="18"/>
        <v>4</v>
      </c>
      <c r="M127" s="2" t="str">
        <f t="shared" si="19"/>
        <v/>
      </c>
      <c r="N127" s="2" t="str">
        <f t="shared" si="20"/>
        <v/>
      </c>
      <c r="O127" s="19">
        <f t="shared" si="21"/>
        <v>4</v>
      </c>
      <c r="Q127" s="2" t="str">
        <f t="shared" si="22"/>
        <v>14</v>
      </c>
      <c r="R127" s="21" t="str">
        <f t="shared" si="23"/>
        <v>1.3.14</v>
      </c>
      <c r="S127" s="2" t="str">
        <f t="shared" si="24"/>
        <v/>
      </c>
      <c r="T127" s="2" t="str">
        <f t="shared" si="26"/>
        <v/>
      </c>
      <c r="U127" s="19" t="str">
        <f t="shared" si="27"/>
        <v/>
      </c>
    </row>
    <row r="128" spans="1:21" x14ac:dyDescent="0.2">
      <c r="A128" s="2">
        <v>127</v>
      </c>
      <c r="B128" s="21" t="str">
        <f t="shared" si="25"/>
        <v>1.3.14a</v>
      </c>
      <c r="C128" s="2">
        <v>1</v>
      </c>
      <c r="D128" s="2">
        <v>3</v>
      </c>
      <c r="E128" s="2">
        <v>14</v>
      </c>
      <c r="F128" s="2" t="s">
        <v>90</v>
      </c>
      <c r="G128" s="2" t="s">
        <v>220</v>
      </c>
      <c r="H128" s="2">
        <v>2</v>
      </c>
      <c r="I128" s="19" t="str">
        <f t="shared" ref="I128:I190" si="30">IF(AND(LEN(C128)=1,LEN(D128)=0),1,"")</f>
        <v/>
      </c>
      <c r="J128" s="2" t="str">
        <f t="shared" ref="J128:J190" si="31">IF(AND(LEN(C128)=1,LEN(D128)=1,LEN(E128)=0,LEN(F128)=0),2,"")</f>
        <v/>
      </c>
      <c r="K128" s="2" t="str">
        <f t="shared" ref="K128:K190" si="32">IF(AND(LEN(C128)=0,LEN(E128)=0),3,"")</f>
        <v/>
      </c>
      <c r="L128" s="2" t="str">
        <f t="shared" ref="L128:L190" si="33">IF(AND(LEN(C128)&gt;0,LEN(D128&gt;0),LEN(E128)&gt;0,LEN(F128)=0,H128="N/A"),4,"")</f>
        <v/>
      </c>
      <c r="M128" s="2" t="str">
        <f t="shared" ref="M128:M190" si="34">IF(AND(LEN(C128)&gt;0,LEN(D128&gt;0),LEN(E128)&gt;0,LEN(F128)=0,H128&gt;0,H128&lt;6),5,"")</f>
        <v/>
      </c>
      <c r="N128" s="2">
        <f t="shared" ref="N128:N190" si="35">IF(AND(LEN(C128)&gt;0,LEN(D128&gt;0),LEN(E128)&gt;0,LEN(F128)&gt;0,H128&gt;0,H128&lt;6),6,"")</f>
        <v>6</v>
      </c>
      <c r="O128" s="19">
        <f t="shared" ref="O128:O190" si="36">SUM(I128:N128)</f>
        <v>6</v>
      </c>
      <c r="Q128" s="2" t="str">
        <f t="shared" ref="Q128:Q190" si="37">IF(LEN(E128)&gt;0,TEXT(E128,"00"),"")</f>
        <v>14</v>
      </c>
      <c r="R128" s="21" t="str">
        <f t="shared" ref="R128:R190" si="38">IF(O128=1,C128,IF(O128=2,C128&amp;"."&amp;D128,IF(O128=3,"",IF(O128=4,C128&amp;"."&amp;D128&amp;"."&amp;Q128,IF(O128=5,C128&amp;"."&amp;D128&amp;"."&amp;Q128,IF(O128=6,C128&amp;"."&amp;D128&amp;"."&amp;Q128&amp;F128,""))))))</f>
        <v>1.3.14a</v>
      </c>
      <c r="S128" s="2" t="str">
        <f t="shared" ref="S128:S190" si="39">IF(O128=O127,IF(NOT(R128&gt;R127),1,""),"")</f>
        <v/>
      </c>
      <c r="T128" s="2" t="str">
        <f t="shared" si="26"/>
        <v/>
      </c>
      <c r="U128" s="19" t="str">
        <f t="shared" si="27"/>
        <v/>
      </c>
    </row>
    <row r="129" spans="1:21" x14ac:dyDescent="0.2">
      <c r="A129" s="2">
        <v>128</v>
      </c>
      <c r="B129" s="21" t="str">
        <f t="shared" ref="B129:B191" si="40">R129</f>
        <v>1.3.14b</v>
      </c>
      <c r="C129" s="2">
        <v>1</v>
      </c>
      <c r="D129" s="2">
        <v>3</v>
      </c>
      <c r="E129" s="2">
        <v>14</v>
      </c>
      <c r="F129" s="2" t="s">
        <v>92</v>
      </c>
      <c r="G129" s="2" t="s">
        <v>221</v>
      </c>
      <c r="H129" s="2">
        <v>2</v>
      </c>
      <c r="I129" s="19" t="str">
        <f t="shared" si="30"/>
        <v/>
      </c>
      <c r="J129" s="2" t="str">
        <f t="shared" si="31"/>
        <v/>
      </c>
      <c r="K129" s="2" t="str">
        <f t="shared" si="32"/>
        <v/>
      </c>
      <c r="L129" s="2" t="str">
        <f t="shared" si="33"/>
        <v/>
      </c>
      <c r="M129" s="2" t="str">
        <f t="shared" si="34"/>
        <v/>
      </c>
      <c r="N129" s="2">
        <f t="shared" si="35"/>
        <v>6</v>
      </c>
      <c r="O129" s="19">
        <f t="shared" si="36"/>
        <v>6</v>
      </c>
      <c r="Q129" s="2" t="str">
        <f t="shared" si="37"/>
        <v>14</v>
      </c>
      <c r="R129" s="21" t="str">
        <f t="shared" si="38"/>
        <v>1.3.14b</v>
      </c>
      <c r="S129" s="2" t="str">
        <f t="shared" si="39"/>
        <v/>
      </c>
      <c r="T129" s="2" t="str">
        <f t="shared" ref="T129:T191" si="41">IF(NOT(R129&gt;R128),1,"")</f>
        <v/>
      </c>
      <c r="U129" s="19" t="str">
        <f t="shared" si="27"/>
        <v/>
      </c>
    </row>
    <row r="130" spans="1:21" x14ac:dyDescent="0.2">
      <c r="A130" s="2">
        <v>129</v>
      </c>
      <c r="B130" s="21" t="str">
        <f t="shared" si="40"/>
        <v>1.3.14c</v>
      </c>
      <c r="C130" s="2">
        <v>1</v>
      </c>
      <c r="D130" s="2">
        <v>3</v>
      </c>
      <c r="E130" s="2">
        <v>14</v>
      </c>
      <c r="F130" s="2" t="s">
        <v>94</v>
      </c>
      <c r="G130" s="2" t="s">
        <v>222</v>
      </c>
      <c r="H130" s="2">
        <v>2</v>
      </c>
      <c r="I130" s="19" t="str">
        <f t="shared" si="30"/>
        <v/>
      </c>
      <c r="J130" s="2" t="str">
        <f t="shared" si="31"/>
        <v/>
      </c>
      <c r="K130" s="2" t="str">
        <f t="shared" si="32"/>
        <v/>
      </c>
      <c r="L130" s="2" t="str">
        <f t="shared" si="33"/>
        <v/>
      </c>
      <c r="M130" s="2" t="str">
        <f t="shared" si="34"/>
        <v/>
      </c>
      <c r="N130" s="2">
        <f t="shared" si="35"/>
        <v>6</v>
      </c>
      <c r="O130" s="19">
        <f t="shared" si="36"/>
        <v>6</v>
      </c>
      <c r="Q130" s="2" t="str">
        <f t="shared" si="37"/>
        <v>14</v>
      </c>
      <c r="R130" s="21" t="str">
        <f t="shared" si="38"/>
        <v>1.3.14c</v>
      </c>
      <c r="S130" s="2" t="str">
        <f t="shared" si="39"/>
        <v/>
      </c>
      <c r="T130" s="2" t="str">
        <f t="shared" si="41"/>
        <v/>
      </c>
      <c r="U130" s="19" t="str">
        <f t="shared" si="27"/>
        <v/>
      </c>
    </row>
    <row r="131" spans="1:21" x14ac:dyDescent="0.2">
      <c r="A131" s="2">
        <v>130</v>
      </c>
      <c r="B131" s="21" t="str">
        <f t="shared" si="40"/>
        <v>1.3.15</v>
      </c>
      <c r="C131" s="2">
        <v>1</v>
      </c>
      <c r="D131" s="2">
        <v>3</v>
      </c>
      <c r="E131" s="2">
        <v>15</v>
      </c>
      <c r="F131" s="2" t="s">
        <v>84</v>
      </c>
      <c r="G131" s="2" t="s">
        <v>223</v>
      </c>
      <c r="H131" s="2">
        <v>5</v>
      </c>
      <c r="I131" s="19" t="str">
        <f t="shared" si="30"/>
        <v/>
      </c>
      <c r="J131" s="2" t="str">
        <f t="shared" si="31"/>
        <v/>
      </c>
      <c r="K131" s="2" t="str">
        <f t="shared" si="32"/>
        <v/>
      </c>
      <c r="L131" s="2" t="str">
        <f t="shared" si="33"/>
        <v/>
      </c>
      <c r="M131" s="2">
        <f t="shared" si="34"/>
        <v>5</v>
      </c>
      <c r="N131" s="2" t="str">
        <f t="shared" si="35"/>
        <v/>
      </c>
      <c r="O131" s="19">
        <f t="shared" si="36"/>
        <v>5</v>
      </c>
      <c r="Q131" s="2" t="str">
        <f t="shared" si="37"/>
        <v>15</v>
      </c>
      <c r="R131" s="21" t="str">
        <f t="shared" si="38"/>
        <v>1.3.15</v>
      </c>
      <c r="S131" s="2" t="str">
        <f t="shared" si="39"/>
        <v/>
      </c>
      <c r="T131" s="2" t="str">
        <f t="shared" si="41"/>
        <v/>
      </c>
      <c r="U131" s="19" t="str">
        <f t="shared" ref="U131:U194" si="42">IF(O131&lt;4,IF(LEN(H131)=0,"",1),IF(O131=4,IF(H131="N/A","",1),IF(AND(O131&gt;4,O131&lt;7),IF(AND(H131&gt;0,H131&lt;6),"",1),1)))</f>
        <v/>
      </c>
    </row>
    <row r="132" spans="1:21" x14ac:dyDescent="0.2">
      <c r="A132" s="2">
        <v>131</v>
      </c>
      <c r="B132" s="21" t="str">
        <f t="shared" si="40"/>
        <v>1.3.16</v>
      </c>
      <c r="C132" s="2">
        <v>1</v>
      </c>
      <c r="D132" s="2">
        <v>3</v>
      </c>
      <c r="E132" s="2">
        <v>16</v>
      </c>
      <c r="F132" s="2" t="s">
        <v>84</v>
      </c>
      <c r="G132" s="2" t="s">
        <v>224</v>
      </c>
      <c r="H132" s="2" t="s">
        <v>89</v>
      </c>
      <c r="I132" s="19" t="str">
        <f t="shared" si="30"/>
        <v/>
      </c>
      <c r="J132" s="2" t="str">
        <f t="shared" si="31"/>
        <v/>
      </c>
      <c r="K132" s="2" t="str">
        <f t="shared" si="32"/>
        <v/>
      </c>
      <c r="L132" s="2">
        <f t="shared" si="33"/>
        <v>4</v>
      </c>
      <c r="M132" s="2" t="str">
        <f t="shared" si="34"/>
        <v/>
      </c>
      <c r="N132" s="2" t="str">
        <f t="shared" si="35"/>
        <v/>
      </c>
      <c r="O132" s="19">
        <f t="shared" si="36"/>
        <v>4</v>
      </c>
      <c r="Q132" s="2" t="str">
        <f t="shared" si="37"/>
        <v>16</v>
      </c>
      <c r="R132" s="21" t="str">
        <f t="shared" si="38"/>
        <v>1.3.16</v>
      </c>
      <c r="S132" s="2" t="str">
        <f t="shared" si="39"/>
        <v/>
      </c>
      <c r="T132" s="2" t="str">
        <f t="shared" si="41"/>
        <v/>
      </c>
      <c r="U132" s="19" t="str">
        <f t="shared" si="42"/>
        <v/>
      </c>
    </row>
    <row r="133" spans="1:21" x14ac:dyDescent="0.2">
      <c r="A133" s="2">
        <v>132</v>
      </c>
      <c r="B133" s="21" t="str">
        <f t="shared" si="40"/>
        <v>1.3.16a</v>
      </c>
      <c r="C133" s="2">
        <v>1</v>
      </c>
      <c r="D133" s="2">
        <v>3</v>
      </c>
      <c r="E133" s="2">
        <v>16</v>
      </c>
      <c r="F133" s="2" t="s">
        <v>90</v>
      </c>
      <c r="G133" s="2" t="s">
        <v>225</v>
      </c>
      <c r="H133" s="2">
        <v>2</v>
      </c>
      <c r="I133" s="19" t="str">
        <f t="shared" si="30"/>
        <v/>
      </c>
      <c r="J133" s="2" t="str">
        <f t="shared" si="31"/>
        <v/>
      </c>
      <c r="K133" s="2" t="str">
        <f t="shared" si="32"/>
        <v/>
      </c>
      <c r="L133" s="2" t="str">
        <f t="shared" si="33"/>
        <v/>
      </c>
      <c r="M133" s="2" t="str">
        <f t="shared" si="34"/>
        <v/>
      </c>
      <c r="N133" s="2">
        <f t="shared" si="35"/>
        <v>6</v>
      </c>
      <c r="O133" s="19">
        <f t="shared" si="36"/>
        <v>6</v>
      </c>
      <c r="Q133" s="2" t="str">
        <f t="shared" si="37"/>
        <v>16</v>
      </c>
      <c r="R133" s="21" t="str">
        <f t="shared" si="38"/>
        <v>1.3.16a</v>
      </c>
      <c r="S133" s="2" t="str">
        <f t="shared" si="39"/>
        <v/>
      </c>
      <c r="T133" s="2" t="str">
        <f t="shared" si="41"/>
        <v/>
      </c>
      <c r="U133" s="19" t="str">
        <f t="shared" si="42"/>
        <v/>
      </c>
    </row>
    <row r="134" spans="1:21" x14ac:dyDescent="0.2">
      <c r="A134" s="2">
        <v>133</v>
      </c>
      <c r="B134" s="21" t="str">
        <f t="shared" si="40"/>
        <v>1.3.16b</v>
      </c>
      <c r="C134" s="2">
        <v>1</v>
      </c>
      <c r="D134" s="2">
        <v>3</v>
      </c>
      <c r="E134" s="2">
        <v>16</v>
      </c>
      <c r="F134" s="2" t="s">
        <v>92</v>
      </c>
      <c r="G134" s="2" t="s">
        <v>226</v>
      </c>
      <c r="H134" s="2">
        <v>2</v>
      </c>
      <c r="I134" s="19" t="str">
        <f t="shared" si="30"/>
        <v/>
      </c>
      <c r="J134" s="2" t="str">
        <f t="shared" si="31"/>
        <v/>
      </c>
      <c r="K134" s="2" t="str">
        <f t="shared" si="32"/>
        <v/>
      </c>
      <c r="L134" s="2" t="str">
        <f t="shared" si="33"/>
        <v/>
      </c>
      <c r="M134" s="2" t="str">
        <f t="shared" si="34"/>
        <v/>
      </c>
      <c r="N134" s="2">
        <f t="shared" si="35"/>
        <v>6</v>
      </c>
      <c r="O134" s="19">
        <f t="shared" si="36"/>
        <v>6</v>
      </c>
      <c r="Q134" s="2" t="str">
        <f t="shared" si="37"/>
        <v>16</v>
      </c>
      <c r="R134" s="21" t="str">
        <f t="shared" si="38"/>
        <v>1.3.16b</v>
      </c>
      <c r="S134" s="2" t="str">
        <f t="shared" si="39"/>
        <v/>
      </c>
      <c r="T134" s="2" t="str">
        <f t="shared" si="41"/>
        <v/>
      </c>
      <c r="U134" s="19" t="str">
        <f t="shared" si="42"/>
        <v/>
      </c>
    </row>
    <row r="135" spans="1:21" x14ac:dyDescent="0.2">
      <c r="A135" s="2">
        <v>134</v>
      </c>
      <c r="B135" s="21" t="str">
        <f t="shared" si="40"/>
        <v>1.3.16c</v>
      </c>
      <c r="C135" s="2">
        <v>1</v>
      </c>
      <c r="D135" s="2">
        <v>3</v>
      </c>
      <c r="E135" s="2">
        <v>16</v>
      </c>
      <c r="F135" s="2" t="s">
        <v>94</v>
      </c>
      <c r="G135" s="2" t="s">
        <v>227</v>
      </c>
      <c r="H135" s="2">
        <v>2</v>
      </c>
      <c r="I135" s="19" t="str">
        <f t="shared" si="30"/>
        <v/>
      </c>
      <c r="J135" s="2" t="str">
        <f t="shared" si="31"/>
        <v/>
      </c>
      <c r="K135" s="2" t="str">
        <f t="shared" si="32"/>
        <v/>
      </c>
      <c r="L135" s="2" t="str">
        <f t="shared" si="33"/>
        <v/>
      </c>
      <c r="M135" s="2" t="str">
        <f t="shared" si="34"/>
        <v/>
      </c>
      <c r="N135" s="2">
        <f t="shared" si="35"/>
        <v>6</v>
      </c>
      <c r="O135" s="19">
        <f t="shared" si="36"/>
        <v>6</v>
      </c>
      <c r="Q135" s="2" t="str">
        <f t="shared" si="37"/>
        <v>16</v>
      </c>
      <c r="R135" s="21" t="str">
        <f t="shared" si="38"/>
        <v>1.3.16c</v>
      </c>
      <c r="S135" s="2" t="str">
        <f t="shared" si="39"/>
        <v/>
      </c>
      <c r="T135" s="2" t="str">
        <f t="shared" si="41"/>
        <v/>
      </c>
      <c r="U135" s="19" t="str">
        <f t="shared" si="42"/>
        <v/>
      </c>
    </row>
    <row r="136" spans="1:21" x14ac:dyDescent="0.2">
      <c r="A136" s="2">
        <v>135</v>
      </c>
      <c r="B136" s="21" t="str">
        <f t="shared" si="40"/>
        <v>1.3.16d</v>
      </c>
      <c r="C136" s="2">
        <v>1</v>
      </c>
      <c r="D136" s="2">
        <v>3</v>
      </c>
      <c r="E136" s="2">
        <v>16</v>
      </c>
      <c r="F136" s="2" t="s">
        <v>112</v>
      </c>
      <c r="G136" s="2" t="s">
        <v>228</v>
      </c>
      <c r="H136" s="2">
        <v>2</v>
      </c>
      <c r="I136" s="19" t="str">
        <f t="shared" si="30"/>
        <v/>
      </c>
      <c r="J136" s="2" t="str">
        <f t="shared" si="31"/>
        <v/>
      </c>
      <c r="K136" s="2" t="str">
        <f t="shared" si="32"/>
        <v/>
      </c>
      <c r="L136" s="2" t="str">
        <f t="shared" si="33"/>
        <v/>
      </c>
      <c r="M136" s="2" t="str">
        <f t="shared" si="34"/>
        <v/>
      </c>
      <c r="N136" s="2">
        <f t="shared" si="35"/>
        <v>6</v>
      </c>
      <c r="O136" s="19">
        <f t="shared" si="36"/>
        <v>6</v>
      </c>
      <c r="Q136" s="2" t="str">
        <f t="shared" si="37"/>
        <v>16</v>
      </c>
      <c r="R136" s="21" t="str">
        <f t="shared" si="38"/>
        <v>1.3.16d</v>
      </c>
      <c r="S136" s="2" t="str">
        <f t="shared" si="39"/>
        <v/>
      </c>
      <c r="T136" s="2" t="str">
        <f t="shared" si="41"/>
        <v/>
      </c>
      <c r="U136" s="19" t="str">
        <f t="shared" si="42"/>
        <v/>
      </c>
    </row>
    <row r="137" spans="1:21" x14ac:dyDescent="0.2">
      <c r="A137" s="2">
        <v>136</v>
      </c>
      <c r="B137" s="21" t="str">
        <f t="shared" si="40"/>
        <v>1.3.17</v>
      </c>
      <c r="C137" s="2">
        <v>1</v>
      </c>
      <c r="D137" s="2">
        <v>3</v>
      </c>
      <c r="E137" s="2">
        <v>17</v>
      </c>
      <c r="F137" s="2" t="s">
        <v>84</v>
      </c>
      <c r="G137" s="2" t="s">
        <v>229</v>
      </c>
      <c r="H137" s="2" t="s">
        <v>89</v>
      </c>
      <c r="I137" s="19" t="str">
        <f t="shared" si="30"/>
        <v/>
      </c>
      <c r="J137" s="2" t="str">
        <f t="shared" si="31"/>
        <v/>
      </c>
      <c r="K137" s="2" t="str">
        <f t="shared" si="32"/>
        <v/>
      </c>
      <c r="L137" s="2">
        <f t="shared" si="33"/>
        <v>4</v>
      </c>
      <c r="M137" s="2" t="str">
        <f t="shared" si="34"/>
        <v/>
      </c>
      <c r="N137" s="2" t="str">
        <f t="shared" si="35"/>
        <v/>
      </c>
      <c r="O137" s="19">
        <f t="shared" si="36"/>
        <v>4</v>
      </c>
      <c r="Q137" s="2" t="str">
        <f t="shared" si="37"/>
        <v>17</v>
      </c>
      <c r="R137" s="21" t="str">
        <f t="shared" si="38"/>
        <v>1.3.17</v>
      </c>
      <c r="S137" s="2" t="str">
        <f t="shared" si="39"/>
        <v/>
      </c>
      <c r="T137" s="2" t="str">
        <f t="shared" si="41"/>
        <v/>
      </c>
      <c r="U137" s="19" t="str">
        <f t="shared" si="42"/>
        <v/>
      </c>
    </row>
    <row r="138" spans="1:21" x14ac:dyDescent="0.2">
      <c r="A138" s="2">
        <v>137</v>
      </c>
      <c r="B138" s="21" t="str">
        <f t="shared" si="40"/>
        <v>1.3.17a</v>
      </c>
      <c r="C138" s="2">
        <v>1</v>
      </c>
      <c r="D138" s="2">
        <v>3</v>
      </c>
      <c r="E138" s="2">
        <v>17</v>
      </c>
      <c r="F138" s="2" t="s">
        <v>90</v>
      </c>
      <c r="G138" s="2" t="s">
        <v>230</v>
      </c>
      <c r="H138" s="2">
        <v>4</v>
      </c>
      <c r="I138" s="19" t="str">
        <f t="shared" si="30"/>
        <v/>
      </c>
      <c r="J138" s="2" t="str">
        <f t="shared" si="31"/>
        <v/>
      </c>
      <c r="K138" s="2" t="str">
        <f t="shared" si="32"/>
        <v/>
      </c>
      <c r="L138" s="2" t="str">
        <f t="shared" si="33"/>
        <v/>
      </c>
      <c r="M138" s="2" t="str">
        <f t="shared" si="34"/>
        <v/>
      </c>
      <c r="N138" s="2">
        <f t="shared" si="35"/>
        <v>6</v>
      </c>
      <c r="O138" s="19">
        <f t="shared" si="36"/>
        <v>6</v>
      </c>
      <c r="Q138" s="2" t="str">
        <f t="shared" si="37"/>
        <v>17</v>
      </c>
      <c r="R138" s="21" t="str">
        <f t="shared" si="38"/>
        <v>1.3.17a</v>
      </c>
      <c r="S138" s="2" t="str">
        <f t="shared" si="39"/>
        <v/>
      </c>
      <c r="T138" s="2" t="str">
        <f t="shared" si="41"/>
        <v/>
      </c>
      <c r="U138" s="19" t="str">
        <f t="shared" si="42"/>
        <v/>
      </c>
    </row>
    <row r="139" spans="1:21" x14ac:dyDescent="0.2">
      <c r="A139" s="2">
        <v>138</v>
      </c>
      <c r="B139" s="21" t="str">
        <f t="shared" si="40"/>
        <v>1.3.17b</v>
      </c>
      <c r="C139" s="2">
        <v>1</v>
      </c>
      <c r="D139" s="2">
        <v>3</v>
      </c>
      <c r="E139" s="2">
        <v>17</v>
      </c>
      <c r="F139" s="2" t="s">
        <v>92</v>
      </c>
      <c r="G139" s="2" t="s">
        <v>231</v>
      </c>
      <c r="H139" s="2">
        <v>4</v>
      </c>
      <c r="I139" s="19" t="str">
        <f t="shared" si="30"/>
        <v/>
      </c>
      <c r="J139" s="2" t="str">
        <f t="shared" si="31"/>
        <v/>
      </c>
      <c r="K139" s="2" t="str">
        <f t="shared" si="32"/>
        <v/>
      </c>
      <c r="L139" s="2" t="str">
        <f t="shared" si="33"/>
        <v/>
      </c>
      <c r="M139" s="2" t="str">
        <f t="shared" si="34"/>
        <v/>
      </c>
      <c r="N139" s="2">
        <f t="shared" si="35"/>
        <v>6</v>
      </c>
      <c r="O139" s="19">
        <f t="shared" si="36"/>
        <v>6</v>
      </c>
      <c r="Q139" s="2" t="str">
        <f t="shared" si="37"/>
        <v>17</v>
      </c>
      <c r="R139" s="21" t="str">
        <f t="shared" si="38"/>
        <v>1.3.17b</v>
      </c>
      <c r="S139" s="2" t="str">
        <f t="shared" si="39"/>
        <v/>
      </c>
      <c r="T139" s="2" t="str">
        <f t="shared" si="41"/>
        <v/>
      </c>
      <c r="U139" s="19" t="str">
        <f t="shared" si="42"/>
        <v/>
      </c>
    </row>
    <row r="140" spans="1:21" x14ac:dyDescent="0.2">
      <c r="A140" s="2">
        <v>139</v>
      </c>
      <c r="B140" s="21" t="str">
        <f t="shared" si="40"/>
        <v>1.3.17c</v>
      </c>
      <c r="C140" s="2">
        <v>1</v>
      </c>
      <c r="D140" s="2">
        <v>3</v>
      </c>
      <c r="E140" s="2">
        <v>17</v>
      </c>
      <c r="F140" s="2" t="s">
        <v>94</v>
      </c>
      <c r="G140" s="2" t="s">
        <v>232</v>
      </c>
      <c r="H140" s="2">
        <v>3</v>
      </c>
      <c r="I140" s="19" t="str">
        <f t="shared" si="30"/>
        <v/>
      </c>
      <c r="J140" s="2" t="str">
        <f t="shared" si="31"/>
        <v/>
      </c>
      <c r="K140" s="2" t="str">
        <f t="shared" si="32"/>
        <v/>
      </c>
      <c r="L140" s="2" t="str">
        <f t="shared" si="33"/>
        <v/>
      </c>
      <c r="M140" s="2" t="str">
        <f t="shared" si="34"/>
        <v/>
      </c>
      <c r="N140" s="2">
        <f t="shared" si="35"/>
        <v>6</v>
      </c>
      <c r="O140" s="19">
        <f t="shared" si="36"/>
        <v>6</v>
      </c>
      <c r="Q140" s="2" t="str">
        <f t="shared" si="37"/>
        <v>17</v>
      </c>
      <c r="R140" s="21" t="str">
        <f t="shared" si="38"/>
        <v>1.3.17c</v>
      </c>
      <c r="S140" s="2" t="str">
        <f t="shared" si="39"/>
        <v/>
      </c>
      <c r="T140" s="2" t="str">
        <f t="shared" si="41"/>
        <v/>
      </c>
      <c r="U140" s="19" t="str">
        <f t="shared" si="42"/>
        <v/>
      </c>
    </row>
    <row r="141" spans="1:21" x14ac:dyDescent="0.2">
      <c r="A141" s="2">
        <v>140</v>
      </c>
      <c r="B141" s="21" t="str">
        <f t="shared" si="40"/>
        <v>1.3.17d</v>
      </c>
      <c r="C141" s="2">
        <v>1</v>
      </c>
      <c r="D141" s="2">
        <v>3</v>
      </c>
      <c r="E141" s="2">
        <v>17</v>
      </c>
      <c r="F141" s="2" t="s">
        <v>112</v>
      </c>
      <c r="G141" s="2" t="s">
        <v>233</v>
      </c>
      <c r="H141" s="2">
        <v>4</v>
      </c>
      <c r="I141" s="19" t="str">
        <f t="shared" si="30"/>
        <v/>
      </c>
      <c r="J141" s="2" t="str">
        <f t="shared" si="31"/>
        <v/>
      </c>
      <c r="K141" s="2" t="str">
        <f t="shared" si="32"/>
        <v/>
      </c>
      <c r="L141" s="2" t="str">
        <f t="shared" si="33"/>
        <v/>
      </c>
      <c r="M141" s="2" t="str">
        <f t="shared" si="34"/>
        <v/>
      </c>
      <c r="N141" s="2">
        <f t="shared" si="35"/>
        <v>6</v>
      </c>
      <c r="O141" s="19">
        <f t="shared" si="36"/>
        <v>6</v>
      </c>
      <c r="Q141" s="2" t="str">
        <f t="shared" si="37"/>
        <v>17</v>
      </c>
      <c r="R141" s="21" t="str">
        <f t="shared" si="38"/>
        <v>1.3.17d</v>
      </c>
      <c r="S141" s="2" t="str">
        <f t="shared" si="39"/>
        <v/>
      </c>
      <c r="T141" s="2" t="str">
        <f t="shared" si="41"/>
        <v/>
      </c>
      <c r="U141" s="19" t="str">
        <f t="shared" si="42"/>
        <v/>
      </c>
    </row>
    <row r="142" spans="1:21" x14ac:dyDescent="0.2">
      <c r="A142" s="2">
        <v>141</v>
      </c>
      <c r="B142" s="21" t="str">
        <f t="shared" si="40"/>
        <v>1.3.18</v>
      </c>
      <c r="C142" s="2">
        <v>1</v>
      </c>
      <c r="D142" s="2">
        <v>3</v>
      </c>
      <c r="E142" s="2">
        <v>18</v>
      </c>
      <c r="F142" s="2" t="s">
        <v>84</v>
      </c>
      <c r="G142" s="2" t="s">
        <v>234</v>
      </c>
      <c r="H142" s="2" t="s">
        <v>89</v>
      </c>
      <c r="I142" s="19" t="str">
        <f t="shared" si="30"/>
        <v/>
      </c>
      <c r="J142" s="2" t="str">
        <f t="shared" si="31"/>
        <v/>
      </c>
      <c r="K142" s="2" t="str">
        <f t="shared" si="32"/>
        <v/>
      </c>
      <c r="L142" s="2">
        <f t="shared" si="33"/>
        <v>4</v>
      </c>
      <c r="M142" s="2" t="str">
        <f t="shared" si="34"/>
        <v/>
      </c>
      <c r="N142" s="2" t="str">
        <f t="shared" si="35"/>
        <v/>
      </c>
      <c r="O142" s="19">
        <f t="shared" si="36"/>
        <v>4</v>
      </c>
      <c r="Q142" s="2" t="str">
        <f t="shared" si="37"/>
        <v>18</v>
      </c>
      <c r="R142" s="21" t="str">
        <f t="shared" si="38"/>
        <v>1.3.18</v>
      </c>
      <c r="S142" s="2" t="str">
        <f t="shared" si="39"/>
        <v/>
      </c>
      <c r="T142" s="2" t="str">
        <f t="shared" si="41"/>
        <v/>
      </c>
      <c r="U142" s="19" t="str">
        <f t="shared" si="42"/>
        <v/>
      </c>
    </row>
    <row r="143" spans="1:21" x14ac:dyDescent="0.2">
      <c r="A143" s="2">
        <v>142</v>
      </c>
      <c r="B143" s="21" t="str">
        <f t="shared" si="40"/>
        <v>1.3.18a</v>
      </c>
      <c r="C143" s="2">
        <v>1</v>
      </c>
      <c r="D143" s="2">
        <v>3</v>
      </c>
      <c r="E143" s="2">
        <v>18</v>
      </c>
      <c r="F143" s="2" t="s">
        <v>90</v>
      </c>
      <c r="G143" s="2" t="s">
        <v>235</v>
      </c>
      <c r="H143" s="2">
        <v>2</v>
      </c>
      <c r="I143" s="19" t="str">
        <f t="shared" si="30"/>
        <v/>
      </c>
      <c r="J143" s="2" t="str">
        <f t="shared" si="31"/>
        <v/>
      </c>
      <c r="K143" s="2" t="str">
        <f t="shared" si="32"/>
        <v/>
      </c>
      <c r="L143" s="2" t="str">
        <f t="shared" si="33"/>
        <v/>
      </c>
      <c r="M143" s="2" t="str">
        <f t="shared" si="34"/>
        <v/>
      </c>
      <c r="N143" s="2">
        <f t="shared" si="35"/>
        <v>6</v>
      </c>
      <c r="O143" s="19">
        <f t="shared" si="36"/>
        <v>6</v>
      </c>
      <c r="Q143" s="2" t="str">
        <f t="shared" si="37"/>
        <v>18</v>
      </c>
      <c r="R143" s="21" t="str">
        <f t="shared" si="38"/>
        <v>1.3.18a</v>
      </c>
      <c r="S143" s="2" t="str">
        <f t="shared" si="39"/>
        <v/>
      </c>
      <c r="T143" s="2" t="str">
        <f t="shared" si="41"/>
        <v/>
      </c>
      <c r="U143" s="19" t="str">
        <f t="shared" si="42"/>
        <v/>
      </c>
    </row>
    <row r="144" spans="1:21" x14ac:dyDescent="0.2">
      <c r="A144" s="2">
        <v>143</v>
      </c>
      <c r="B144" s="21" t="str">
        <f t="shared" si="40"/>
        <v>1.3.18b</v>
      </c>
      <c r="C144" s="2">
        <v>1</v>
      </c>
      <c r="D144" s="2">
        <v>3</v>
      </c>
      <c r="E144" s="2">
        <v>18</v>
      </c>
      <c r="F144" s="2" t="s">
        <v>92</v>
      </c>
      <c r="G144" s="2" t="s">
        <v>236</v>
      </c>
      <c r="H144" s="2">
        <v>2</v>
      </c>
      <c r="I144" s="19" t="str">
        <f t="shared" si="30"/>
        <v/>
      </c>
      <c r="J144" s="2" t="str">
        <f t="shared" si="31"/>
        <v/>
      </c>
      <c r="K144" s="2" t="str">
        <f t="shared" si="32"/>
        <v/>
      </c>
      <c r="L144" s="2" t="str">
        <f t="shared" si="33"/>
        <v/>
      </c>
      <c r="M144" s="2" t="str">
        <f t="shared" si="34"/>
        <v/>
      </c>
      <c r="N144" s="2">
        <f t="shared" si="35"/>
        <v>6</v>
      </c>
      <c r="O144" s="19">
        <f t="shared" si="36"/>
        <v>6</v>
      </c>
      <c r="Q144" s="2" t="str">
        <f t="shared" si="37"/>
        <v>18</v>
      </c>
      <c r="R144" s="21" t="str">
        <f t="shared" si="38"/>
        <v>1.3.18b</v>
      </c>
      <c r="S144" s="2" t="str">
        <f t="shared" si="39"/>
        <v/>
      </c>
      <c r="T144" s="2" t="str">
        <f t="shared" si="41"/>
        <v/>
      </c>
      <c r="U144" s="19" t="str">
        <f t="shared" si="42"/>
        <v/>
      </c>
    </row>
    <row r="145" spans="1:21" x14ac:dyDescent="0.2">
      <c r="A145" s="2">
        <v>144</v>
      </c>
      <c r="B145" s="21" t="str">
        <f t="shared" si="40"/>
        <v>1.3.18c</v>
      </c>
      <c r="C145" s="2">
        <v>1</v>
      </c>
      <c r="D145" s="2">
        <v>3</v>
      </c>
      <c r="E145" s="2">
        <v>18</v>
      </c>
      <c r="F145" s="2" t="s">
        <v>94</v>
      </c>
      <c r="G145" s="2" t="s">
        <v>237</v>
      </c>
      <c r="H145" s="2">
        <v>2</v>
      </c>
      <c r="I145" s="19" t="str">
        <f t="shared" si="30"/>
        <v/>
      </c>
      <c r="J145" s="2" t="str">
        <f t="shared" si="31"/>
        <v/>
      </c>
      <c r="K145" s="2" t="str">
        <f t="shared" si="32"/>
        <v/>
      </c>
      <c r="L145" s="2" t="str">
        <f t="shared" si="33"/>
        <v/>
      </c>
      <c r="M145" s="2" t="str">
        <f t="shared" si="34"/>
        <v/>
      </c>
      <c r="N145" s="2">
        <f t="shared" si="35"/>
        <v>6</v>
      </c>
      <c r="O145" s="19">
        <f t="shared" si="36"/>
        <v>6</v>
      </c>
      <c r="Q145" s="2" t="str">
        <f t="shared" si="37"/>
        <v>18</v>
      </c>
      <c r="R145" s="21" t="str">
        <f t="shared" si="38"/>
        <v>1.3.18c</v>
      </c>
      <c r="S145" s="2" t="str">
        <f t="shared" si="39"/>
        <v/>
      </c>
      <c r="T145" s="2" t="str">
        <f t="shared" si="41"/>
        <v/>
      </c>
      <c r="U145" s="19" t="str">
        <f t="shared" si="42"/>
        <v/>
      </c>
    </row>
    <row r="146" spans="1:21" x14ac:dyDescent="0.2">
      <c r="A146" s="2">
        <v>145</v>
      </c>
      <c r="B146" s="21" t="str">
        <f t="shared" si="40"/>
        <v>1.3.19</v>
      </c>
      <c r="C146" s="2">
        <v>1</v>
      </c>
      <c r="D146" s="2">
        <v>3</v>
      </c>
      <c r="E146" s="2">
        <v>19</v>
      </c>
      <c r="F146" s="2" t="s">
        <v>84</v>
      </c>
      <c r="G146" s="2" t="s">
        <v>238</v>
      </c>
      <c r="H146" s="2" t="s">
        <v>89</v>
      </c>
      <c r="I146" s="19" t="str">
        <f t="shared" si="30"/>
        <v/>
      </c>
      <c r="J146" s="2" t="str">
        <f t="shared" si="31"/>
        <v/>
      </c>
      <c r="K146" s="2" t="str">
        <f t="shared" si="32"/>
        <v/>
      </c>
      <c r="L146" s="2">
        <f t="shared" si="33"/>
        <v>4</v>
      </c>
      <c r="M146" s="2" t="str">
        <f t="shared" si="34"/>
        <v/>
      </c>
      <c r="N146" s="2" t="str">
        <f t="shared" si="35"/>
        <v/>
      </c>
      <c r="O146" s="19">
        <f t="shared" si="36"/>
        <v>4</v>
      </c>
      <c r="Q146" s="2" t="str">
        <f t="shared" si="37"/>
        <v>19</v>
      </c>
      <c r="R146" s="21" t="str">
        <f t="shared" si="38"/>
        <v>1.3.19</v>
      </c>
      <c r="S146" s="2" t="str">
        <f t="shared" si="39"/>
        <v/>
      </c>
      <c r="T146" s="2" t="str">
        <f t="shared" si="41"/>
        <v/>
      </c>
      <c r="U146" s="19" t="str">
        <f t="shared" si="42"/>
        <v/>
      </c>
    </row>
    <row r="147" spans="1:21" x14ac:dyDescent="0.2">
      <c r="A147" s="2">
        <v>146</v>
      </c>
      <c r="B147" s="21" t="str">
        <f t="shared" si="40"/>
        <v>1.3.19a</v>
      </c>
      <c r="C147" s="2">
        <v>1</v>
      </c>
      <c r="D147" s="2">
        <v>3</v>
      </c>
      <c r="E147" s="2">
        <v>19</v>
      </c>
      <c r="F147" s="2" t="s">
        <v>90</v>
      </c>
      <c r="G147" s="2" t="s">
        <v>239</v>
      </c>
      <c r="H147" s="2">
        <v>4</v>
      </c>
      <c r="I147" s="19" t="str">
        <f t="shared" si="30"/>
        <v/>
      </c>
      <c r="J147" s="2" t="str">
        <f t="shared" si="31"/>
        <v/>
      </c>
      <c r="K147" s="2" t="str">
        <f t="shared" si="32"/>
        <v/>
      </c>
      <c r="L147" s="2" t="str">
        <f t="shared" si="33"/>
        <v/>
      </c>
      <c r="M147" s="2" t="str">
        <f t="shared" si="34"/>
        <v/>
      </c>
      <c r="N147" s="2">
        <f t="shared" si="35"/>
        <v>6</v>
      </c>
      <c r="O147" s="19">
        <f t="shared" si="36"/>
        <v>6</v>
      </c>
      <c r="Q147" s="2" t="str">
        <f t="shared" si="37"/>
        <v>19</v>
      </c>
      <c r="R147" s="21" t="str">
        <f t="shared" si="38"/>
        <v>1.3.19a</v>
      </c>
      <c r="S147" s="2" t="str">
        <f t="shared" si="39"/>
        <v/>
      </c>
      <c r="T147" s="2" t="str">
        <f t="shared" si="41"/>
        <v/>
      </c>
      <c r="U147" s="19" t="str">
        <f t="shared" si="42"/>
        <v/>
      </c>
    </row>
    <row r="148" spans="1:21" x14ac:dyDescent="0.2">
      <c r="A148" s="2">
        <v>147</v>
      </c>
      <c r="B148" s="21" t="str">
        <f t="shared" si="40"/>
        <v>1.3.19b</v>
      </c>
      <c r="C148" s="2">
        <v>1</v>
      </c>
      <c r="D148" s="2">
        <v>3</v>
      </c>
      <c r="E148" s="2">
        <v>19</v>
      </c>
      <c r="F148" s="2" t="s">
        <v>92</v>
      </c>
      <c r="G148" s="2" t="s">
        <v>240</v>
      </c>
      <c r="H148" s="2">
        <v>4</v>
      </c>
      <c r="I148" s="19" t="str">
        <f t="shared" si="30"/>
        <v/>
      </c>
      <c r="J148" s="2" t="str">
        <f t="shared" si="31"/>
        <v/>
      </c>
      <c r="K148" s="2" t="str">
        <f t="shared" si="32"/>
        <v/>
      </c>
      <c r="L148" s="2" t="str">
        <f t="shared" si="33"/>
        <v/>
      </c>
      <c r="M148" s="2" t="str">
        <f t="shared" si="34"/>
        <v/>
      </c>
      <c r="N148" s="2">
        <f t="shared" si="35"/>
        <v>6</v>
      </c>
      <c r="O148" s="19">
        <f t="shared" si="36"/>
        <v>6</v>
      </c>
      <c r="Q148" s="2" t="str">
        <f t="shared" si="37"/>
        <v>19</v>
      </c>
      <c r="R148" s="21" t="str">
        <f t="shared" si="38"/>
        <v>1.3.19b</v>
      </c>
      <c r="S148" s="2" t="str">
        <f t="shared" si="39"/>
        <v/>
      </c>
      <c r="T148" s="2" t="str">
        <f t="shared" si="41"/>
        <v/>
      </c>
      <c r="U148" s="19" t="str">
        <f t="shared" si="42"/>
        <v/>
      </c>
    </row>
    <row r="149" spans="1:21" x14ac:dyDescent="0.2">
      <c r="A149" s="2">
        <v>148</v>
      </c>
      <c r="B149" s="21" t="str">
        <f t="shared" si="40"/>
        <v>1.3.19c</v>
      </c>
      <c r="C149" s="2">
        <v>1</v>
      </c>
      <c r="D149" s="2">
        <v>3</v>
      </c>
      <c r="E149" s="2">
        <v>19</v>
      </c>
      <c r="F149" s="2" t="s">
        <v>94</v>
      </c>
      <c r="G149" s="2" t="s">
        <v>241</v>
      </c>
      <c r="H149" s="2">
        <v>4</v>
      </c>
      <c r="I149" s="19" t="str">
        <f t="shared" si="30"/>
        <v/>
      </c>
      <c r="J149" s="2" t="str">
        <f t="shared" si="31"/>
        <v/>
      </c>
      <c r="K149" s="2" t="str">
        <f t="shared" si="32"/>
        <v/>
      </c>
      <c r="L149" s="2" t="str">
        <f t="shared" si="33"/>
        <v/>
      </c>
      <c r="M149" s="2" t="str">
        <f t="shared" si="34"/>
        <v/>
      </c>
      <c r="N149" s="2">
        <f t="shared" si="35"/>
        <v>6</v>
      </c>
      <c r="O149" s="19">
        <f t="shared" si="36"/>
        <v>6</v>
      </c>
      <c r="Q149" s="2" t="str">
        <f t="shared" si="37"/>
        <v>19</v>
      </c>
      <c r="R149" s="21" t="str">
        <f t="shared" si="38"/>
        <v>1.3.19c</v>
      </c>
      <c r="S149" s="2" t="str">
        <f t="shared" si="39"/>
        <v/>
      </c>
      <c r="T149" s="2" t="str">
        <f t="shared" si="41"/>
        <v/>
      </c>
      <c r="U149" s="19" t="str">
        <f t="shared" si="42"/>
        <v/>
      </c>
    </row>
    <row r="150" spans="1:21" x14ac:dyDescent="0.2">
      <c r="A150" s="2">
        <v>149</v>
      </c>
      <c r="B150" s="21" t="str">
        <f t="shared" si="40"/>
        <v>1.3.20</v>
      </c>
      <c r="C150" s="2">
        <v>1</v>
      </c>
      <c r="D150" s="2">
        <v>3</v>
      </c>
      <c r="E150" s="2">
        <v>20</v>
      </c>
      <c r="F150" s="2" t="s">
        <v>84</v>
      </c>
      <c r="G150" s="2" t="s">
        <v>242</v>
      </c>
      <c r="H150" s="2" t="s">
        <v>89</v>
      </c>
      <c r="I150" s="19" t="str">
        <f t="shared" si="30"/>
        <v/>
      </c>
      <c r="J150" s="2" t="str">
        <f t="shared" si="31"/>
        <v/>
      </c>
      <c r="K150" s="2" t="str">
        <f t="shared" si="32"/>
        <v/>
      </c>
      <c r="L150" s="2">
        <f t="shared" si="33"/>
        <v>4</v>
      </c>
      <c r="M150" s="2" t="str">
        <f t="shared" si="34"/>
        <v/>
      </c>
      <c r="N150" s="2" t="str">
        <f t="shared" si="35"/>
        <v/>
      </c>
      <c r="O150" s="19">
        <f t="shared" si="36"/>
        <v>4</v>
      </c>
      <c r="Q150" s="2" t="str">
        <f t="shared" si="37"/>
        <v>20</v>
      </c>
      <c r="R150" s="21" t="str">
        <f t="shared" si="38"/>
        <v>1.3.20</v>
      </c>
      <c r="S150" s="2" t="str">
        <f t="shared" si="39"/>
        <v/>
      </c>
      <c r="T150" s="2" t="str">
        <f t="shared" si="41"/>
        <v/>
      </c>
      <c r="U150" s="19" t="str">
        <f t="shared" si="42"/>
        <v/>
      </c>
    </row>
    <row r="151" spans="1:21" x14ac:dyDescent="0.2">
      <c r="A151" s="2">
        <v>150</v>
      </c>
      <c r="B151" s="21" t="str">
        <f t="shared" si="40"/>
        <v>1.3.20a</v>
      </c>
      <c r="C151" s="2">
        <v>1</v>
      </c>
      <c r="D151" s="2">
        <v>3</v>
      </c>
      <c r="E151" s="2">
        <v>20</v>
      </c>
      <c r="F151" s="2" t="s">
        <v>90</v>
      </c>
      <c r="G151" s="2" t="s">
        <v>243</v>
      </c>
      <c r="H151" s="2">
        <v>4</v>
      </c>
      <c r="I151" s="19" t="str">
        <f t="shared" si="30"/>
        <v/>
      </c>
      <c r="J151" s="2" t="str">
        <f t="shared" si="31"/>
        <v/>
      </c>
      <c r="K151" s="2" t="str">
        <f t="shared" si="32"/>
        <v/>
      </c>
      <c r="L151" s="2" t="str">
        <f t="shared" si="33"/>
        <v/>
      </c>
      <c r="M151" s="2" t="str">
        <f t="shared" si="34"/>
        <v/>
      </c>
      <c r="N151" s="2">
        <f t="shared" si="35"/>
        <v>6</v>
      </c>
      <c r="O151" s="19">
        <f t="shared" si="36"/>
        <v>6</v>
      </c>
      <c r="Q151" s="2" t="str">
        <f t="shared" si="37"/>
        <v>20</v>
      </c>
      <c r="R151" s="21" t="str">
        <f t="shared" si="38"/>
        <v>1.3.20a</v>
      </c>
      <c r="S151" s="2" t="str">
        <f t="shared" si="39"/>
        <v/>
      </c>
      <c r="T151" s="2" t="str">
        <f t="shared" si="41"/>
        <v/>
      </c>
      <c r="U151" s="19" t="str">
        <f t="shared" si="42"/>
        <v/>
      </c>
    </row>
    <row r="152" spans="1:21" x14ac:dyDescent="0.2">
      <c r="A152" s="2">
        <v>151</v>
      </c>
      <c r="B152" s="21" t="str">
        <f t="shared" si="40"/>
        <v>1.3.20b</v>
      </c>
      <c r="C152" s="2">
        <v>1</v>
      </c>
      <c r="D152" s="2">
        <v>3</v>
      </c>
      <c r="E152" s="2">
        <v>20</v>
      </c>
      <c r="F152" s="2" t="s">
        <v>92</v>
      </c>
      <c r="G152" s="2" t="s">
        <v>244</v>
      </c>
      <c r="H152" s="2">
        <v>5</v>
      </c>
      <c r="I152" s="19" t="str">
        <f t="shared" si="30"/>
        <v/>
      </c>
      <c r="J152" s="2" t="str">
        <f t="shared" si="31"/>
        <v/>
      </c>
      <c r="K152" s="2" t="str">
        <f t="shared" si="32"/>
        <v/>
      </c>
      <c r="L152" s="2" t="str">
        <f t="shared" si="33"/>
        <v/>
      </c>
      <c r="M152" s="2" t="str">
        <f t="shared" si="34"/>
        <v/>
      </c>
      <c r="N152" s="2">
        <f t="shared" si="35"/>
        <v>6</v>
      </c>
      <c r="O152" s="19">
        <f t="shared" si="36"/>
        <v>6</v>
      </c>
      <c r="Q152" s="2" t="str">
        <f t="shared" si="37"/>
        <v>20</v>
      </c>
      <c r="R152" s="21" t="str">
        <f t="shared" si="38"/>
        <v>1.3.20b</v>
      </c>
      <c r="S152" s="2" t="str">
        <f t="shared" si="39"/>
        <v/>
      </c>
      <c r="T152" s="2" t="str">
        <f t="shared" si="41"/>
        <v/>
      </c>
      <c r="U152" s="19" t="str">
        <f t="shared" si="42"/>
        <v/>
      </c>
    </row>
    <row r="153" spans="1:21" x14ac:dyDescent="0.2">
      <c r="A153" s="2">
        <v>152</v>
      </c>
      <c r="B153" s="21" t="str">
        <f t="shared" si="40"/>
        <v>1.3.21</v>
      </c>
      <c r="C153" s="2">
        <v>1</v>
      </c>
      <c r="D153" s="2">
        <v>3</v>
      </c>
      <c r="E153" s="2">
        <v>21</v>
      </c>
      <c r="F153" s="2" t="s">
        <v>84</v>
      </c>
      <c r="G153" s="2" t="s">
        <v>245</v>
      </c>
      <c r="H153" s="2" t="s">
        <v>89</v>
      </c>
      <c r="I153" s="19" t="str">
        <f t="shared" si="30"/>
        <v/>
      </c>
      <c r="J153" s="2" t="str">
        <f t="shared" si="31"/>
        <v/>
      </c>
      <c r="K153" s="2" t="str">
        <f t="shared" si="32"/>
        <v/>
      </c>
      <c r="L153" s="2">
        <f t="shared" si="33"/>
        <v>4</v>
      </c>
      <c r="M153" s="2" t="str">
        <f t="shared" si="34"/>
        <v/>
      </c>
      <c r="N153" s="2" t="str">
        <f t="shared" si="35"/>
        <v/>
      </c>
      <c r="O153" s="19">
        <f t="shared" si="36"/>
        <v>4</v>
      </c>
      <c r="Q153" s="2" t="str">
        <f t="shared" si="37"/>
        <v>21</v>
      </c>
      <c r="R153" s="21" t="str">
        <f t="shared" si="38"/>
        <v>1.3.21</v>
      </c>
      <c r="S153" s="2" t="str">
        <f t="shared" si="39"/>
        <v/>
      </c>
      <c r="T153" s="2" t="str">
        <f t="shared" si="41"/>
        <v/>
      </c>
      <c r="U153" s="19" t="str">
        <f t="shared" si="42"/>
        <v/>
      </c>
    </row>
    <row r="154" spans="1:21" x14ac:dyDescent="0.2">
      <c r="A154" s="2">
        <v>153</v>
      </c>
      <c r="B154" s="21" t="str">
        <f t="shared" si="40"/>
        <v>1.3.21a</v>
      </c>
      <c r="C154" s="2">
        <v>1</v>
      </c>
      <c r="D154" s="2">
        <v>3</v>
      </c>
      <c r="E154" s="2">
        <v>21</v>
      </c>
      <c r="F154" s="2" t="s">
        <v>90</v>
      </c>
      <c r="G154" s="2" t="s">
        <v>246</v>
      </c>
      <c r="H154" s="2">
        <v>3</v>
      </c>
      <c r="I154" s="19" t="str">
        <f t="shared" si="30"/>
        <v/>
      </c>
      <c r="J154" s="2" t="str">
        <f t="shared" si="31"/>
        <v/>
      </c>
      <c r="K154" s="2" t="str">
        <f t="shared" si="32"/>
        <v/>
      </c>
      <c r="L154" s="2" t="str">
        <f t="shared" si="33"/>
        <v/>
      </c>
      <c r="M154" s="2" t="str">
        <f t="shared" si="34"/>
        <v/>
      </c>
      <c r="N154" s="2">
        <f t="shared" si="35"/>
        <v>6</v>
      </c>
      <c r="O154" s="19">
        <f t="shared" si="36"/>
        <v>6</v>
      </c>
      <c r="Q154" s="2" t="str">
        <f t="shared" si="37"/>
        <v>21</v>
      </c>
      <c r="R154" s="21" t="str">
        <f t="shared" si="38"/>
        <v>1.3.21a</v>
      </c>
      <c r="S154" s="2" t="str">
        <f t="shared" si="39"/>
        <v/>
      </c>
      <c r="T154" s="2" t="str">
        <f t="shared" si="41"/>
        <v/>
      </c>
      <c r="U154" s="19" t="str">
        <f t="shared" si="42"/>
        <v/>
      </c>
    </row>
    <row r="155" spans="1:21" x14ac:dyDescent="0.2">
      <c r="A155" s="2">
        <v>154</v>
      </c>
      <c r="B155" s="21" t="str">
        <f t="shared" si="40"/>
        <v>1.3.21b</v>
      </c>
      <c r="C155" s="2">
        <v>1</v>
      </c>
      <c r="D155" s="2">
        <v>3</v>
      </c>
      <c r="E155" s="2">
        <v>21</v>
      </c>
      <c r="F155" s="2" t="s">
        <v>92</v>
      </c>
      <c r="G155" s="2" t="s">
        <v>247</v>
      </c>
      <c r="H155" s="2">
        <v>2</v>
      </c>
      <c r="I155" s="19" t="str">
        <f t="shared" si="30"/>
        <v/>
      </c>
      <c r="J155" s="2" t="str">
        <f t="shared" si="31"/>
        <v/>
      </c>
      <c r="K155" s="2" t="str">
        <f t="shared" si="32"/>
        <v/>
      </c>
      <c r="L155" s="2" t="str">
        <f t="shared" si="33"/>
        <v/>
      </c>
      <c r="M155" s="2" t="str">
        <f t="shared" si="34"/>
        <v/>
      </c>
      <c r="N155" s="2">
        <f t="shared" si="35"/>
        <v>6</v>
      </c>
      <c r="O155" s="19">
        <f t="shared" si="36"/>
        <v>6</v>
      </c>
      <c r="Q155" s="2" t="str">
        <f t="shared" si="37"/>
        <v>21</v>
      </c>
      <c r="R155" s="21" t="str">
        <f t="shared" si="38"/>
        <v>1.3.21b</v>
      </c>
      <c r="S155" s="2" t="str">
        <f t="shared" si="39"/>
        <v/>
      </c>
      <c r="T155" s="2" t="str">
        <f t="shared" si="41"/>
        <v/>
      </c>
      <c r="U155" s="19" t="str">
        <f t="shared" si="42"/>
        <v/>
      </c>
    </row>
    <row r="156" spans="1:21" x14ac:dyDescent="0.2">
      <c r="A156" s="2">
        <v>155</v>
      </c>
      <c r="B156" s="21" t="str">
        <f t="shared" si="40"/>
        <v>1.3.21c</v>
      </c>
      <c r="C156" s="2">
        <v>1</v>
      </c>
      <c r="D156" s="2">
        <v>3</v>
      </c>
      <c r="E156" s="2">
        <v>21</v>
      </c>
      <c r="F156" s="2" t="s">
        <v>94</v>
      </c>
      <c r="G156" s="2" t="s">
        <v>248</v>
      </c>
      <c r="H156" s="2">
        <v>4</v>
      </c>
      <c r="I156" s="19" t="str">
        <f t="shared" si="30"/>
        <v/>
      </c>
      <c r="J156" s="2" t="str">
        <f t="shared" si="31"/>
        <v/>
      </c>
      <c r="K156" s="2" t="str">
        <f t="shared" si="32"/>
        <v/>
      </c>
      <c r="L156" s="2" t="str">
        <f t="shared" si="33"/>
        <v/>
      </c>
      <c r="M156" s="2" t="str">
        <f t="shared" si="34"/>
        <v/>
      </c>
      <c r="N156" s="2">
        <f t="shared" si="35"/>
        <v>6</v>
      </c>
      <c r="O156" s="19">
        <f t="shared" si="36"/>
        <v>6</v>
      </c>
      <c r="Q156" s="2" t="str">
        <f t="shared" si="37"/>
        <v>21</v>
      </c>
      <c r="R156" s="21" t="str">
        <f t="shared" si="38"/>
        <v>1.3.21c</v>
      </c>
      <c r="S156" s="2" t="str">
        <f t="shared" si="39"/>
        <v/>
      </c>
      <c r="T156" s="2" t="str">
        <f t="shared" si="41"/>
        <v/>
      </c>
      <c r="U156" s="19" t="str">
        <f t="shared" si="42"/>
        <v/>
      </c>
    </row>
    <row r="157" spans="1:21" x14ac:dyDescent="0.2">
      <c r="A157" s="2">
        <v>156</v>
      </c>
      <c r="B157" s="21" t="str">
        <f t="shared" si="40"/>
        <v>1.3.22</v>
      </c>
      <c r="C157" s="2">
        <v>1</v>
      </c>
      <c r="D157" s="2">
        <v>3</v>
      </c>
      <c r="E157" s="2">
        <v>22</v>
      </c>
      <c r="F157" s="2" t="s">
        <v>84</v>
      </c>
      <c r="G157" s="2" t="s">
        <v>249</v>
      </c>
      <c r="H157" s="2">
        <v>4</v>
      </c>
      <c r="I157" s="19" t="str">
        <f t="shared" si="30"/>
        <v/>
      </c>
      <c r="J157" s="2" t="str">
        <f t="shared" si="31"/>
        <v/>
      </c>
      <c r="K157" s="2" t="str">
        <f t="shared" si="32"/>
        <v/>
      </c>
      <c r="L157" s="2" t="str">
        <f t="shared" si="33"/>
        <v/>
      </c>
      <c r="M157" s="2">
        <f t="shared" si="34"/>
        <v>5</v>
      </c>
      <c r="N157" s="2" t="str">
        <f t="shared" si="35"/>
        <v/>
      </c>
      <c r="O157" s="19">
        <f t="shared" si="36"/>
        <v>5</v>
      </c>
      <c r="Q157" s="2" t="str">
        <f t="shared" si="37"/>
        <v>22</v>
      </c>
      <c r="R157" s="21" t="str">
        <f t="shared" si="38"/>
        <v>1.3.22</v>
      </c>
      <c r="S157" s="2" t="str">
        <f t="shared" si="39"/>
        <v/>
      </c>
      <c r="T157" s="2" t="str">
        <f t="shared" si="41"/>
        <v/>
      </c>
      <c r="U157" s="19" t="str">
        <f t="shared" si="42"/>
        <v/>
      </c>
    </row>
    <row r="158" spans="1:21" x14ac:dyDescent="0.2">
      <c r="A158" s="2">
        <v>157</v>
      </c>
      <c r="B158" s="21" t="str">
        <f t="shared" si="40"/>
        <v>1.3.23</v>
      </c>
      <c r="C158" s="2">
        <v>1</v>
      </c>
      <c r="D158" s="2">
        <v>3</v>
      </c>
      <c r="E158" s="2">
        <v>23</v>
      </c>
      <c r="F158" s="2" t="s">
        <v>84</v>
      </c>
      <c r="G158" s="2" t="s">
        <v>250</v>
      </c>
      <c r="H158" s="2">
        <v>4</v>
      </c>
      <c r="I158" s="19" t="str">
        <f t="shared" si="30"/>
        <v/>
      </c>
      <c r="J158" s="2" t="str">
        <f t="shared" si="31"/>
        <v/>
      </c>
      <c r="K158" s="2" t="str">
        <f t="shared" si="32"/>
        <v/>
      </c>
      <c r="L158" s="2" t="str">
        <f t="shared" si="33"/>
        <v/>
      </c>
      <c r="M158" s="2">
        <f t="shared" si="34"/>
        <v>5</v>
      </c>
      <c r="N158" s="2" t="str">
        <f t="shared" si="35"/>
        <v/>
      </c>
      <c r="O158" s="19">
        <f t="shared" si="36"/>
        <v>5</v>
      </c>
      <c r="Q158" s="2" t="str">
        <f t="shared" si="37"/>
        <v>23</v>
      </c>
      <c r="R158" s="21" t="str">
        <f t="shared" si="38"/>
        <v>1.3.23</v>
      </c>
      <c r="S158" s="2" t="str">
        <f t="shared" si="39"/>
        <v/>
      </c>
      <c r="T158" s="2" t="str">
        <f t="shared" si="41"/>
        <v/>
      </c>
      <c r="U158" s="19" t="str">
        <f t="shared" si="42"/>
        <v/>
      </c>
    </row>
    <row r="159" spans="1:21" x14ac:dyDescent="0.2">
      <c r="A159" s="2">
        <v>158</v>
      </c>
      <c r="B159" s="21" t="str">
        <f t="shared" si="40"/>
        <v/>
      </c>
      <c r="C159" s="2" t="s">
        <v>84</v>
      </c>
      <c r="D159" s="2" t="s">
        <v>84</v>
      </c>
      <c r="E159" s="2" t="s">
        <v>84</v>
      </c>
      <c r="F159" s="2" t="s">
        <v>84</v>
      </c>
      <c r="G159" s="2" t="s">
        <v>251</v>
      </c>
      <c r="H159" s="2" t="s">
        <v>84</v>
      </c>
      <c r="I159" s="19" t="str">
        <f t="shared" si="30"/>
        <v/>
      </c>
      <c r="J159" s="2" t="str">
        <f t="shared" si="31"/>
        <v/>
      </c>
      <c r="K159" s="2">
        <f t="shared" si="32"/>
        <v>3</v>
      </c>
      <c r="L159" s="2" t="str">
        <f t="shared" si="33"/>
        <v/>
      </c>
      <c r="M159" s="2" t="str">
        <f t="shared" si="34"/>
        <v/>
      </c>
      <c r="N159" s="2" t="str">
        <f t="shared" si="35"/>
        <v/>
      </c>
      <c r="O159" s="19">
        <f t="shared" si="36"/>
        <v>3</v>
      </c>
      <c r="Q159" s="2" t="str">
        <f t="shared" si="37"/>
        <v/>
      </c>
      <c r="R159" s="21" t="str">
        <f t="shared" si="38"/>
        <v/>
      </c>
      <c r="S159" s="2" t="str">
        <f t="shared" si="39"/>
        <v/>
      </c>
      <c r="T159" s="2">
        <f t="shared" si="41"/>
        <v>1</v>
      </c>
      <c r="U159" s="19" t="str">
        <f t="shared" si="42"/>
        <v/>
      </c>
    </row>
    <row r="160" spans="1:21" x14ac:dyDescent="0.2">
      <c r="A160" s="2">
        <v>159</v>
      </c>
      <c r="B160" s="21" t="str">
        <f t="shared" si="40"/>
        <v>1.3.23</v>
      </c>
      <c r="C160" s="2">
        <v>1</v>
      </c>
      <c r="D160" s="2">
        <v>3</v>
      </c>
      <c r="E160" s="2">
        <v>23</v>
      </c>
      <c r="F160" s="2" t="s">
        <v>84</v>
      </c>
      <c r="G160" s="2" t="s">
        <v>252</v>
      </c>
      <c r="H160" s="2">
        <v>1</v>
      </c>
      <c r="I160" s="19" t="str">
        <f t="shared" si="30"/>
        <v/>
      </c>
      <c r="J160" s="2" t="str">
        <f t="shared" si="31"/>
        <v/>
      </c>
      <c r="K160" s="2" t="str">
        <f t="shared" si="32"/>
        <v/>
      </c>
      <c r="L160" s="2" t="str">
        <f t="shared" si="33"/>
        <v/>
      </c>
      <c r="M160" s="2">
        <f t="shared" si="34"/>
        <v>5</v>
      </c>
      <c r="N160" s="2" t="str">
        <f t="shared" si="35"/>
        <v/>
      </c>
      <c r="O160" s="19">
        <f t="shared" si="36"/>
        <v>5</v>
      </c>
      <c r="Q160" s="2" t="str">
        <f t="shared" si="37"/>
        <v>23</v>
      </c>
      <c r="R160" s="21" t="str">
        <f t="shared" si="38"/>
        <v>1.3.23</v>
      </c>
      <c r="S160" s="2" t="str">
        <f t="shared" si="39"/>
        <v/>
      </c>
      <c r="T160" s="2" t="str">
        <f t="shared" si="41"/>
        <v/>
      </c>
      <c r="U160" s="19" t="str">
        <f t="shared" si="42"/>
        <v/>
      </c>
    </row>
    <row r="161" spans="1:21" x14ac:dyDescent="0.2">
      <c r="A161" s="2">
        <v>160</v>
      </c>
      <c r="B161" s="21" t="str">
        <f t="shared" si="40"/>
        <v>1.3.24</v>
      </c>
      <c r="C161" s="2">
        <v>1</v>
      </c>
      <c r="D161" s="2">
        <v>3</v>
      </c>
      <c r="E161" s="2">
        <v>24</v>
      </c>
      <c r="F161" s="2" t="s">
        <v>84</v>
      </c>
      <c r="G161" s="2" t="s">
        <v>253</v>
      </c>
      <c r="H161" s="2" t="s">
        <v>89</v>
      </c>
      <c r="I161" s="19" t="str">
        <f t="shared" si="30"/>
        <v/>
      </c>
      <c r="J161" s="2" t="str">
        <f t="shared" si="31"/>
        <v/>
      </c>
      <c r="K161" s="2" t="str">
        <f t="shared" si="32"/>
        <v/>
      </c>
      <c r="L161" s="2">
        <f t="shared" si="33"/>
        <v>4</v>
      </c>
      <c r="M161" s="2" t="str">
        <f t="shared" si="34"/>
        <v/>
      </c>
      <c r="N161" s="2" t="str">
        <f t="shared" si="35"/>
        <v/>
      </c>
      <c r="O161" s="19">
        <f t="shared" si="36"/>
        <v>4</v>
      </c>
      <c r="Q161" s="2" t="str">
        <f t="shared" si="37"/>
        <v>24</v>
      </c>
      <c r="R161" s="21" t="str">
        <f t="shared" si="38"/>
        <v>1.3.24</v>
      </c>
      <c r="S161" s="2" t="str">
        <f t="shared" si="39"/>
        <v/>
      </c>
      <c r="T161" s="2" t="str">
        <f t="shared" si="41"/>
        <v/>
      </c>
      <c r="U161" s="19" t="str">
        <f t="shared" si="42"/>
        <v/>
      </c>
    </row>
    <row r="162" spans="1:21" x14ac:dyDescent="0.2">
      <c r="A162" s="2">
        <v>161</v>
      </c>
      <c r="B162" s="21" t="str">
        <f t="shared" si="40"/>
        <v>1.3.24a</v>
      </c>
      <c r="C162" s="2">
        <v>1</v>
      </c>
      <c r="D162" s="2">
        <v>3</v>
      </c>
      <c r="E162" s="2">
        <v>24</v>
      </c>
      <c r="F162" s="2" t="s">
        <v>90</v>
      </c>
      <c r="G162" s="2" t="s">
        <v>254</v>
      </c>
      <c r="H162" s="2">
        <v>3</v>
      </c>
      <c r="I162" s="19" t="str">
        <f t="shared" si="30"/>
        <v/>
      </c>
      <c r="J162" s="2" t="str">
        <f t="shared" si="31"/>
        <v/>
      </c>
      <c r="K162" s="2" t="str">
        <f t="shared" si="32"/>
        <v/>
      </c>
      <c r="L162" s="2" t="str">
        <f t="shared" si="33"/>
        <v/>
      </c>
      <c r="M162" s="2" t="str">
        <f t="shared" si="34"/>
        <v/>
      </c>
      <c r="N162" s="2">
        <f t="shared" si="35"/>
        <v>6</v>
      </c>
      <c r="O162" s="19">
        <f t="shared" si="36"/>
        <v>6</v>
      </c>
      <c r="Q162" s="2" t="str">
        <f t="shared" si="37"/>
        <v>24</v>
      </c>
      <c r="R162" s="21" t="str">
        <f t="shared" si="38"/>
        <v>1.3.24a</v>
      </c>
      <c r="S162" s="2" t="str">
        <f t="shared" si="39"/>
        <v/>
      </c>
      <c r="T162" s="2" t="str">
        <f t="shared" si="41"/>
        <v/>
      </c>
      <c r="U162" s="19" t="str">
        <f t="shared" si="42"/>
        <v/>
      </c>
    </row>
    <row r="163" spans="1:21" x14ac:dyDescent="0.2">
      <c r="A163" s="2">
        <v>162</v>
      </c>
      <c r="B163" s="21" t="str">
        <f t="shared" si="40"/>
        <v>1.3.24b</v>
      </c>
      <c r="C163" s="2">
        <v>1</v>
      </c>
      <c r="D163" s="2">
        <v>3</v>
      </c>
      <c r="E163" s="2">
        <v>24</v>
      </c>
      <c r="F163" s="2" t="s">
        <v>92</v>
      </c>
      <c r="G163" s="2" t="s">
        <v>255</v>
      </c>
      <c r="H163" s="2">
        <v>3</v>
      </c>
      <c r="I163" s="19" t="str">
        <f t="shared" si="30"/>
        <v/>
      </c>
      <c r="J163" s="2" t="str">
        <f t="shared" si="31"/>
        <v/>
      </c>
      <c r="K163" s="2" t="str">
        <f t="shared" si="32"/>
        <v/>
      </c>
      <c r="L163" s="2" t="str">
        <f t="shared" si="33"/>
        <v/>
      </c>
      <c r="M163" s="2" t="str">
        <f t="shared" si="34"/>
        <v/>
      </c>
      <c r="N163" s="2">
        <f t="shared" si="35"/>
        <v>6</v>
      </c>
      <c r="O163" s="19">
        <f t="shared" si="36"/>
        <v>6</v>
      </c>
      <c r="Q163" s="2" t="str">
        <f t="shared" si="37"/>
        <v>24</v>
      </c>
      <c r="R163" s="21" t="str">
        <f t="shared" si="38"/>
        <v>1.3.24b</v>
      </c>
      <c r="S163" s="2" t="str">
        <f t="shared" si="39"/>
        <v/>
      </c>
      <c r="T163" s="2" t="str">
        <f t="shared" si="41"/>
        <v/>
      </c>
      <c r="U163" s="19" t="str">
        <f t="shared" si="42"/>
        <v/>
      </c>
    </row>
    <row r="164" spans="1:21" x14ac:dyDescent="0.2">
      <c r="A164" s="2">
        <v>163</v>
      </c>
      <c r="B164" s="21" t="str">
        <f t="shared" si="40"/>
        <v>1.3.25</v>
      </c>
      <c r="C164" s="2">
        <v>1</v>
      </c>
      <c r="D164" s="2">
        <v>3</v>
      </c>
      <c r="E164" s="2">
        <v>25</v>
      </c>
      <c r="F164" s="2" t="s">
        <v>84</v>
      </c>
      <c r="G164" s="2" t="s">
        <v>256</v>
      </c>
      <c r="H164" s="2" t="s">
        <v>89</v>
      </c>
      <c r="I164" s="19" t="str">
        <f t="shared" si="30"/>
        <v/>
      </c>
      <c r="J164" s="2" t="str">
        <f t="shared" si="31"/>
        <v/>
      </c>
      <c r="K164" s="2" t="str">
        <f t="shared" si="32"/>
        <v/>
      </c>
      <c r="L164" s="2">
        <f t="shared" si="33"/>
        <v>4</v>
      </c>
      <c r="M164" s="2" t="str">
        <f t="shared" si="34"/>
        <v/>
      </c>
      <c r="N164" s="2" t="str">
        <f t="shared" si="35"/>
        <v/>
      </c>
      <c r="O164" s="19">
        <f t="shared" si="36"/>
        <v>4</v>
      </c>
      <c r="Q164" s="2" t="str">
        <f t="shared" si="37"/>
        <v>25</v>
      </c>
      <c r="R164" s="21" t="str">
        <f t="shared" si="38"/>
        <v>1.3.25</v>
      </c>
      <c r="S164" s="2" t="str">
        <f t="shared" si="39"/>
        <v/>
      </c>
      <c r="T164" s="2" t="str">
        <f t="shared" si="41"/>
        <v/>
      </c>
      <c r="U164" s="19" t="str">
        <f t="shared" si="42"/>
        <v/>
      </c>
    </row>
    <row r="165" spans="1:21" x14ac:dyDescent="0.2">
      <c r="A165" s="2">
        <v>164</v>
      </c>
      <c r="B165" s="21" t="str">
        <f t="shared" si="40"/>
        <v>1.3.25a</v>
      </c>
      <c r="C165" s="2">
        <v>1</v>
      </c>
      <c r="D165" s="2">
        <v>3</v>
      </c>
      <c r="E165" s="2">
        <v>25</v>
      </c>
      <c r="F165" s="2" t="s">
        <v>90</v>
      </c>
      <c r="G165" s="2" t="s">
        <v>257</v>
      </c>
      <c r="H165" s="2">
        <v>3</v>
      </c>
      <c r="I165" s="19" t="str">
        <f t="shared" si="30"/>
        <v/>
      </c>
      <c r="J165" s="2" t="str">
        <f t="shared" si="31"/>
        <v/>
      </c>
      <c r="K165" s="2" t="str">
        <f t="shared" si="32"/>
        <v/>
      </c>
      <c r="L165" s="2" t="str">
        <f t="shared" si="33"/>
        <v/>
      </c>
      <c r="M165" s="2" t="str">
        <f t="shared" si="34"/>
        <v/>
      </c>
      <c r="N165" s="2">
        <f t="shared" si="35"/>
        <v>6</v>
      </c>
      <c r="O165" s="19">
        <f t="shared" si="36"/>
        <v>6</v>
      </c>
      <c r="Q165" s="2" t="str">
        <f t="shared" si="37"/>
        <v>25</v>
      </c>
      <c r="R165" s="21" t="str">
        <f t="shared" si="38"/>
        <v>1.3.25a</v>
      </c>
      <c r="S165" s="2" t="str">
        <f t="shared" si="39"/>
        <v/>
      </c>
      <c r="T165" s="2" t="str">
        <f t="shared" si="41"/>
        <v/>
      </c>
      <c r="U165" s="19" t="str">
        <f t="shared" si="42"/>
        <v/>
      </c>
    </row>
    <row r="166" spans="1:21" x14ac:dyDescent="0.2">
      <c r="A166" s="2">
        <v>165</v>
      </c>
      <c r="B166" s="21" t="str">
        <f t="shared" si="40"/>
        <v>1.3.25b</v>
      </c>
      <c r="C166" s="2">
        <v>1</v>
      </c>
      <c r="D166" s="2">
        <v>3</v>
      </c>
      <c r="E166" s="2">
        <v>25</v>
      </c>
      <c r="F166" s="2" t="s">
        <v>92</v>
      </c>
      <c r="G166" s="2" t="s">
        <v>258</v>
      </c>
      <c r="H166" s="2">
        <v>4</v>
      </c>
      <c r="I166" s="19" t="str">
        <f t="shared" si="30"/>
        <v/>
      </c>
      <c r="J166" s="2" t="str">
        <f t="shared" si="31"/>
        <v/>
      </c>
      <c r="K166" s="2" t="str">
        <f t="shared" si="32"/>
        <v/>
      </c>
      <c r="L166" s="2" t="str">
        <f t="shared" si="33"/>
        <v/>
      </c>
      <c r="M166" s="2" t="str">
        <f t="shared" si="34"/>
        <v/>
      </c>
      <c r="N166" s="2">
        <f t="shared" si="35"/>
        <v>6</v>
      </c>
      <c r="O166" s="19">
        <f t="shared" si="36"/>
        <v>6</v>
      </c>
      <c r="Q166" s="2" t="str">
        <f t="shared" si="37"/>
        <v>25</v>
      </c>
      <c r="R166" s="21" t="str">
        <f t="shared" si="38"/>
        <v>1.3.25b</v>
      </c>
      <c r="S166" s="2" t="str">
        <f t="shared" si="39"/>
        <v/>
      </c>
      <c r="T166" s="2" t="str">
        <f t="shared" si="41"/>
        <v/>
      </c>
      <c r="U166" s="19" t="str">
        <f t="shared" si="42"/>
        <v/>
      </c>
    </row>
    <row r="167" spans="1:21" x14ac:dyDescent="0.2">
      <c r="A167" s="2">
        <v>166</v>
      </c>
      <c r="B167" s="21" t="str">
        <f t="shared" si="40"/>
        <v>1.3.25c</v>
      </c>
      <c r="C167" s="2">
        <v>1</v>
      </c>
      <c r="D167" s="2">
        <v>3</v>
      </c>
      <c r="E167" s="2">
        <v>25</v>
      </c>
      <c r="F167" s="2" t="s">
        <v>94</v>
      </c>
      <c r="G167" s="2" t="s">
        <v>259</v>
      </c>
      <c r="H167" s="2">
        <v>3</v>
      </c>
      <c r="I167" s="19" t="str">
        <f t="shared" si="30"/>
        <v/>
      </c>
      <c r="J167" s="2" t="str">
        <f t="shared" si="31"/>
        <v/>
      </c>
      <c r="K167" s="2" t="str">
        <f t="shared" si="32"/>
        <v/>
      </c>
      <c r="L167" s="2" t="str">
        <f t="shared" si="33"/>
        <v/>
      </c>
      <c r="M167" s="2" t="str">
        <f t="shared" si="34"/>
        <v/>
      </c>
      <c r="N167" s="2">
        <f t="shared" si="35"/>
        <v>6</v>
      </c>
      <c r="O167" s="19">
        <f t="shared" si="36"/>
        <v>6</v>
      </c>
      <c r="Q167" s="2" t="str">
        <f t="shared" si="37"/>
        <v>25</v>
      </c>
      <c r="R167" s="21" t="str">
        <f t="shared" si="38"/>
        <v>1.3.25c</v>
      </c>
      <c r="S167" s="2" t="str">
        <f t="shared" si="39"/>
        <v/>
      </c>
      <c r="T167" s="2" t="str">
        <f t="shared" si="41"/>
        <v/>
      </c>
      <c r="U167" s="19" t="str">
        <f t="shared" si="42"/>
        <v/>
      </c>
    </row>
    <row r="168" spans="1:21" x14ac:dyDescent="0.2">
      <c r="A168" s="2">
        <v>167</v>
      </c>
      <c r="B168" s="21" t="str">
        <f t="shared" si="40"/>
        <v>1.3.25d</v>
      </c>
      <c r="C168" s="2">
        <v>1</v>
      </c>
      <c r="D168" s="2">
        <v>3</v>
      </c>
      <c r="E168" s="2">
        <v>25</v>
      </c>
      <c r="F168" s="2" t="s">
        <v>112</v>
      </c>
      <c r="G168" s="2" t="s">
        <v>260</v>
      </c>
      <c r="H168" s="2">
        <v>4</v>
      </c>
      <c r="I168" s="19" t="str">
        <f t="shared" si="30"/>
        <v/>
      </c>
      <c r="J168" s="2" t="str">
        <f t="shared" si="31"/>
        <v/>
      </c>
      <c r="K168" s="2" t="str">
        <f t="shared" si="32"/>
        <v/>
      </c>
      <c r="L168" s="2" t="str">
        <f t="shared" si="33"/>
        <v/>
      </c>
      <c r="M168" s="2" t="str">
        <f t="shared" si="34"/>
        <v/>
      </c>
      <c r="N168" s="2">
        <f t="shared" si="35"/>
        <v>6</v>
      </c>
      <c r="O168" s="19">
        <f t="shared" si="36"/>
        <v>6</v>
      </c>
      <c r="Q168" s="2" t="str">
        <f t="shared" si="37"/>
        <v>25</v>
      </c>
      <c r="R168" s="21" t="str">
        <f t="shared" si="38"/>
        <v>1.3.25d</v>
      </c>
      <c r="S168" s="2" t="str">
        <f t="shared" si="39"/>
        <v/>
      </c>
      <c r="T168" s="2" t="str">
        <f t="shared" si="41"/>
        <v/>
      </c>
      <c r="U168" s="19" t="str">
        <f t="shared" si="42"/>
        <v/>
      </c>
    </row>
    <row r="169" spans="1:21" x14ac:dyDescent="0.2">
      <c r="A169" s="2">
        <v>168</v>
      </c>
      <c r="B169" s="21" t="str">
        <f t="shared" si="40"/>
        <v>1.3.25e</v>
      </c>
      <c r="C169" s="2">
        <v>1</v>
      </c>
      <c r="D169" s="2">
        <v>3</v>
      </c>
      <c r="E169" s="2">
        <v>25</v>
      </c>
      <c r="F169" s="2" t="s">
        <v>114</v>
      </c>
      <c r="G169" s="2" t="s">
        <v>261</v>
      </c>
      <c r="H169" s="2">
        <v>3</v>
      </c>
      <c r="I169" s="19" t="str">
        <f t="shared" si="30"/>
        <v/>
      </c>
      <c r="J169" s="2" t="str">
        <f t="shared" si="31"/>
        <v/>
      </c>
      <c r="K169" s="2" t="str">
        <f t="shared" si="32"/>
        <v/>
      </c>
      <c r="L169" s="2" t="str">
        <f t="shared" si="33"/>
        <v/>
      </c>
      <c r="M169" s="2" t="str">
        <f t="shared" si="34"/>
        <v/>
      </c>
      <c r="N169" s="2">
        <f t="shared" si="35"/>
        <v>6</v>
      </c>
      <c r="O169" s="19">
        <f t="shared" si="36"/>
        <v>6</v>
      </c>
      <c r="Q169" s="2" t="str">
        <f t="shared" si="37"/>
        <v>25</v>
      </c>
      <c r="R169" s="21" t="str">
        <f t="shared" si="38"/>
        <v>1.3.25e</v>
      </c>
      <c r="S169" s="2" t="str">
        <f t="shared" si="39"/>
        <v/>
      </c>
      <c r="T169" s="2" t="str">
        <f t="shared" si="41"/>
        <v/>
      </c>
      <c r="U169" s="19" t="str">
        <f t="shared" si="42"/>
        <v/>
      </c>
    </row>
    <row r="170" spans="1:21" x14ac:dyDescent="0.2">
      <c r="A170" s="2">
        <v>169</v>
      </c>
      <c r="B170" s="21" t="str">
        <f t="shared" si="40"/>
        <v>1.3.25f</v>
      </c>
      <c r="C170" s="2">
        <v>1</v>
      </c>
      <c r="D170" s="2">
        <v>3</v>
      </c>
      <c r="E170" s="2">
        <v>25</v>
      </c>
      <c r="F170" s="2" t="s">
        <v>129</v>
      </c>
      <c r="G170" s="2" t="s">
        <v>262</v>
      </c>
      <c r="H170" s="2">
        <v>4</v>
      </c>
      <c r="I170" s="19" t="str">
        <f t="shared" si="30"/>
        <v/>
      </c>
      <c r="J170" s="2" t="str">
        <f t="shared" si="31"/>
        <v/>
      </c>
      <c r="K170" s="2" t="str">
        <f t="shared" si="32"/>
        <v/>
      </c>
      <c r="L170" s="2" t="str">
        <f t="shared" si="33"/>
        <v/>
      </c>
      <c r="M170" s="2" t="str">
        <f t="shared" si="34"/>
        <v/>
      </c>
      <c r="N170" s="2">
        <f t="shared" si="35"/>
        <v>6</v>
      </c>
      <c r="O170" s="19">
        <f t="shared" si="36"/>
        <v>6</v>
      </c>
      <c r="Q170" s="2" t="str">
        <f t="shared" si="37"/>
        <v>25</v>
      </c>
      <c r="R170" s="21" t="str">
        <f t="shared" si="38"/>
        <v>1.3.25f</v>
      </c>
      <c r="S170" s="2" t="str">
        <f t="shared" si="39"/>
        <v/>
      </c>
      <c r="T170" s="2" t="str">
        <f t="shared" si="41"/>
        <v/>
      </c>
      <c r="U170" s="19" t="str">
        <f t="shared" si="42"/>
        <v/>
      </c>
    </row>
    <row r="171" spans="1:21" x14ac:dyDescent="0.2">
      <c r="A171" s="2">
        <v>170</v>
      </c>
      <c r="B171" s="21" t="str">
        <f t="shared" si="40"/>
        <v>1.3.26</v>
      </c>
      <c r="C171" s="2">
        <v>1</v>
      </c>
      <c r="D171" s="2">
        <v>3</v>
      </c>
      <c r="E171" s="2">
        <v>26</v>
      </c>
      <c r="F171" s="2" t="s">
        <v>84</v>
      </c>
      <c r="G171" s="2" t="s">
        <v>263</v>
      </c>
      <c r="H171" s="2">
        <v>5</v>
      </c>
      <c r="I171" s="19" t="str">
        <f t="shared" si="30"/>
        <v/>
      </c>
      <c r="J171" s="2" t="str">
        <f t="shared" si="31"/>
        <v/>
      </c>
      <c r="K171" s="2" t="str">
        <f t="shared" si="32"/>
        <v/>
      </c>
      <c r="L171" s="2" t="str">
        <f t="shared" si="33"/>
        <v/>
      </c>
      <c r="M171" s="2">
        <f t="shared" si="34"/>
        <v>5</v>
      </c>
      <c r="N171" s="2" t="str">
        <f t="shared" si="35"/>
        <v/>
      </c>
      <c r="O171" s="19">
        <f t="shared" si="36"/>
        <v>5</v>
      </c>
      <c r="Q171" s="2" t="str">
        <f t="shared" si="37"/>
        <v>26</v>
      </c>
      <c r="R171" s="21" t="str">
        <f t="shared" si="38"/>
        <v>1.3.26</v>
      </c>
      <c r="S171" s="2" t="str">
        <f t="shared" si="39"/>
        <v/>
      </c>
      <c r="T171" s="2" t="str">
        <f t="shared" si="41"/>
        <v/>
      </c>
      <c r="U171" s="19" t="str">
        <f t="shared" si="42"/>
        <v/>
      </c>
    </row>
    <row r="172" spans="1:21" x14ac:dyDescent="0.2">
      <c r="A172" s="2">
        <v>171</v>
      </c>
      <c r="B172" s="21" t="str">
        <f t="shared" si="40"/>
        <v/>
      </c>
      <c r="C172" s="2" t="s">
        <v>84</v>
      </c>
      <c r="D172" s="2" t="s">
        <v>84</v>
      </c>
      <c r="E172" s="2" t="s">
        <v>84</v>
      </c>
      <c r="F172" s="2" t="s">
        <v>84</v>
      </c>
      <c r="G172" s="2" t="s">
        <v>59</v>
      </c>
      <c r="H172" s="2" t="s">
        <v>84</v>
      </c>
      <c r="I172" s="19" t="str">
        <f t="shared" si="30"/>
        <v/>
      </c>
      <c r="J172" s="2" t="str">
        <f t="shared" si="31"/>
        <v/>
      </c>
      <c r="K172" s="2">
        <f t="shared" si="32"/>
        <v>3</v>
      </c>
      <c r="L172" s="2" t="str">
        <f t="shared" si="33"/>
        <v/>
      </c>
      <c r="M172" s="2" t="str">
        <f t="shared" si="34"/>
        <v/>
      </c>
      <c r="N172" s="2" t="str">
        <f t="shared" si="35"/>
        <v/>
      </c>
      <c r="O172" s="19">
        <f t="shared" si="36"/>
        <v>3</v>
      </c>
      <c r="Q172" s="2" t="str">
        <f t="shared" si="37"/>
        <v/>
      </c>
      <c r="R172" s="21" t="str">
        <f t="shared" si="38"/>
        <v/>
      </c>
      <c r="S172" s="2" t="str">
        <f t="shared" si="39"/>
        <v/>
      </c>
      <c r="T172" s="2">
        <f t="shared" si="41"/>
        <v>1</v>
      </c>
      <c r="U172" s="19" t="str">
        <f t="shared" si="42"/>
        <v/>
      </c>
    </row>
    <row r="173" spans="1:21" x14ac:dyDescent="0.2">
      <c r="A173" s="2">
        <v>172</v>
      </c>
      <c r="B173" s="21" t="str">
        <f t="shared" si="40"/>
        <v>1.3.27</v>
      </c>
      <c r="C173" s="2">
        <v>1</v>
      </c>
      <c r="D173" s="2">
        <v>3</v>
      </c>
      <c r="E173" s="2">
        <v>27</v>
      </c>
      <c r="F173" s="2" t="s">
        <v>84</v>
      </c>
      <c r="G173" s="2" t="s">
        <v>264</v>
      </c>
      <c r="H173" s="2">
        <v>3</v>
      </c>
      <c r="I173" s="19" t="str">
        <f t="shared" si="30"/>
        <v/>
      </c>
      <c r="J173" s="2" t="str">
        <f t="shared" si="31"/>
        <v/>
      </c>
      <c r="K173" s="2" t="str">
        <f t="shared" si="32"/>
        <v/>
      </c>
      <c r="L173" s="2" t="str">
        <f t="shared" si="33"/>
        <v/>
      </c>
      <c r="M173" s="2">
        <f t="shared" si="34"/>
        <v>5</v>
      </c>
      <c r="N173" s="2" t="str">
        <f t="shared" si="35"/>
        <v/>
      </c>
      <c r="O173" s="19">
        <f t="shared" si="36"/>
        <v>5</v>
      </c>
      <c r="Q173" s="2" t="str">
        <f t="shared" si="37"/>
        <v>27</v>
      </c>
      <c r="R173" s="21" t="str">
        <f t="shared" si="38"/>
        <v>1.3.27</v>
      </c>
      <c r="S173" s="2" t="str">
        <f t="shared" si="39"/>
        <v/>
      </c>
      <c r="T173" s="2" t="str">
        <f t="shared" si="41"/>
        <v/>
      </c>
      <c r="U173" s="19" t="str">
        <f t="shared" si="42"/>
        <v/>
      </c>
    </row>
    <row r="174" spans="1:21" x14ac:dyDescent="0.2">
      <c r="A174" s="2">
        <v>173</v>
      </c>
      <c r="B174" s="21" t="str">
        <f t="shared" si="40"/>
        <v>1.3.28</v>
      </c>
      <c r="C174" s="2">
        <v>1</v>
      </c>
      <c r="D174" s="2">
        <v>3</v>
      </c>
      <c r="E174" s="2">
        <v>28</v>
      </c>
      <c r="F174" s="2" t="s">
        <v>84</v>
      </c>
      <c r="G174" s="2" t="s">
        <v>265</v>
      </c>
      <c r="H174" s="2" t="s">
        <v>89</v>
      </c>
      <c r="I174" s="19" t="str">
        <f t="shared" si="30"/>
        <v/>
      </c>
      <c r="J174" s="2" t="str">
        <f t="shared" si="31"/>
        <v/>
      </c>
      <c r="K174" s="2" t="str">
        <f t="shared" si="32"/>
        <v/>
      </c>
      <c r="L174" s="2">
        <f t="shared" si="33"/>
        <v>4</v>
      </c>
      <c r="M174" s="2" t="str">
        <f t="shared" si="34"/>
        <v/>
      </c>
      <c r="N174" s="2" t="str">
        <f t="shared" si="35"/>
        <v/>
      </c>
      <c r="O174" s="19">
        <f t="shared" si="36"/>
        <v>4</v>
      </c>
      <c r="Q174" s="2" t="str">
        <f t="shared" si="37"/>
        <v>28</v>
      </c>
      <c r="R174" s="21" t="str">
        <f t="shared" si="38"/>
        <v>1.3.28</v>
      </c>
      <c r="S174" s="2" t="str">
        <f t="shared" si="39"/>
        <v/>
      </c>
      <c r="T174" s="2" t="str">
        <f t="shared" si="41"/>
        <v/>
      </c>
      <c r="U174" s="19" t="str">
        <f t="shared" si="42"/>
        <v/>
      </c>
    </row>
    <row r="175" spans="1:21" x14ac:dyDescent="0.2">
      <c r="A175" s="2">
        <v>174</v>
      </c>
      <c r="B175" s="21" t="str">
        <f t="shared" si="40"/>
        <v>1.3.28a</v>
      </c>
      <c r="C175" s="2">
        <v>1</v>
      </c>
      <c r="D175" s="2">
        <v>3</v>
      </c>
      <c r="E175" s="2">
        <v>28</v>
      </c>
      <c r="F175" s="2" t="s">
        <v>90</v>
      </c>
      <c r="G175" s="2" t="s">
        <v>266</v>
      </c>
      <c r="H175" s="2">
        <v>3</v>
      </c>
      <c r="I175" s="19" t="str">
        <f t="shared" si="30"/>
        <v/>
      </c>
      <c r="J175" s="2" t="str">
        <f t="shared" si="31"/>
        <v/>
      </c>
      <c r="K175" s="2" t="str">
        <f t="shared" si="32"/>
        <v/>
      </c>
      <c r="L175" s="2" t="str">
        <f t="shared" si="33"/>
        <v/>
      </c>
      <c r="M175" s="2" t="str">
        <f t="shared" si="34"/>
        <v/>
      </c>
      <c r="N175" s="2">
        <f t="shared" si="35"/>
        <v>6</v>
      </c>
      <c r="O175" s="19">
        <f t="shared" si="36"/>
        <v>6</v>
      </c>
      <c r="Q175" s="2" t="str">
        <f t="shared" si="37"/>
        <v>28</v>
      </c>
      <c r="R175" s="21" t="str">
        <f t="shared" si="38"/>
        <v>1.3.28a</v>
      </c>
      <c r="S175" s="2" t="str">
        <f t="shared" si="39"/>
        <v/>
      </c>
      <c r="T175" s="2" t="str">
        <f t="shared" si="41"/>
        <v/>
      </c>
      <c r="U175" s="19" t="str">
        <f t="shared" si="42"/>
        <v/>
      </c>
    </row>
    <row r="176" spans="1:21" x14ac:dyDescent="0.2">
      <c r="A176" s="2">
        <v>175</v>
      </c>
      <c r="B176" s="21" t="str">
        <f t="shared" si="40"/>
        <v>1.3.28b</v>
      </c>
      <c r="C176" s="2">
        <v>1</v>
      </c>
      <c r="D176" s="2">
        <v>3</v>
      </c>
      <c r="E176" s="2">
        <v>28</v>
      </c>
      <c r="F176" s="2" t="s">
        <v>92</v>
      </c>
      <c r="G176" s="2" t="s">
        <v>267</v>
      </c>
      <c r="H176" s="2">
        <v>3</v>
      </c>
      <c r="I176" s="19" t="str">
        <f t="shared" si="30"/>
        <v/>
      </c>
      <c r="J176" s="2" t="str">
        <f t="shared" si="31"/>
        <v/>
      </c>
      <c r="K176" s="2" t="str">
        <f t="shared" si="32"/>
        <v/>
      </c>
      <c r="L176" s="2" t="str">
        <f t="shared" si="33"/>
        <v/>
      </c>
      <c r="M176" s="2" t="str">
        <f t="shared" si="34"/>
        <v/>
      </c>
      <c r="N176" s="2">
        <f t="shared" si="35"/>
        <v>6</v>
      </c>
      <c r="O176" s="19">
        <f t="shared" si="36"/>
        <v>6</v>
      </c>
      <c r="Q176" s="2" t="str">
        <f t="shared" si="37"/>
        <v>28</v>
      </c>
      <c r="R176" s="21" t="str">
        <f t="shared" si="38"/>
        <v>1.3.28b</v>
      </c>
      <c r="S176" s="2" t="str">
        <f t="shared" si="39"/>
        <v/>
      </c>
      <c r="T176" s="2" t="str">
        <f t="shared" si="41"/>
        <v/>
      </c>
      <c r="U176" s="19" t="str">
        <f t="shared" si="42"/>
        <v/>
      </c>
    </row>
    <row r="177" spans="1:21" x14ac:dyDescent="0.2">
      <c r="A177" s="2">
        <v>176</v>
      </c>
      <c r="B177" s="21" t="str">
        <f t="shared" si="40"/>
        <v>1.3.28c</v>
      </c>
      <c r="C177" s="2">
        <v>1</v>
      </c>
      <c r="D177" s="2">
        <v>3</v>
      </c>
      <c r="E177" s="2">
        <v>28</v>
      </c>
      <c r="F177" s="2" t="s">
        <v>94</v>
      </c>
      <c r="G177" s="2" t="s">
        <v>268</v>
      </c>
      <c r="H177" s="2">
        <v>3</v>
      </c>
      <c r="I177" s="19" t="str">
        <f t="shared" si="30"/>
        <v/>
      </c>
      <c r="J177" s="2" t="str">
        <f t="shared" si="31"/>
        <v/>
      </c>
      <c r="K177" s="2" t="str">
        <f t="shared" si="32"/>
        <v/>
      </c>
      <c r="L177" s="2" t="str">
        <f t="shared" si="33"/>
        <v/>
      </c>
      <c r="M177" s="2" t="str">
        <f t="shared" si="34"/>
        <v/>
      </c>
      <c r="N177" s="2">
        <f t="shared" si="35"/>
        <v>6</v>
      </c>
      <c r="O177" s="19">
        <f t="shared" si="36"/>
        <v>6</v>
      </c>
      <c r="Q177" s="2" t="str">
        <f t="shared" si="37"/>
        <v>28</v>
      </c>
      <c r="R177" s="21" t="str">
        <f t="shared" si="38"/>
        <v>1.3.28c</v>
      </c>
      <c r="S177" s="2" t="str">
        <f t="shared" si="39"/>
        <v/>
      </c>
      <c r="T177" s="2" t="str">
        <f t="shared" si="41"/>
        <v/>
      </c>
      <c r="U177" s="19" t="str">
        <f t="shared" si="42"/>
        <v/>
      </c>
    </row>
    <row r="178" spans="1:21" x14ac:dyDescent="0.2">
      <c r="A178" s="2">
        <v>177</v>
      </c>
      <c r="B178" s="21" t="str">
        <f t="shared" si="40"/>
        <v>1.3.28d</v>
      </c>
      <c r="C178" s="2">
        <v>1</v>
      </c>
      <c r="D178" s="2">
        <v>3</v>
      </c>
      <c r="E178" s="2">
        <v>28</v>
      </c>
      <c r="F178" s="2" t="s">
        <v>112</v>
      </c>
      <c r="G178" s="2" t="s">
        <v>269</v>
      </c>
      <c r="H178" s="2">
        <v>3</v>
      </c>
      <c r="I178" s="19" t="str">
        <f t="shared" si="30"/>
        <v/>
      </c>
      <c r="J178" s="2" t="str">
        <f t="shared" si="31"/>
        <v/>
      </c>
      <c r="K178" s="2" t="str">
        <f t="shared" si="32"/>
        <v/>
      </c>
      <c r="L178" s="2" t="str">
        <f t="shared" si="33"/>
        <v/>
      </c>
      <c r="M178" s="2" t="str">
        <f t="shared" si="34"/>
        <v/>
      </c>
      <c r="N178" s="2">
        <f t="shared" si="35"/>
        <v>6</v>
      </c>
      <c r="O178" s="19">
        <f t="shared" si="36"/>
        <v>6</v>
      </c>
      <c r="Q178" s="2" t="str">
        <f t="shared" si="37"/>
        <v>28</v>
      </c>
      <c r="R178" s="21" t="str">
        <f t="shared" si="38"/>
        <v>1.3.28d</v>
      </c>
      <c r="S178" s="2" t="str">
        <f t="shared" si="39"/>
        <v/>
      </c>
      <c r="T178" s="2" t="str">
        <f t="shared" si="41"/>
        <v/>
      </c>
      <c r="U178" s="19" t="str">
        <f t="shared" si="42"/>
        <v/>
      </c>
    </row>
    <row r="179" spans="1:21" x14ac:dyDescent="0.2">
      <c r="A179" s="2">
        <v>178</v>
      </c>
      <c r="B179" s="21" t="str">
        <f t="shared" si="40"/>
        <v>1.3.29</v>
      </c>
      <c r="C179" s="2">
        <v>1</v>
      </c>
      <c r="D179" s="2">
        <v>3</v>
      </c>
      <c r="E179" s="2">
        <v>29</v>
      </c>
      <c r="F179" s="2" t="s">
        <v>84</v>
      </c>
      <c r="G179" s="2" t="s">
        <v>270</v>
      </c>
      <c r="H179" s="2" t="s">
        <v>89</v>
      </c>
      <c r="I179" s="19" t="str">
        <f t="shared" si="30"/>
        <v/>
      </c>
      <c r="J179" s="2" t="str">
        <f t="shared" si="31"/>
        <v/>
      </c>
      <c r="K179" s="2" t="str">
        <f t="shared" si="32"/>
        <v/>
      </c>
      <c r="L179" s="2">
        <f t="shared" si="33"/>
        <v>4</v>
      </c>
      <c r="M179" s="2" t="str">
        <f t="shared" si="34"/>
        <v/>
      </c>
      <c r="N179" s="2" t="str">
        <f t="shared" si="35"/>
        <v/>
      </c>
      <c r="O179" s="19">
        <f t="shared" si="36"/>
        <v>4</v>
      </c>
      <c r="Q179" s="2" t="str">
        <f t="shared" si="37"/>
        <v>29</v>
      </c>
      <c r="R179" s="21" t="str">
        <f t="shared" si="38"/>
        <v>1.3.29</v>
      </c>
      <c r="S179" s="2" t="str">
        <f t="shared" si="39"/>
        <v/>
      </c>
      <c r="T179" s="2" t="str">
        <f t="shared" si="41"/>
        <v/>
      </c>
      <c r="U179" s="19" t="str">
        <f t="shared" si="42"/>
        <v/>
      </c>
    </row>
    <row r="180" spans="1:21" x14ac:dyDescent="0.2">
      <c r="A180" s="2">
        <v>179</v>
      </c>
      <c r="B180" s="21" t="str">
        <f t="shared" si="40"/>
        <v>1.3.29a</v>
      </c>
      <c r="C180" s="2">
        <v>1</v>
      </c>
      <c r="D180" s="2">
        <v>3</v>
      </c>
      <c r="E180" s="2">
        <v>29</v>
      </c>
      <c r="F180" s="2" t="s">
        <v>90</v>
      </c>
      <c r="G180" s="2" t="s">
        <v>271</v>
      </c>
      <c r="H180" s="2">
        <v>3</v>
      </c>
      <c r="I180" s="19" t="str">
        <f t="shared" si="30"/>
        <v/>
      </c>
      <c r="J180" s="2" t="str">
        <f t="shared" si="31"/>
        <v/>
      </c>
      <c r="K180" s="2" t="str">
        <f t="shared" si="32"/>
        <v/>
      </c>
      <c r="L180" s="2" t="str">
        <f t="shared" si="33"/>
        <v/>
      </c>
      <c r="M180" s="2" t="str">
        <f t="shared" si="34"/>
        <v/>
      </c>
      <c r="N180" s="2">
        <f t="shared" si="35"/>
        <v>6</v>
      </c>
      <c r="O180" s="19">
        <f t="shared" si="36"/>
        <v>6</v>
      </c>
      <c r="Q180" s="2" t="str">
        <f t="shared" si="37"/>
        <v>29</v>
      </c>
      <c r="R180" s="21" t="str">
        <f t="shared" si="38"/>
        <v>1.3.29a</v>
      </c>
      <c r="S180" s="2" t="str">
        <f t="shared" si="39"/>
        <v/>
      </c>
      <c r="T180" s="2" t="str">
        <f t="shared" si="41"/>
        <v/>
      </c>
      <c r="U180" s="19" t="str">
        <f t="shared" si="42"/>
        <v/>
      </c>
    </row>
    <row r="181" spans="1:21" x14ac:dyDescent="0.2">
      <c r="A181" s="2">
        <v>180</v>
      </c>
      <c r="B181" s="21" t="str">
        <f t="shared" si="40"/>
        <v>1.3.29b</v>
      </c>
      <c r="C181" s="2">
        <v>1</v>
      </c>
      <c r="D181" s="2">
        <v>3</v>
      </c>
      <c r="E181" s="2">
        <v>29</v>
      </c>
      <c r="F181" s="2" t="s">
        <v>92</v>
      </c>
      <c r="G181" s="2" t="s">
        <v>272</v>
      </c>
      <c r="H181" s="2">
        <v>3</v>
      </c>
      <c r="I181" s="19" t="str">
        <f t="shared" si="30"/>
        <v/>
      </c>
      <c r="J181" s="2" t="str">
        <f t="shared" si="31"/>
        <v/>
      </c>
      <c r="K181" s="2" t="str">
        <f t="shared" si="32"/>
        <v/>
      </c>
      <c r="L181" s="2" t="str">
        <f t="shared" si="33"/>
        <v/>
      </c>
      <c r="M181" s="2" t="str">
        <f t="shared" si="34"/>
        <v/>
      </c>
      <c r="N181" s="2">
        <f t="shared" si="35"/>
        <v>6</v>
      </c>
      <c r="O181" s="19">
        <f t="shared" si="36"/>
        <v>6</v>
      </c>
      <c r="Q181" s="2" t="str">
        <f t="shared" si="37"/>
        <v>29</v>
      </c>
      <c r="R181" s="21" t="str">
        <f t="shared" si="38"/>
        <v>1.3.29b</v>
      </c>
      <c r="S181" s="2" t="str">
        <f t="shared" si="39"/>
        <v/>
      </c>
      <c r="T181" s="2" t="str">
        <f t="shared" si="41"/>
        <v/>
      </c>
      <c r="U181" s="19" t="str">
        <f t="shared" si="42"/>
        <v/>
      </c>
    </row>
    <row r="182" spans="1:21" x14ac:dyDescent="0.2">
      <c r="A182" s="2">
        <v>181</v>
      </c>
      <c r="B182" s="21" t="str">
        <f t="shared" si="40"/>
        <v>1.3.29c</v>
      </c>
      <c r="C182" s="2">
        <v>1</v>
      </c>
      <c r="D182" s="2">
        <v>3</v>
      </c>
      <c r="E182" s="2">
        <v>29</v>
      </c>
      <c r="F182" s="2" t="s">
        <v>94</v>
      </c>
      <c r="G182" s="2" t="s">
        <v>273</v>
      </c>
      <c r="H182" s="2">
        <v>3</v>
      </c>
      <c r="I182" s="19" t="str">
        <f t="shared" si="30"/>
        <v/>
      </c>
      <c r="J182" s="2" t="str">
        <f t="shared" si="31"/>
        <v/>
      </c>
      <c r="K182" s="2" t="str">
        <f t="shared" si="32"/>
        <v/>
      </c>
      <c r="L182" s="2" t="str">
        <f t="shared" si="33"/>
        <v/>
      </c>
      <c r="M182" s="2" t="str">
        <f t="shared" si="34"/>
        <v/>
      </c>
      <c r="N182" s="2">
        <f t="shared" si="35"/>
        <v>6</v>
      </c>
      <c r="O182" s="19">
        <f t="shared" si="36"/>
        <v>6</v>
      </c>
      <c r="Q182" s="2" t="str">
        <f t="shared" si="37"/>
        <v>29</v>
      </c>
      <c r="R182" s="21" t="str">
        <f t="shared" si="38"/>
        <v>1.3.29c</v>
      </c>
      <c r="S182" s="2" t="str">
        <f t="shared" si="39"/>
        <v/>
      </c>
      <c r="T182" s="2" t="str">
        <f t="shared" si="41"/>
        <v/>
      </c>
      <c r="U182" s="19" t="str">
        <f t="shared" si="42"/>
        <v/>
      </c>
    </row>
    <row r="183" spans="1:21" x14ac:dyDescent="0.2">
      <c r="A183" s="2">
        <v>182</v>
      </c>
      <c r="B183" s="21" t="str">
        <f t="shared" si="40"/>
        <v>1.3.29d</v>
      </c>
      <c r="C183" s="2">
        <v>1</v>
      </c>
      <c r="D183" s="2">
        <v>3</v>
      </c>
      <c r="E183" s="2">
        <v>29</v>
      </c>
      <c r="F183" s="2" t="s">
        <v>112</v>
      </c>
      <c r="G183" s="2" t="s">
        <v>274</v>
      </c>
      <c r="H183" s="2">
        <v>3</v>
      </c>
      <c r="I183" s="19" t="str">
        <f t="shared" si="30"/>
        <v/>
      </c>
      <c r="J183" s="2" t="str">
        <f t="shared" si="31"/>
        <v/>
      </c>
      <c r="K183" s="2" t="str">
        <f t="shared" si="32"/>
        <v/>
      </c>
      <c r="L183" s="2" t="str">
        <f t="shared" si="33"/>
        <v/>
      </c>
      <c r="M183" s="2" t="str">
        <f t="shared" si="34"/>
        <v/>
      </c>
      <c r="N183" s="2">
        <f t="shared" si="35"/>
        <v>6</v>
      </c>
      <c r="O183" s="19">
        <f t="shared" si="36"/>
        <v>6</v>
      </c>
      <c r="Q183" s="2" t="str">
        <f t="shared" si="37"/>
        <v>29</v>
      </c>
      <c r="R183" s="21" t="str">
        <f t="shared" si="38"/>
        <v>1.3.29d</v>
      </c>
      <c r="S183" s="2" t="str">
        <f t="shared" si="39"/>
        <v/>
      </c>
      <c r="T183" s="2" t="str">
        <f t="shared" si="41"/>
        <v/>
      </c>
      <c r="U183" s="19" t="str">
        <f t="shared" si="42"/>
        <v/>
      </c>
    </row>
    <row r="184" spans="1:21" x14ac:dyDescent="0.2">
      <c r="A184" s="2">
        <v>183</v>
      </c>
      <c r="B184" s="21" t="str">
        <f t="shared" si="40"/>
        <v>1.3.30</v>
      </c>
      <c r="C184" s="2">
        <v>1</v>
      </c>
      <c r="D184" s="2">
        <v>3</v>
      </c>
      <c r="E184" s="2">
        <v>30</v>
      </c>
      <c r="F184" s="2" t="s">
        <v>84</v>
      </c>
      <c r="G184" s="2" t="s">
        <v>275</v>
      </c>
      <c r="H184" s="2" t="s">
        <v>89</v>
      </c>
      <c r="I184" s="19" t="str">
        <f t="shared" si="30"/>
        <v/>
      </c>
      <c r="J184" s="2" t="str">
        <f t="shared" si="31"/>
        <v/>
      </c>
      <c r="K184" s="2" t="str">
        <f t="shared" si="32"/>
        <v/>
      </c>
      <c r="L184" s="2">
        <f t="shared" si="33"/>
        <v>4</v>
      </c>
      <c r="M184" s="2" t="str">
        <f t="shared" si="34"/>
        <v/>
      </c>
      <c r="N184" s="2" t="str">
        <f t="shared" si="35"/>
        <v/>
      </c>
      <c r="O184" s="19">
        <f t="shared" si="36"/>
        <v>4</v>
      </c>
      <c r="Q184" s="2" t="str">
        <f t="shared" si="37"/>
        <v>30</v>
      </c>
      <c r="R184" s="21" t="str">
        <f t="shared" si="38"/>
        <v>1.3.30</v>
      </c>
      <c r="S184" s="2" t="str">
        <f t="shared" si="39"/>
        <v/>
      </c>
      <c r="T184" s="2" t="str">
        <f t="shared" si="41"/>
        <v/>
      </c>
      <c r="U184" s="19" t="str">
        <f t="shared" si="42"/>
        <v/>
      </c>
    </row>
    <row r="185" spans="1:21" x14ac:dyDescent="0.2">
      <c r="A185" s="2">
        <v>184</v>
      </c>
      <c r="B185" s="21" t="str">
        <f t="shared" si="40"/>
        <v>1.3.30a</v>
      </c>
      <c r="C185" s="2">
        <v>1</v>
      </c>
      <c r="D185" s="2">
        <v>3</v>
      </c>
      <c r="E185" s="2">
        <v>30</v>
      </c>
      <c r="F185" s="2" t="s">
        <v>90</v>
      </c>
      <c r="G185" s="2" t="s">
        <v>276</v>
      </c>
      <c r="H185" s="2">
        <v>5</v>
      </c>
      <c r="I185" s="19" t="str">
        <f t="shared" si="30"/>
        <v/>
      </c>
      <c r="J185" s="2" t="str">
        <f t="shared" si="31"/>
        <v/>
      </c>
      <c r="K185" s="2" t="str">
        <f t="shared" si="32"/>
        <v/>
      </c>
      <c r="L185" s="2" t="str">
        <f t="shared" si="33"/>
        <v/>
      </c>
      <c r="M185" s="2" t="str">
        <f t="shared" si="34"/>
        <v/>
      </c>
      <c r="N185" s="2">
        <f t="shared" si="35"/>
        <v>6</v>
      </c>
      <c r="O185" s="19">
        <f t="shared" si="36"/>
        <v>6</v>
      </c>
      <c r="Q185" s="2" t="str">
        <f t="shared" si="37"/>
        <v>30</v>
      </c>
      <c r="R185" s="21" t="str">
        <f t="shared" si="38"/>
        <v>1.3.30a</v>
      </c>
      <c r="S185" s="2" t="str">
        <f t="shared" si="39"/>
        <v/>
      </c>
      <c r="T185" s="2" t="str">
        <f t="shared" si="41"/>
        <v/>
      </c>
      <c r="U185" s="19" t="str">
        <f t="shared" si="42"/>
        <v/>
      </c>
    </row>
    <row r="186" spans="1:21" x14ac:dyDescent="0.2">
      <c r="A186" s="2">
        <v>185</v>
      </c>
      <c r="B186" s="21" t="str">
        <f t="shared" si="40"/>
        <v>1.3.30b</v>
      </c>
      <c r="C186" s="2">
        <v>1</v>
      </c>
      <c r="D186" s="2">
        <v>3</v>
      </c>
      <c r="E186" s="2">
        <v>30</v>
      </c>
      <c r="F186" s="2" t="s">
        <v>92</v>
      </c>
      <c r="G186" s="2" t="s">
        <v>277</v>
      </c>
      <c r="H186" s="2">
        <v>5</v>
      </c>
      <c r="I186" s="19" t="str">
        <f t="shared" si="30"/>
        <v/>
      </c>
      <c r="J186" s="2" t="str">
        <f t="shared" si="31"/>
        <v/>
      </c>
      <c r="K186" s="2" t="str">
        <f t="shared" si="32"/>
        <v/>
      </c>
      <c r="L186" s="2" t="str">
        <f t="shared" si="33"/>
        <v/>
      </c>
      <c r="M186" s="2" t="str">
        <f t="shared" si="34"/>
        <v/>
      </c>
      <c r="N186" s="2">
        <f t="shared" si="35"/>
        <v>6</v>
      </c>
      <c r="O186" s="19">
        <f t="shared" si="36"/>
        <v>6</v>
      </c>
      <c r="Q186" s="2" t="str">
        <f t="shared" si="37"/>
        <v>30</v>
      </c>
      <c r="R186" s="21" t="str">
        <f t="shared" si="38"/>
        <v>1.3.30b</v>
      </c>
      <c r="S186" s="2" t="str">
        <f t="shared" si="39"/>
        <v/>
      </c>
      <c r="T186" s="2" t="str">
        <f t="shared" si="41"/>
        <v/>
      </c>
      <c r="U186" s="19" t="str">
        <f t="shared" si="42"/>
        <v/>
      </c>
    </row>
    <row r="187" spans="1:21" x14ac:dyDescent="0.2">
      <c r="A187" s="2">
        <v>186</v>
      </c>
      <c r="B187" s="21" t="str">
        <f t="shared" si="40"/>
        <v>1.3.30c</v>
      </c>
      <c r="C187" s="2">
        <v>1</v>
      </c>
      <c r="D187" s="2">
        <v>3</v>
      </c>
      <c r="E187" s="2">
        <v>30</v>
      </c>
      <c r="F187" s="2" t="s">
        <v>94</v>
      </c>
      <c r="G187" s="2" t="s">
        <v>278</v>
      </c>
      <c r="H187" s="2">
        <v>4</v>
      </c>
      <c r="I187" s="19" t="str">
        <f t="shared" si="30"/>
        <v/>
      </c>
      <c r="J187" s="2" t="str">
        <f t="shared" si="31"/>
        <v/>
      </c>
      <c r="K187" s="2" t="str">
        <f t="shared" si="32"/>
        <v/>
      </c>
      <c r="L187" s="2" t="str">
        <f t="shared" si="33"/>
        <v/>
      </c>
      <c r="M187" s="2" t="str">
        <f t="shared" si="34"/>
        <v/>
      </c>
      <c r="N187" s="2">
        <f t="shared" si="35"/>
        <v>6</v>
      </c>
      <c r="O187" s="19">
        <f t="shared" si="36"/>
        <v>6</v>
      </c>
      <c r="Q187" s="2" t="str">
        <f t="shared" si="37"/>
        <v>30</v>
      </c>
      <c r="R187" s="21" t="str">
        <f t="shared" si="38"/>
        <v>1.3.30c</v>
      </c>
      <c r="S187" s="2" t="str">
        <f t="shared" si="39"/>
        <v/>
      </c>
      <c r="T187" s="2" t="str">
        <f t="shared" si="41"/>
        <v/>
      </c>
      <c r="U187" s="19" t="str">
        <f t="shared" si="42"/>
        <v/>
      </c>
    </row>
    <row r="188" spans="1:21" x14ac:dyDescent="0.2">
      <c r="A188" s="2">
        <v>187</v>
      </c>
      <c r="B188" s="21" t="str">
        <f t="shared" si="40"/>
        <v>1.4</v>
      </c>
      <c r="C188" s="2">
        <v>1</v>
      </c>
      <c r="D188" s="2">
        <v>4</v>
      </c>
      <c r="E188" s="2" t="s">
        <v>84</v>
      </c>
      <c r="F188" s="2" t="s">
        <v>84</v>
      </c>
      <c r="G188" s="2" t="s">
        <v>279</v>
      </c>
      <c r="H188" s="2" t="s">
        <v>84</v>
      </c>
      <c r="I188" s="19" t="str">
        <f t="shared" si="30"/>
        <v/>
      </c>
      <c r="J188" s="2">
        <f t="shared" si="31"/>
        <v>2</v>
      </c>
      <c r="K188" s="2" t="str">
        <f t="shared" si="32"/>
        <v/>
      </c>
      <c r="L188" s="2" t="str">
        <f t="shared" si="33"/>
        <v/>
      </c>
      <c r="M188" s="2" t="str">
        <f t="shared" si="34"/>
        <v/>
      </c>
      <c r="N188" s="2" t="str">
        <f t="shared" si="35"/>
        <v/>
      </c>
      <c r="O188" s="19">
        <f t="shared" si="36"/>
        <v>2</v>
      </c>
      <c r="Q188" s="2" t="str">
        <f t="shared" si="37"/>
        <v/>
      </c>
      <c r="R188" s="21" t="str">
        <f t="shared" si="38"/>
        <v>1.4</v>
      </c>
      <c r="S188" s="2" t="str">
        <f t="shared" ref="S188" si="43">IF(O188=O187,IF(NOT(R188&gt;R187),1,""),"")</f>
        <v/>
      </c>
      <c r="T188" s="2" t="str">
        <f t="shared" ref="T188" si="44">IF(NOT(R188&gt;R187),1,"")</f>
        <v/>
      </c>
      <c r="U188" s="19" t="str">
        <f t="shared" si="42"/>
        <v/>
      </c>
    </row>
    <row r="189" spans="1:21" x14ac:dyDescent="0.2">
      <c r="A189" s="2">
        <v>188</v>
      </c>
      <c r="B189" s="21" t="str">
        <f t="shared" si="40"/>
        <v>1.4.01</v>
      </c>
      <c r="C189" s="2">
        <v>1</v>
      </c>
      <c r="D189" s="2">
        <v>4</v>
      </c>
      <c r="E189" s="2">
        <v>1</v>
      </c>
      <c r="F189" s="2" t="s">
        <v>84</v>
      </c>
      <c r="G189" s="2" t="s">
        <v>280</v>
      </c>
      <c r="H189" s="2">
        <v>1</v>
      </c>
      <c r="I189" s="19" t="str">
        <f t="shared" si="30"/>
        <v/>
      </c>
      <c r="J189" s="2" t="str">
        <f t="shared" si="31"/>
        <v/>
      </c>
      <c r="K189" s="2" t="str">
        <f t="shared" si="32"/>
        <v/>
      </c>
      <c r="L189" s="2" t="str">
        <f t="shared" si="33"/>
        <v/>
      </c>
      <c r="M189" s="2">
        <f t="shared" si="34"/>
        <v>5</v>
      </c>
      <c r="N189" s="2" t="str">
        <f t="shared" si="35"/>
        <v/>
      </c>
      <c r="O189" s="19">
        <f t="shared" si="36"/>
        <v>5</v>
      </c>
      <c r="Q189" s="2" t="str">
        <f t="shared" si="37"/>
        <v>01</v>
      </c>
      <c r="R189" s="21" t="str">
        <f t="shared" si="38"/>
        <v>1.4.01</v>
      </c>
      <c r="S189" s="2" t="str">
        <f t="shared" si="39"/>
        <v/>
      </c>
      <c r="T189" s="2" t="str">
        <f t="shared" si="41"/>
        <v/>
      </c>
      <c r="U189" s="19" t="str">
        <f t="shared" si="42"/>
        <v/>
      </c>
    </row>
    <row r="190" spans="1:21" x14ac:dyDescent="0.2">
      <c r="A190" s="2">
        <v>189</v>
      </c>
      <c r="B190" s="21" t="str">
        <f t="shared" si="40"/>
        <v>1.4.02</v>
      </c>
      <c r="C190" s="2">
        <v>1</v>
      </c>
      <c r="D190" s="2">
        <v>4</v>
      </c>
      <c r="E190" s="2">
        <v>2</v>
      </c>
      <c r="F190" s="2" t="s">
        <v>84</v>
      </c>
      <c r="G190" s="2" t="s">
        <v>281</v>
      </c>
      <c r="H190" s="2" t="s">
        <v>89</v>
      </c>
      <c r="I190" s="19" t="str">
        <f t="shared" si="30"/>
        <v/>
      </c>
      <c r="J190" s="2" t="str">
        <f t="shared" si="31"/>
        <v/>
      </c>
      <c r="K190" s="2" t="str">
        <f t="shared" si="32"/>
        <v/>
      </c>
      <c r="L190" s="2">
        <f t="shared" si="33"/>
        <v>4</v>
      </c>
      <c r="M190" s="2" t="str">
        <f t="shared" si="34"/>
        <v/>
      </c>
      <c r="N190" s="2" t="str">
        <f t="shared" si="35"/>
        <v/>
      </c>
      <c r="O190" s="19">
        <f t="shared" si="36"/>
        <v>4</v>
      </c>
      <c r="Q190" s="2" t="str">
        <f t="shared" si="37"/>
        <v>02</v>
      </c>
      <c r="R190" s="21" t="str">
        <f t="shared" si="38"/>
        <v>1.4.02</v>
      </c>
      <c r="S190" s="2" t="str">
        <f t="shared" si="39"/>
        <v/>
      </c>
      <c r="T190" s="2" t="str">
        <f t="shared" si="41"/>
        <v/>
      </c>
      <c r="U190" s="19" t="str">
        <f t="shared" si="42"/>
        <v/>
      </c>
    </row>
    <row r="191" spans="1:21" x14ac:dyDescent="0.2">
      <c r="A191" s="2">
        <v>190</v>
      </c>
      <c r="B191" s="21" t="str">
        <f t="shared" si="40"/>
        <v>1.4.02a</v>
      </c>
      <c r="C191" s="2">
        <v>1</v>
      </c>
      <c r="D191" s="2">
        <v>4</v>
      </c>
      <c r="E191" s="2">
        <v>2</v>
      </c>
      <c r="F191" s="2" t="s">
        <v>90</v>
      </c>
      <c r="G191" s="2" t="s">
        <v>282</v>
      </c>
      <c r="H191" s="2">
        <v>2</v>
      </c>
      <c r="I191" s="19" t="str">
        <f t="shared" ref="I191:I253" si="45">IF(AND(LEN(C191)=1,LEN(D191)=0),1,"")</f>
        <v/>
      </c>
      <c r="J191" s="2" t="str">
        <f t="shared" ref="J191:J253" si="46">IF(AND(LEN(C191)=1,LEN(D191)=1,LEN(E191)=0,LEN(F191)=0),2,"")</f>
        <v/>
      </c>
      <c r="K191" s="2" t="str">
        <f t="shared" ref="K191:K253" si="47">IF(AND(LEN(C191)=0,LEN(E191)=0),3,"")</f>
        <v/>
      </c>
      <c r="L191" s="2" t="str">
        <f t="shared" ref="L191:L253" si="48">IF(AND(LEN(C191)&gt;0,LEN(D191&gt;0),LEN(E191)&gt;0,LEN(F191)=0,H191="N/A"),4,"")</f>
        <v/>
      </c>
      <c r="M191" s="2" t="str">
        <f t="shared" ref="M191:M253" si="49">IF(AND(LEN(C191)&gt;0,LEN(D191&gt;0),LEN(E191)&gt;0,LEN(F191)=0,H191&gt;0,H191&lt;6),5,"")</f>
        <v/>
      </c>
      <c r="N191" s="2">
        <f t="shared" ref="N191:N253" si="50">IF(AND(LEN(C191)&gt;0,LEN(D191&gt;0),LEN(E191)&gt;0,LEN(F191)&gt;0,H191&gt;0,H191&lt;6),6,"")</f>
        <v>6</v>
      </c>
      <c r="O191" s="19">
        <f t="shared" ref="O191:O253" si="51">SUM(I191:N191)</f>
        <v>6</v>
      </c>
      <c r="Q191" s="2" t="str">
        <f t="shared" ref="Q191:Q253" si="52">IF(LEN(E191)&gt;0,TEXT(E191,"00"),"")</f>
        <v>02</v>
      </c>
      <c r="R191" s="21" t="str">
        <f t="shared" ref="R191:R253" si="53">IF(O191=1,C191,IF(O191=2,C191&amp;"."&amp;D191,IF(O191=3,"",IF(O191=4,C191&amp;"."&amp;D191&amp;"."&amp;Q191,IF(O191=5,C191&amp;"."&amp;D191&amp;"."&amp;Q191,IF(O191=6,C191&amp;"."&amp;D191&amp;"."&amp;Q191&amp;F191,""))))))</f>
        <v>1.4.02a</v>
      </c>
      <c r="S191" s="2" t="str">
        <f t="shared" ref="S191:S253" si="54">IF(O191=O190,IF(NOT(R191&gt;R190),1,""),"")</f>
        <v/>
      </c>
      <c r="T191" s="2" t="str">
        <f t="shared" si="41"/>
        <v/>
      </c>
      <c r="U191" s="19" t="str">
        <f t="shared" si="42"/>
        <v/>
      </c>
    </row>
    <row r="192" spans="1:21" x14ac:dyDescent="0.2">
      <c r="A192" s="2">
        <v>191</v>
      </c>
      <c r="B192" s="21" t="str">
        <f t="shared" ref="B192:B254" si="55">R192</f>
        <v>1.4.02b</v>
      </c>
      <c r="C192" s="2">
        <v>1</v>
      </c>
      <c r="D192" s="2">
        <v>4</v>
      </c>
      <c r="E192" s="2">
        <v>2</v>
      </c>
      <c r="F192" s="2" t="s">
        <v>92</v>
      </c>
      <c r="G192" s="2" t="s">
        <v>283</v>
      </c>
      <c r="H192" s="2">
        <v>2</v>
      </c>
      <c r="I192" s="19" t="str">
        <f t="shared" si="45"/>
        <v/>
      </c>
      <c r="J192" s="2" t="str">
        <f t="shared" si="46"/>
        <v/>
      </c>
      <c r="K192" s="2" t="str">
        <f t="shared" si="47"/>
        <v/>
      </c>
      <c r="L192" s="2" t="str">
        <f t="shared" si="48"/>
        <v/>
      </c>
      <c r="M192" s="2" t="str">
        <f t="shared" si="49"/>
        <v/>
      </c>
      <c r="N192" s="2">
        <f t="shared" si="50"/>
        <v>6</v>
      </c>
      <c r="O192" s="19">
        <f t="shared" si="51"/>
        <v>6</v>
      </c>
      <c r="Q192" s="2" t="str">
        <f t="shared" si="52"/>
        <v>02</v>
      </c>
      <c r="R192" s="21" t="str">
        <f t="shared" si="53"/>
        <v>1.4.02b</v>
      </c>
      <c r="S192" s="2" t="str">
        <f t="shared" si="54"/>
        <v/>
      </c>
      <c r="T192" s="2" t="str">
        <f t="shared" ref="T192:T254" si="56">IF(NOT(R192&gt;R191),1,"")</f>
        <v/>
      </c>
      <c r="U192" s="19" t="str">
        <f t="shared" si="42"/>
        <v/>
      </c>
    </row>
    <row r="193" spans="1:21" x14ac:dyDescent="0.2">
      <c r="A193" s="2">
        <v>192</v>
      </c>
      <c r="B193" s="21" t="str">
        <f t="shared" si="55"/>
        <v>1.4.02c</v>
      </c>
      <c r="C193" s="2">
        <v>1</v>
      </c>
      <c r="D193" s="2">
        <v>4</v>
      </c>
      <c r="E193" s="2">
        <v>2</v>
      </c>
      <c r="F193" s="2" t="s">
        <v>94</v>
      </c>
      <c r="G193" s="2" t="s">
        <v>284</v>
      </c>
      <c r="H193" s="2">
        <v>2</v>
      </c>
      <c r="I193" s="19" t="str">
        <f t="shared" si="45"/>
        <v/>
      </c>
      <c r="J193" s="2" t="str">
        <f t="shared" si="46"/>
        <v/>
      </c>
      <c r="K193" s="2" t="str">
        <f t="shared" si="47"/>
        <v/>
      </c>
      <c r="L193" s="2" t="str">
        <f t="shared" si="48"/>
        <v/>
      </c>
      <c r="M193" s="2" t="str">
        <f t="shared" si="49"/>
        <v/>
      </c>
      <c r="N193" s="2">
        <f t="shared" si="50"/>
        <v>6</v>
      </c>
      <c r="O193" s="19">
        <f t="shared" si="51"/>
        <v>6</v>
      </c>
      <c r="Q193" s="2" t="str">
        <f t="shared" si="52"/>
        <v>02</v>
      </c>
      <c r="R193" s="21" t="str">
        <f t="shared" si="53"/>
        <v>1.4.02c</v>
      </c>
      <c r="S193" s="2" t="str">
        <f t="shared" si="54"/>
        <v/>
      </c>
      <c r="T193" s="2" t="str">
        <f t="shared" si="56"/>
        <v/>
      </c>
      <c r="U193" s="19" t="str">
        <f t="shared" si="42"/>
        <v/>
      </c>
    </row>
    <row r="194" spans="1:21" x14ac:dyDescent="0.2">
      <c r="A194" s="2">
        <v>193</v>
      </c>
      <c r="B194" s="21" t="str">
        <f t="shared" si="55"/>
        <v>1.4.02d</v>
      </c>
      <c r="C194" s="2">
        <v>1</v>
      </c>
      <c r="D194" s="2">
        <v>4</v>
      </c>
      <c r="E194" s="2">
        <v>2</v>
      </c>
      <c r="F194" s="2" t="s">
        <v>112</v>
      </c>
      <c r="G194" s="2" t="s">
        <v>285</v>
      </c>
      <c r="H194" s="2">
        <v>2</v>
      </c>
      <c r="I194" s="19" t="str">
        <f t="shared" si="45"/>
        <v/>
      </c>
      <c r="J194" s="2" t="str">
        <f t="shared" si="46"/>
        <v/>
      </c>
      <c r="K194" s="2" t="str">
        <f t="shared" si="47"/>
        <v/>
      </c>
      <c r="L194" s="2" t="str">
        <f t="shared" si="48"/>
        <v/>
      </c>
      <c r="M194" s="2" t="str">
        <f t="shared" si="49"/>
        <v/>
      </c>
      <c r="N194" s="2">
        <f t="shared" si="50"/>
        <v>6</v>
      </c>
      <c r="O194" s="19">
        <f t="shared" si="51"/>
        <v>6</v>
      </c>
      <c r="Q194" s="2" t="str">
        <f t="shared" si="52"/>
        <v>02</v>
      </c>
      <c r="R194" s="21" t="str">
        <f t="shared" si="53"/>
        <v>1.4.02d</v>
      </c>
      <c r="S194" s="2" t="str">
        <f t="shared" si="54"/>
        <v/>
      </c>
      <c r="T194" s="2" t="str">
        <f t="shared" si="56"/>
        <v/>
      </c>
      <c r="U194" s="19" t="str">
        <f t="shared" si="42"/>
        <v/>
      </c>
    </row>
    <row r="195" spans="1:21" x14ac:dyDescent="0.2">
      <c r="A195" s="2">
        <v>194</v>
      </c>
      <c r="B195" s="21" t="str">
        <f t="shared" si="55"/>
        <v>1.4.02e</v>
      </c>
      <c r="C195" s="2">
        <v>1</v>
      </c>
      <c r="D195" s="2">
        <v>4</v>
      </c>
      <c r="E195" s="2">
        <v>2</v>
      </c>
      <c r="F195" s="2" t="s">
        <v>114</v>
      </c>
      <c r="G195" s="2" t="s">
        <v>286</v>
      </c>
      <c r="H195" s="2">
        <v>2</v>
      </c>
      <c r="I195" s="19" t="str">
        <f t="shared" si="45"/>
        <v/>
      </c>
      <c r="J195" s="2" t="str">
        <f t="shared" si="46"/>
        <v/>
      </c>
      <c r="K195" s="2" t="str">
        <f t="shared" si="47"/>
        <v/>
      </c>
      <c r="L195" s="2" t="str">
        <f t="shared" si="48"/>
        <v/>
      </c>
      <c r="M195" s="2" t="str">
        <f t="shared" si="49"/>
        <v/>
      </c>
      <c r="N195" s="2">
        <f t="shared" si="50"/>
        <v>6</v>
      </c>
      <c r="O195" s="19">
        <f t="shared" si="51"/>
        <v>6</v>
      </c>
      <c r="Q195" s="2" t="str">
        <f t="shared" si="52"/>
        <v>02</v>
      </c>
      <c r="R195" s="21" t="str">
        <f t="shared" si="53"/>
        <v>1.4.02e</v>
      </c>
      <c r="S195" s="2" t="str">
        <f t="shared" si="54"/>
        <v/>
      </c>
      <c r="T195" s="2" t="str">
        <f t="shared" si="56"/>
        <v/>
      </c>
      <c r="U195" s="19" t="str">
        <f t="shared" ref="U195:U258" si="57">IF(O195&lt;4,IF(LEN(H195)=0,"",1),IF(O195=4,IF(H195="N/A","",1),IF(AND(O195&gt;4,O195&lt;7),IF(AND(H195&gt;0,H195&lt;6),"",1),1)))</f>
        <v/>
      </c>
    </row>
    <row r="196" spans="1:21" x14ac:dyDescent="0.2">
      <c r="A196" s="2">
        <v>195</v>
      </c>
      <c r="B196" s="21" t="str">
        <f t="shared" si="55"/>
        <v>1.4.02f</v>
      </c>
      <c r="C196" s="2">
        <v>1</v>
      </c>
      <c r="D196" s="2">
        <v>4</v>
      </c>
      <c r="E196" s="2">
        <v>2</v>
      </c>
      <c r="F196" s="2" t="s">
        <v>129</v>
      </c>
      <c r="G196" s="2" t="s">
        <v>287</v>
      </c>
      <c r="H196" s="2">
        <v>2</v>
      </c>
      <c r="I196" s="19" t="str">
        <f t="shared" si="45"/>
        <v/>
      </c>
      <c r="J196" s="2" t="str">
        <f t="shared" si="46"/>
        <v/>
      </c>
      <c r="K196" s="2" t="str">
        <f t="shared" si="47"/>
        <v/>
      </c>
      <c r="L196" s="2" t="str">
        <f t="shared" si="48"/>
        <v/>
      </c>
      <c r="M196" s="2" t="str">
        <f t="shared" si="49"/>
        <v/>
      </c>
      <c r="N196" s="2">
        <f t="shared" si="50"/>
        <v>6</v>
      </c>
      <c r="O196" s="19">
        <f t="shared" si="51"/>
        <v>6</v>
      </c>
      <c r="Q196" s="2" t="str">
        <f t="shared" si="52"/>
        <v>02</v>
      </c>
      <c r="R196" s="21" t="str">
        <f t="shared" si="53"/>
        <v>1.4.02f</v>
      </c>
      <c r="S196" s="2" t="str">
        <f t="shared" si="54"/>
        <v/>
      </c>
      <c r="T196" s="2" t="str">
        <f t="shared" si="56"/>
        <v/>
      </c>
      <c r="U196" s="19" t="str">
        <f t="shared" si="57"/>
        <v/>
      </c>
    </row>
    <row r="197" spans="1:21" x14ac:dyDescent="0.2">
      <c r="A197" s="2">
        <v>196</v>
      </c>
      <c r="B197" s="21" t="str">
        <f t="shared" si="55"/>
        <v>1.4.02g</v>
      </c>
      <c r="C197" s="2">
        <v>1</v>
      </c>
      <c r="D197" s="2">
        <v>4</v>
      </c>
      <c r="E197" s="2">
        <v>2</v>
      </c>
      <c r="F197" s="2" t="s">
        <v>206</v>
      </c>
      <c r="G197" s="2" t="s">
        <v>288</v>
      </c>
      <c r="H197" s="2">
        <v>2</v>
      </c>
      <c r="I197" s="19" t="str">
        <f t="shared" si="45"/>
        <v/>
      </c>
      <c r="J197" s="2" t="str">
        <f t="shared" si="46"/>
        <v/>
      </c>
      <c r="K197" s="2" t="str">
        <f t="shared" si="47"/>
        <v/>
      </c>
      <c r="L197" s="2" t="str">
        <f t="shared" si="48"/>
        <v/>
      </c>
      <c r="M197" s="2" t="str">
        <f t="shared" si="49"/>
        <v/>
      </c>
      <c r="N197" s="2">
        <f t="shared" si="50"/>
        <v>6</v>
      </c>
      <c r="O197" s="19">
        <f t="shared" si="51"/>
        <v>6</v>
      </c>
      <c r="Q197" s="2" t="str">
        <f t="shared" si="52"/>
        <v>02</v>
      </c>
      <c r="R197" s="21" t="str">
        <f t="shared" si="53"/>
        <v>1.4.02g</v>
      </c>
      <c r="S197" s="2" t="str">
        <f t="shared" si="54"/>
        <v/>
      </c>
      <c r="T197" s="2" t="str">
        <f t="shared" si="56"/>
        <v/>
      </c>
      <c r="U197" s="19" t="str">
        <f t="shared" si="57"/>
        <v/>
      </c>
    </row>
    <row r="198" spans="1:21" x14ac:dyDescent="0.2">
      <c r="A198" s="2">
        <v>197</v>
      </c>
      <c r="B198" s="21" t="str">
        <f t="shared" si="55"/>
        <v>1.4.03</v>
      </c>
      <c r="C198" s="2">
        <v>1</v>
      </c>
      <c r="D198" s="2">
        <v>4</v>
      </c>
      <c r="E198" s="2">
        <v>3</v>
      </c>
      <c r="F198" s="2" t="s">
        <v>84</v>
      </c>
      <c r="G198" s="2" t="s">
        <v>289</v>
      </c>
      <c r="H198" s="2" t="s">
        <v>89</v>
      </c>
      <c r="I198" s="19" t="str">
        <f t="shared" si="45"/>
        <v/>
      </c>
      <c r="J198" s="2" t="str">
        <f t="shared" si="46"/>
        <v/>
      </c>
      <c r="K198" s="2" t="str">
        <f t="shared" si="47"/>
        <v/>
      </c>
      <c r="L198" s="2">
        <f t="shared" si="48"/>
        <v>4</v>
      </c>
      <c r="M198" s="2" t="str">
        <f t="shared" si="49"/>
        <v/>
      </c>
      <c r="N198" s="2" t="str">
        <f t="shared" si="50"/>
        <v/>
      </c>
      <c r="O198" s="19">
        <f t="shared" si="51"/>
        <v>4</v>
      </c>
      <c r="Q198" s="2" t="str">
        <f t="shared" si="52"/>
        <v>03</v>
      </c>
      <c r="R198" s="21" t="str">
        <f t="shared" si="53"/>
        <v>1.4.03</v>
      </c>
      <c r="S198" s="2" t="str">
        <f t="shared" si="54"/>
        <v/>
      </c>
      <c r="T198" s="2" t="str">
        <f t="shared" si="56"/>
        <v/>
      </c>
      <c r="U198" s="19" t="str">
        <f t="shared" si="57"/>
        <v/>
      </c>
    </row>
    <row r="199" spans="1:21" x14ac:dyDescent="0.2">
      <c r="A199" s="2">
        <v>198</v>
      </c>
      <c r="B199" s="21" t="str">
        <f t="shared" si="55"/>
        <v>1.4.03a</v>
      </c>
      <c r="C199" s="2">
        <v>1</v>
      </c>
      <c r="D199" s="2">
        <v>4</v>
      </c>
      <c r="E199" s="2">
        <v>3</v>
      </c>
      <c r="F199" s="2" t="s">
        <v>90</v>
      </c>
      <c r="G199" s="2" t="s">
        <v>290</v>
      </c>
      <c r="H199" s="2">
        <v>3</v>
      </c>
      <c r="I199" s="19" t="str">
        <f t="shared" si="45"/>
        <v/>
      </c>
      <c r="J199" s="2" t="str">
        <f t="shared" si="46"/>
        <v/>
      </c>
      <c r="K199" s="2" t="str">
        <f t="shared" si="47"/>
        <v/>
      </c>
      <c r="L199" s="2" t="str">
        <f t="shared" si="48"/>
        <v/>
      </c>
      <c r="M199" s="2" t="str">
        <f t="shared" si="49"/>
        <v/>
      </c>
      <c r="N199" s="2">
        <f t="shared" si="50"/>
        <v>6</v>
      </c>
      <c r="O199" s="19">
        <f t="shared" si="51"/>
        <v>6</v>
      </c>
      <c r="Q199" s="2" t="str">
        <f t="shared" si="52"/>
        <v>03</v>
      </c>
      <c r="R199" s="21" t="str">
        <f t="shared" si="53"/>
        <v>1.4.03a</v>
      </c>
      <c r="S199" s="2" t="str">
        <f t="shared" si="54"/>
        <v/>
      </c>
      <c r="T199" s="2" t="str">
        <f t="shared" si="56"/>
        <v/>
      </c>
      <c r="U199" s="19" t="str">
        <f t="shared" si="57"/>
        <v/>
      </c>
    </row>
    <row r="200" spans="1:21" x14ac:dyDescent="0.2">
      <c r="A200" s="2">
        <v>199</v>
      </c>
      <c r="B200" s="21" t="str">
        <f t="shared" si="55"/>
        <v>1.4.03b</v>
      </c>
      <c r="C200" s="2">
        <v>1</v>
      </c>
      <c r="D200" s="2">
        <v>4</v>
      </c>
      <c r="E200" s="2">
        <v>3</v>
      </c>
      <c r="F200" s="2" t="s">
        <v>92</v>
      </c>
      <c r="G200" s="2" t="s">
        <v>291</v>
      </c>
      <c r="H200" s="2">
        <v>2</v>
      </c>
      <c r="I200" s="19" t="str">
        <f t="shared" si="45"/>
        <v/>
      </c>
      <c r="J200" s="2" t="str">
        <f t="shared" si="46"/>
        <v/>
      </c>
      <c r="K200" s="2" t="str">
        <f t="shared" si="47"/>
        <v/>
      </c>
      <c r="L200" s="2" t="str">
        <f t="shared" si="48"/>
        <v/>
      </c>
      <c r="M200" s="2" t="str">
        <f t="shared" si="49"/>
        <v/>
      </c>
      <c r="N200" s="2">
        <f t="shared" si="50"/>
        <v>6</v>
      </c>
      <c r="O200" s="19">
        <f t="shared" si="51"/>
        <v>6</v>
      </c>
      <c r="Q200" s="2" t="str">
        <f t="shared" si="52"/>
        <v>03</v>
      </c>
      <c r="R200" s="21" t="str">
        <f t="shared" si="53"/>
        <v>1.4.03b</v>
      </c>
      <c r="S200" s="2" t="str">
        <f t="shared" si="54"/>
        <v/>
      </c>
      <c r="T200" s="2" t="str">
        <f t="shared" si="56"/>
        <v/>
      </c>
      <c r="U200" s="19" t="str">
        <f t="shared" si="57"/>
        <v/>
      </c>
    </row>
    <row r="201" spans="1:21" x14ac:dyDescent="0.2">
      <c r="A201" s="2">
        <v>200</v>
      </c>
      <c r="B201" s="21" t="str">
        <f t="shared" si="55"/>
        <v>1.4.03c</v>
      </c>
      <c r="C201" s="2">
        <v>1</v>
      </c>
      <c r="D201" s="2">
        <v>4</v>
      </c>
      <c r="E201" s="2">
        <v>3</v>
      </c>
      <c r="F201" s="2" t="s">
        <v>94</v>
      </c>
      <c r="G201" s="2" t="s">
        <v>292</v>
      </c>
      <c r="H201" s="2">
        <v>2</v>
      </c>
      <c r="I201" s="19" t="str">
        <f t="shared" si="45"/>
        <v/>
      </c>
      <c r="J201" s="2" t="str">
        <f t="shared" si="46"/>
        <v/>
      </c>
      <c r="K201" s="2" t="str">
        <f t="shared" si="47"/>
        <v/>
      </c>
      <c r="L201" s="2" t="str">
        <f t="shared" si="48"/>
        <v/>
      </c>
      <c r="M201" s="2" t="str">
        <f t="shared" si="49"/>
        <v/>
      </c>
      <c r="N201" s="2">
        <f t="shared" si="50"/>
        <v>6</v>
      </c>
      <c r="O201" s="19">
        <f t="shared" si="51"/>
        <v>6</v>
      </c>
      <c r="Q201" s="2" t="str">
        <f t="shared" si="52"/>
        <v>03</v>
      </c>
      <c r="R201" s="21" t="str">
        <f t="shared" si="53"/>
        <v>1.4.03c</v>
      </c>
      <c r="S201" s="2" t="str">
        <f t="shared" si="54"/>
        <v/>
      </c>
      <c r="T201" s="2" t="str">
        <f t="shared" si="56"/>
        <v/>
      </c>
      <c r="U201" s="19" t="str">
        <f t="shared" si="57"/>
        <v/>
      </c>
    </row>
    <row r="202" spans="1:21" x14ac:dyDescent="0.2">
      <c r="A202" s="2">
        <v>201</v>
      </c>
      <c r="B202" s="21" t="str">
        <f t="shared" si="55"/>
        <v>1.4.03d</v>
      </c>
      <c r="C202" s="2">
        <v>1</v>
      </c>
      <c r="D202" s="2">
        <v>4</v>
      </c>
      <c r="E202" s="2">
        <v>3</v>
      </c>
      <c r="F202" s="2" t="s">
        <v>112</v>
      </c>
      <c r="G202" s="2" t="s">
        <v>293</v>
      </c>
      <c r="H202" s="2">
        <v>3</v>
      </c>
      <c r="I202" s="19" t="str">
        <f t="shared" si="45"/>
        <v/>
      </c>
      <c r="J202" s="2" t="str">
        <f t="shared" si="46"/>
        <v/>
      </c>
      <c r="K202" s="2" t="str">
        <f t="shared" si="47"/>
        <v/>
      </c>
      <c r="L202" s="2" t="str">
        <f t="shared" si="48"/>
        <v/>
      </c>
      <c r="M202" s="2" t="str">
        <f t="shared" si="49"/>
        <v/>
      </c>
      <c r="N202" s="2">
        <f t="shared" si="50"/>
        <v>6</v>
      </c>
      <c r="O202" s="19">
        <f t="shared" si="51"/>
        <v>6</v>
      </c>
      <c r="Q202" s="2" t="str">
        <f t="shared" si="52"/>
        <v>03</v>
      </c>
      <c r="R202" s="21" t="str">
        <f t="shared" si="53"/>
        <v>1.4.03d</v>
      </c>
      <c r="S202" s="2" t="str">
        <f t="shared" si="54"/>
        <v/>
      </c>
      <c r="T202" s="2" t="str">
        <f t="shared" si="56"/>
        <v/>
      </c>
      <c r="U202" s="19" t="str">
        <f t="shared" si="57"/>
        <v/>
      </c>
    </row>
    <row r="203" spans="1:21" x14ac:dyDescent="0.2">
      <c r="A203" s="2">
        <v>202</v>
      </c>
      <c r="B203" s="21" t="str">
        <f t="shared" si="55"/>
        <v>1.4.03e</v>
      </c>
      <c r="C203" s="2">
        <v>1</v>
      </c>
      <c r="D203" s="2">
        <v>4</v>
      </c>
      <c r="E203" s="2">
        <v>3</v>
      </c>
      <c r="F203" s="2" t="s">
        <v>114</v>
      </c>
      <c r="G203" s="2" t="s">
        <v>237</v>
      </c>
      <c r="H203" s="2">
        <v>2</v>
      </c>
      <c r="I203" s="19" t="str">
        <f t="shared" si="45"/>
        <v/>
      </c>
      <c r="J203" s="2" t="str">
        <f t="shared" si="46"/>
        <v/>
      </c>
      <c r="K203" s="2" t="str">
        <f t="shared" si="47"/>
        <v/>
      </c>
      <c r="L203" s="2" t="str">
        <f t="shared" si="48"/>
        <v/>
      </c>
      <c r="M203" s="2" t="str">
        <f t="shared" si="49"/>
        <v/>
      </c>
      <c r="N203" s="2">
        <f t="shared" si="50"/>
        <v>6</v>
      </c>
      <c r="O203" s="19">
        <f t="shared" si="51"/>
        <v>6</v>
      </c>
      <c r="Q203" s="2" t="str">
        <f t="shared" si="52"/>
        <v>03</v>
      </c>
      <c r="R203" s="21" t="str">
        <f t="shared" si="53"/>
        <v>1.4.03e</v>
      </c>
      <c r="S203" s="2" t="str">
        <f t="shared" si="54"/>
        <v/>
      </c>
      <c r="T203" s="2" t="str">
        <f t="shared" si="56"/>
        <v/>
      </c>
      <c r="U203" s="19" t="str">
        <f t="shared" si="57"/>
        <v/>
      </c>
    </row>
    <row r="204" spans="1:21" x14ac:dyDescent="0.2">
      <c r="A204" s="2">
        <v>203</v>
      </c>
      <c r="B204" s="21" t="str">
        <f t="shared" si="55"/>
        <v>1.4.04</v>
      </c>
      <c r="C204" s="2">
        <v>1</v>
      </c>
      <c r="D204" s="2">
        <v>4</v>
      </c>
      <c r="E204" s="2">
        <v>4</v>
      </c>
      <c r="F204" s="2" t="s">
        <v>84</v>
      </c>
      <c r="G204" s="2" t="s">
        <v>294</v>
      </c>
      <c r="H204" s="2">
        <v>4</v>
      </c>
      <c r="I204" s="19" t="str">
        <f t="shared" si="45"/>
        <v/>
      </c>
      <c r="J204" s="2" t="str">
        <f t="shared" si="46"/>
        <v/>
      </c>
      <c r="K204" s="2" t="str">
        <f t="shared" si="47"/>
        <v/>
      </c>
      <c r="L204" s="2" t="str">
        <f t="shared" si="48"/>
        <v/>
      </c>
      <c r="M204" s="2">
        <f t="shared" si="49"/>
        <v>5</v>
      </c>
      <c r="N204" s="2" t="str">
        <f t="shared" si="50"/>
        <v/>
      </c>
      <c r="O204" s="19">
        <f t="shared" si="51"/>
        <v>5</v>
      </c>
      <c r="Q204" s="2" t="str">
        <f t="shared" si="52"/>
        <v>04</v>
      </c>
      <c r="R204" s="21" t="str">
        <f t="shared" si="53"/>
        <v>1.4.04</v>
      </c>
      <c r="S204" s="2" t="str">
        <f t="shared" si="54"/>
        <v/>
      </c>
      <c r="T204" s="2" t="str">
        <f t="shared" si="56"/>
        <v/>
      </c>
      <c r="U204" s="19" t="str">
        <f t="shared" si="57"/>
        <v/>
      </c>
    </row>
    <row r="205" spans="1:21" x14ac:dyDescent="0.2">
      <c r="A205" s="2">
        <v>204</v>
      </c>
      <c r="B205" s="21" t="str">
        <f t="shared" si="55"/>
        <v>1.4.05</v>
      </c>
      <c r="C205" s="2">
        <v>1</v>
      </c>
      <c r="D205" s="2">
        <v>4</v>
      </c>
      <c r="E205" s="2">
        <v>5</v>
      </c>
      <c r="F205" s="2" t="s">
        <v>84</v>
      </c>
      <c r="G205" s="2" t="s">
        <v>295</v>
      </c>
      <c r="H205" s="2">
        <v>3</v>
      </c>
      <c r="I205" s="19" t="str">
        <f t="shared" si="45"/>
        <v/>
      </c>
      <c r="J205" s="2" t="str">
        <f t="shared" si="46"/>
        <v/>
      </c>
      <c r="K205" s="2" t="str">
        <f t="shared" si="47"/>
        <v/>
      </c>
      <c r="L205" s="2" t="str">
        <f t="shared" si="48"/>
        <v/>
      </c>
      <c r="M205" s="2">
        <f t="shared" si="49"/>
        <v>5</v>
      </c>
      <c r="N205" s="2" t="str">
        <f t="shared" si="50"/>
        <v/>
      </c>
      <c r="O205" s="19">
        <f t="shared" si="51"/>
        <v>5</v>
      </c>
      <c r="Q205" s="2" t="str">
        <f t="shared" si="52"/>
        <v>05</v>
      </c>
      <c r="R205" s="21" t="str">
        <f t="shared" si="53"/>
        <v>1.4.05</v>
      </c>
      <c r="S205" s="2" t="str">
        <f t="shared" si="54"/>
        <v/>
      </c>
      <c r="T205" s="2" t="str">
        <f t="shared" si="56"/>
        <v/>
      </c>
      <c r="U205" s="19" t="str">
        <f t="shared" si="57"/>
        <v/>
      </c>
    </row>
    <row r="206" spans="1:21" x14ac:dyDescent="0.2">
      <c r="A206" s="2">
        <v>205</v>
      </c>
      <c r="B206" s="21" t="str">
        <f t="shared" si="55"/>
        <v>1.4.06</v>
      </c>
      <c r="C206" s="2">
        <v>1</v>
      </c>
      <c r="D206" s="2">
        <v>4</v>
      </c>
      <c r="E206" s="2">
        <v>6</v>
      </c>
      <c r="F206" s="2" t="s">
        <v>84</v>
      </c>
      <c r="G206" s="2" t="s">
        <v>296</v>
      </c>
      <c r="H206" s="2" t="s">
        <v>89</v>
      </c>
      <c r="I206" s="19" t="str">
        <f t="shared" si="45"/>
        <v/>
      </c>
      <c r="J206" s="2" t="str">
        <f t="shared" si="46"/>
        <v/>
      </c>
      <c r="K206" s="2" t="str">
        <f t="shared" si="47"/>
        <v/>
      </c>
      <c r="L206" s="2">
        <f t="shared" si="48"/>
        <v>4</v>
      </c>
      <c r="M206" s="2" t="str">
        <f t="shared" si="49"/>
        <v/>
      </c>
      <c r="N206" s="2" t="str">
        <f t="shared" si="50"/>
        <v/>
      </c>
      <c r="O206" s="19">
        <f t="shared" si="51"/>
        <v>4</v>
      </c>
      <c r="Q206" s="2" t="str">
        <f t="shared" si="52"/>
        <v>06</v>
      </c>
      <c r="R206" s="21" t="str">
        <f t="shared" si="53"/>
        <v>1.4.06</v>
      </c>
      <c r="S206" s="2" t="str">
        <f t="shared" si="54"/>
        <v/>
      </c>
      <c r="T206" s="2" t="str">
        <f t="shared" si="56"/>
        <v/>
      </c>
      <c r="U206" s="19" t="str">
        <f t="shared" si="57"/>
        <v/>
      </c>
    </row>
    <row r="207" spans="1:21" x14ac:dyDescent="0.2">
      <c r="A207" s="2">
        <v>206</v>
      </c>
      <c r="B207" s="21" t="str">
        <f t="shared" si="55"/>
        <v>1.4.06a</v>
      </c>
      <c r="C207" s="2">
        <v>1</v>
      </c>
      <c r="D207" s="2">
        <v>4</v>
      </c>
      <c r="E207" s="2">
        <v>6</v>
      </c>
      <c r="F207" s="2" t="s">
        <v>90</v>
      </c>
      <c r="G207" s="2" t="s">
        <v>297</v>
      </c>
      <c r="H207" s="2">
        <v>4</v>
      </c>
      <c r="I207" s="19" t="str">
        <f t="shared" si="45"/>
        <v/>
      </c>
      <c r="J207" s="2" t="str">
        <f t="shared" si="46"/>
        <v/>
      </c>
      <c r="K207" s="2" t="str">
        <f t="shared" si="47"/>
        <v/>
      </c>
      <c r="L207" s="2" t="str">
        <f t="shared" si="48"/>
        <v/>
      </c>
      <c r="M207" s="2" t="str">
        <f t="shared" si="49"/>
        <v/>
      </c>
      <c r="N207" s="2">
        <f t="shared" si="50"/>
        <v>6</v>
      </c>
      <c r="O207" s="19">
        <f t="shared" si="51"/>
        <v>6</v>
      </c>
      <c r="Q207" s="2" t="str">
        <f t="shared" si="52"/>
        <v>06</v>
      </c>
      <c r="R207" s="21" t="str">
        <f t="shared" si="53"/>
        <v>1.4.06a</v>
      </c>
      <c r="S207" s="2" t="str">
        <f t="shared" si="54"/>
        <v/>
      </c>
      <c r="T207" s="2" t="str">
        <f t="shared" si="56"/>
        <v/>
      </c>
      <c r="U207" s="19" t="str">
        <f t="shared" si="57"/>
        <v/>
      </c>
    </row>
    <row r="208" spans="1:21" x14ac:dyDescent="0.2">
      <c r="A208" s="2">
        <v>207</v>
      </c>
      <c r="B208" s="21" t="str">
        <f t="shared" si="55"/>
        <v>1.4.06b</v>
      </c>
      <c r="C208" s="2">
        <v>1</v>
      </c>
      <c r="D208" s="2">
        <v>4</v>
      </c>
      <c r="E208" s="2">
        <v>6</v>
      </c>
      <c r="F208" s="2" t="s">
        <v>92</v>
      </c>
      <c r="G208" s="2" t="s">
        <v>298</v>
      </c>
      <c r="H208" s="2">
        <v>4</v>
      </c>
      <c r="I208" s="19" t="str">
        <f t="shared" si="45"/>
        <v/>
      </c>
      <c r="J208" s="2" t="str">
        <f t="shared" si="46"/>
        <v/>
      </c>
      <c r="K208" s="2" t="str">
        <f t="shared" si="47"/>
        <v/>
      </c>
      <c r="L208" s="2" t="str">
        <f t="shared" si="48"/>
        <v/>
      </c>
      <c r="M208" s="2" t="str">
        <f t="shared" si="49"/>
        <v/>
      </c>
      <c r="N208" s="2">
        <f t="shared" si="50"/>
        <v>6</v>
      </c>
      <c r="O208" s="19">
        <f t="shared" si="51"/>
        <v>6</v>
      </c>
      <c r="Q208" s="2" t="str">
        <f t="shared" si="52"/>
        <v>06</v>
      </c>
      <c r="R208" s="21" t="str">
        <f t="shared" si="53"/>
        <v>1.4.06b</v>
      </c>
      <c r="S208" s="2" t="str">
        <f t="shared" si="54"/>
        <v/>
      </c>
      <c r="T208" s="2" t="str">
        <f t="shared" si="56"/>
        <v/>
      </c>
      <c r="U208" s="19" t="str">
        <f t="shared" si="57"/>
        <v/>
      </c>
    </row>
    <row r="209" spans="1:21" x14ac:dyDescent="0.2">
      <c r="A209" s="2">
        <v>208</v>
      </c>
      <c r="B209" s="21" t="str">
        <f t="shared" si="55"/>
        <v>1.4.06c</v>
      </c>
      <c r="C209" s="2">
        <v>1</v>
      </c>
      <c r="D209" s="2">
        <v>4</v>
      </c>
      <c r="E209" s="2">
        <v>6</v>
      </c>
      <c r="F209" s="2" t="s">
        <v>94</v>
      </c>
      <c r="G209" s="2" t="s">
        <v>299</v>
      </c>
      <c r="H209" s="2">
        <v>3</v>
      </c>
      <c r="I209" s="19" t="str">
        <f t="shared" si="45"/>
        <v/>
      </c>
      <c r="J209" s="2" t="str">
        <f t="shared" si="46"/>
        <v/>
      </c>
      <c r="K209" s="2" t="str">
        <f t="shared" si="47"/>
        <v/>
      </c>
      <c r="L209" s="2" t="str">
        <f t="shared" si="48"/>
        <v/>
      </c>
      <c r="M209" s="2" t="str">
        <f t="shared" si="49"/>
        <v/>
      </c>
      <c r="N209" s="2">
        <f t="shared" si="50"/>
        <v>6</v>
      </c>
      <c r="O209" s="19">
        <f t="shared" si="51"/>
        <v>6</v>
      </c>
      <c r="Q209" s="2" t="str">
        <f t="shared" si="52"/>
        <v>06</v>
      </c>
      <c r="R209" s="21" t="str">
        <f t="shared" si="53"/>
        <v>1.4.06c</v>
      </c>
      <c r="S209" s="2" t="str">
        <f t="shared" si="54"/>
        <v/>
      </c>
      <c r="T209" s="2" t="str">
        <f t="shared" si="56"/>
        <v/>
      </c>
      <c r="U209" s="19" t="str">
        <f t="shared" si="57"/>
        <v/>
      </c>
    </row>
    <row r="210" spans="1:21" x14ac:dyDescent="0.2">
      <c r="A210" s="2">
        <v>209</v>
      </c>
      <c r="B210" s="21" t="str">
        <f t="shared" si="55"/>
        <v>1.4.06d</v>
      </c>
      <c r="C210" s="2">
        <v>1</v>
      </c>
      <c r="D210" s="2">
        <v>4</v>
      </c>
      <c r="E210" s="2">
        <v>6</v>
      </c>
      <c r="F210" s="2" t="s">
        <v>112</v>
      </c>
      <c r="G210" s="2" t="s">
        <v>300</v>
      </c>
      <c r="H210" s="2">
        <v>4</v>
      </c>
      <c r="I210" s="19" t="str">
        <f t="shared" si="45"/>
        <v/>
      </c>
      <c r="J210" s="2" t="str">
        <f t="shared" si="46"/>
        <v/>
      </c>
      <c r="K210" s="2" t="str">
        <f t="shared" si="47"/>
        <v/>
      </c>
      <c r="L210" s="2" t="str">
        <f t="shared" si="48"/>
        <v/>
      </c>
      <c r="M210" s="2" t="str">
        <f t="shared" si="49"/>
        <v/>
      </c>
      <c r="N210" s="2">
        <f t="shared" si="50"/>
        <v>6</v>
      </c>
      <c r="O210" s="19">
        <f t="shared" si="51"/>
        <v>6</v>
      </c>
      <c r="Q210" s="2" t="str">
        <f t="shared" si="52"/>
        <v>06</v>
      </c>
      <c r="R210" s="21" t="str">
        <f t="shared" si="53"/>
        <v>1.4.06d</v>
      </c>
      <c r="S210" s="2" t="str">
        <f t="shared" si="54"/>
        <v/>
      </c>
      <c r="T210" s="2" t="str">
        <f t="shared" si="56"/>
        <v/>
      </c>
      <c r="U210" s="19" t="str">
        <f t="shared" si="57"/>
        <v/>
      </c>
    </row>
    <row r="211" spans="1:21" x14ac:dyDescent="0.2">
      <c r="A211" s="2">
        <v>210</v>
      </c>
      <c r="B211" s="21" t="str">
        <f t="shared" si="55"/>
        <v>1.4.06e</v>
      </c>
      <c r="C211" s="2">
        <v>1</v>
      </c>
      <c r="D211" s="2">
        <v>4</v>
      </c>
      <c r="E211" s="2">
        <v>6</v>
      </c>
      <c r="F211" s="2" t="s">
        <v>114</v>
      </c>
      <c r="G211" s="2" t="s">
        <v>301</v>
      </c>
      <c r="H211" s="2">
        <v>5</v>
      </c>
      <c r="I211" s="19" t="str">
        <f t="shared" si="45"/>
        <v/>
      </c>
      <c r="J211" s="2" t="str">
        <f t="shared" si="46"/>
        <v/>
      </c>
      <c r="K211" s="2" t="str">
        <f t="shared" si="47"/>
        <v/>
      </c>
      <c r="L211" s="2" t="str">
        <f t="shared" si="48"/>
        <v/>
      </c>
      <c r="M211" s="2" t="str">
        <f t="shared" si="49"/>
        <v/>
      </c>
      <c r="N211" s="2">
        <f t="shared" si="50"/>
        <v>6</v>
      </c>
      <c r="O211" s="19">
        <f t="shared" si="51"/>
        <v>6</v>
      </c>
      <c r="Q211" s="2" t="str">
        <f t="shared" si="52"/>
        <v>06</v>
      </c>
      <c r="R211" s="21" t="str">
        <f t="shared" si="53"/>
        <v>1.4.06e</v>
      </c>
      <c r="S211" s="2" t="str">
        <f t="shared" si="54"/>
        <v/>
      </c>
      <c r="T211" s="2" t="str">
        <f t="shared" si="56"/>
        <v/>
      </c>
      <c r="U211" s="19" t="str">
        <f t="shared" si="57"/>
        <v/>
      </c>
    </row>
    <row r="212" spans="1:21" x14ac:dyDescent="0.2">
      <c r="A212" s="2">
        <v>211</v>
      </c>
      <c r="B212" s="21" t="str">
        <f t="shared" si="55"/>
        <v>1.4.07</v>
      </c>
      <c r="C212" s="2">
        <v>1</v>
      </c>
      <c r="D212" s="2">
        <v>4</v>
      </c>
      <c r="E212" s="2">
        <v>7</v>
      </c>
      <c r="F212" s="2" t="s">
        <v>84</v>
      </c>
      <c r="G212" s="2" t="s">
        <v>302</v>
      </c>
      <c r="H212" s="2">
        <v>4</v>
      </c>
      <c r="I212" s="19" t="str">
        <f t="shared" si="45"/>
        <v/>
      </c>
      <c r="J212" s="2" t="str">
        <f t="shared" si="46"/>
        <v/>
      </c>
      <c r="K212" s="2" t="str">
        <f t="shared" si="47"/>
        <v/>
      </c>
      <c r="L212" s="2" t="str">
        <f t="shared" si="48"/>
        <v/>
      </c>
      <c r="M212" s="2">
        <f t="shared" si="49"/>
        <v>5</v>
      </c>
      <c r="N212" s="2" t="str">
        <f t="shared" si="50"/>
        <v/>
      </c>
      <c r="O212" s="19">
        <f t="shared" si="51"/>
        <v>5</v>
      </c>
      <c r="Q212" s="2" t="str">
        <f t="shared" si="52"/>
        <v>07</v>
      </c>
      <c r="R212" s="21" t="str">
        <f t="shared" si="53"/>
        <v>1.4.07</v>
      </c>
      <c r="S212" s="2" t="str">
        <f t="shared" si="54"/>
        <v/>
      </c>
      <c r="T212" s="2" t="str">
        <f t="shared" si="56"/>
        <v/>
      </c>
      <c r="U212" s="19" t="str">
        <f t="shared" si="57"/>
        <v/>
      </c>
    </row>
    <row r="213" spans="1:21" x14ac:dyDescent="0.2">
      <c r="A213" s="2">
        <v>212</v>
      </c>
      <c r="B213" s="21" t="str">
        <f t="shared" si="55"/>
        <v>1.4.08</v>
      </c>
      <c r="C213" s="2">
        <v>1</v>
      </c>
      <c r="D213" s="2">
        <v>4</v>
      </c>
      <c r="E213" s="2">
        <v>8</v>
      </c>
      <c r="F213" s="2" t="s">
        <v>84</v>
      </c>
      <c r="G213" s="2" t="s">
        <v>303</v>
      </c>
      <c r="H213" s="2" t="s">
        <v>89</v>
      </c>
      <c r="I213" s="19" t="str">
        <f t="shared" si="45"/>
        <v/>
      </c>
      <c r="J213" s="2" t="str">
        <f t="shared" si="46"/>
        <v/>
      </c>
      <c r="K213" s="2" t="str">
        <f t="shared" si="47"/>
        <v/>
      </c>
      <c r="L213" s="2">
        <f t="shared" si="48"/>
        <v>4</v>
      </c>
      <c r="M213" s="2" t="str">
        <f t="shared" si="49"/>
        <v/>
      </c>
      <c r="N213" s="2" t="str">
        <f t="shared" si="50"/>
        <v/>
      </c>
      <c r="O213" s="19">
        <f t="shared" si="51"/>
        <v>4</v>
      </c>
      <c r="Q213" s="2" t="str">
        <f t="shared" si="52"/>
        <v>08</v>
      </c>
      <c r="R213" s="21" t="str">
        <f t="shared" si="53"/>
        <v>1.4.08</v>
      </c>
      <c r="S213" s="2" t="str">
        <f t="shared" si="54"/>
        <v/>
      </c>
      <c r="T213" s="2" t="str">
        <f t="shared" si="56"/>
        <v/>
      </c>
      <c r="U213" s="19" t="str">
        <f t="shared" si="57"/>
        <v/>
      </c>
    </row>
    <row r="214" spans="1:21" x14ac:dyDescent="0.2">
      <c r="A214" s="2">
        <v>213</v>
      </c>
      <c r="B214" s="21" t="str">
        <f t="shared" si="55"/>
        <v>1.4.08a</v>
      </c>
      <c r="C214" s="2">
        <v>1</v>
      </c>
      <c r="D214" s="2">
        <v>4</v>
      </c>
      <c r="E214" s="2">
        <v>8</v>
      </c>
      <c r="F214" s="2" t="s">
        <v>90</v>
      </c>
      <c r="G214" s="2" t="s">
        <v>304</v>
      </c>
      <c r="H214" s="2">
        <v>4</v>
      </c>
      <c r="I214" s="19" t="str">
        <f t="shared" si="45"/>
        <v/>
      </c>
      <c r="J214" s="2" t="str">
        <f t="shared" si="46"/>
        <v/>
      </c>
      <c r="K214" s="2" t="str">
        <f t="shared" si="47"/>
        <v/>
      </c>
      <c r="L214" s="2" t="str">
        <f t="shared" si="48"/>
        <v/>
      </c>
      <c r="M214" s="2" t="str">
        <f t="shared" si="49"/>
        <v/>
      </c>
      <c r="N214" s="2">
        <f t="shared" si="50"/>
        <v>6</v>
      </c>
      <c r="O214" s="19">
        <f t="shared" si="51"/>
        <v>6</v>
      </c>
      <c r="Q214" s="2" t="str">
        <f t="shared" si="52"/>
        <v>08</v>
      </c>
      <c r="R214" s="21" t="str">
        <f t="shared" si="53"/>
        <v>1.4.08a</v>
      </c>
      <c r="S214" s="2" t="str">
        <f t="shared" si="54"/>
        <v/>
      </c>
      <c r="T214" s="2" t="str">
        <f t="shared" si="56"/>
        <v/>
      </c>
      <c r="U214" s="19" t="str">
        <f t="shared" si="57"/>
        <v/>
      </c>
    </row>
    <row r="215" spans="1:21" x14ac:dyDescent="0.2">
      <c r="A215" s="2">
        <v>214</v>
      </c>
      <c r="B215" s="21" t="str">
        <f t="shared" si="55"/>
        <v>1.4.08b</v>
      </c>
      <c r="C215" s="2">
        <v>1</v>
      </c>
      <c r="D215" s="2">
        <v>4</v>
      </c>
      <c r="E215" s="2">
        <v>8</v>
      </c>
      <c r="F215" s="2" t="s">
        <v>92</v>
      </c>
      <c r="G215" s="2" t="s">
        <v>305</v>
      </c>
      <c r="H215" s="2">
        <v>4</v>
      </c>
      <c r="I215" s="19" t="str">
        <f t="shared" si="45"/>
        <v/>
      </c>
      <c r="J215" s="2" t="str">
        <f t="shared" si="46"/>
        <v/>
      </c>
      <c r="K215" s="2" t="str">
        <f t="shared" si="47"/>
        <v/>
      </c>
      <c r="L215" s="2" t="str">
        <f t="shared" si="48"/>
        <v/>
      </c>
      <c r="M215" s="2" t="str">
        <f t="shared" si="49"/>
        <v/>
      </c>
      <c r="N215" s="2">
        <f t="shared" si="50"/>
        <v>6</v>
      </c>
      <c r="O215" s="19">
        <f t="shared" si="51"/>
        <v>6</v>
      </c>
      <c r="Q215" s="2" t="str">
        <f t="shared" si="52"/>
        <v>08</v>
      </c>
      <c r="R215" s="21" t="str">
        <f t="shared" si="53"/>
        <v>1.4.08b</v>
      </c>
      <c r="S215" s="2" t="str">
        <f t="shared" si="54"/>
        <v/>
      </c>
      <c r="T215" s="2" t="str">
        <f t="shared" si="56"/>
        <v/>
      </c>
      <c r="U215" s="19" t="str">
        <f t="shared" si="57"/>
        <v/>
      </c>
    </row>
    <row r="216" spans="1:21" x14ac:dyDescent="0.2">
      <c r="A216" s="2">
        <v>215</v>
      </c>
      <c r="B216" s="21" t="str">
        <f t="shared" si="55"/>
        <v>1.4.08c</v>
      </c>
      <c r="C216" s="2">
        <v>1</v>
      </c>
      <c r="D216" s="2">
        <v>4</v>
      </c>
      <c r="E216" s="2">
        <v>8</v>
      </c>
      <c r="F216" s="2" t="s">
        <v>94</v>
      </c>
      <c r="G216" s="2" t="s">
        <v>306</v>
      </c>
      <c r="H216" s="2">
        <v>4</v>
      </c>
      <c r="I216" s="19" t="str">
        <f t="shared" si="45"/>
        <v/>
      </c>
      <c r="J216" s="2" t="str">
        <f t="shared" si="46"/>
        <v/>
      </c>
      <c r="K216" s="2" t="str">
        <f t="shared" si="47"/>
        <v/>
      </c>
      <c r="L216" s="2" t="str">
        <f t="shared" si="48"/>
        <v/>
      </c>
      <c r="M216" s="2" t="str">
        <f t="shared" si="49"/>
        <v/>
      </c>
      <c r="N216" s="2">
        <f t="shared" si="50"/>
        <v>6</v>
      </c>
      <c r="O216" s="19">
        <f t="shared" si="51"/>
        <v>6</v>
      </c>
      <c r="Q216" s="2" t="str">
        <f t="shared" si="52"/>
        <v>08</v>
      </c>
      <c r="R216" s="21" t="str">
        <f t="shared" si="53"/>
        <v>1.4.08c</v>
      </c>
      <c r="S216" s="2" t="str">
        <f t="shared" si="54"/>
        <v/>
      </c>
      <c r="T216" s="2" t="str">
        <f t="shared" si="56"/>
        <v/>
      </c>
      <c r="U216" s="19" t="str">
        <f t="shared" si="57"/>
        <v/>
      </c>
    </row>
    <row r="217" spans="1:21" x14ac:dyDescent="0.2">
      <c r="A217" s="2">
        <v>216</v>
      </c>
      <c r="B217" s="21" t="str">
        <f t="shared" si="55"/>
        <v>1.4.09</v>
      </c>
      <c r="C217" s="2">
        <v>1</v>
      </c>
      <c r="D217" s="2">
        <v>4</v>
      </c>
      <c r="E217" s="2">
        <v>9</v>
      </c>
      <c r="F217" s="2" t="s">
        <v>84</v>
      </c>
      <c r="G217" s="2" t="s">
        <v>307</v>
      </c>
      <c r="H217" s="2">
        <v>5</v>
      </c>
      <c r="I217" s="19" t="str">
        <f t="shared" si="45"/>
        <v/>
      </c>
      <c r="J217" s="2" t="str">
        <f t="shared" si="46"/>
        <v/>
      </c>
      <c r="K217" s="2" t="str">
        <f t="shared" si="47"/>
        <v/>
      </c>
      <c r="L217" s="2" t="str">
        <f t="shared" si="48"/>
        <v/>
      </c>
      <c r="M217" s="2">
        <f t="shared" si="49"/>
        <v>5</v>
      </c>
      <c r="N217" s="2" t="str">
        <f t="shared" si="50"/>
        <v/>
      </c>
      <c r="O217" s="19">
        <f t="shared" si="51"/>
        <v>5</v>
      </c>
      <c r="Q217" s="2" t="str">
        <f t="shared" si="52"/>
        <v>09</v>
      </c>
      <c r="R217" s="21" t="str">
        <f t="shared" si="53"/>
        <v>1.4.09</v>
      </c>
      <c r="S217" s="2" t="str">
        <f t="shared" si="54"/>
        <v/>
      </c>
      <c r="T217" s="2" t="str">
        <f t="shared" si="56"/>
        <v/>
      </c>
      <c r="U217" s="19" t="str">
        <f t="shared" si="57"/>
        <v/>
      </c>
    </row>
    <row r="218" spans="1:21" x14ac:dyDescent="0.2">
      <c r="A218" s="2">
        <v>217</v>
      </c>
      <c r="B218" s="21" t="str">
        <f t="shared" si="55"/>
        <v>1.4.10</v>
      </c>
      <c r="C218" s="2">
        <v>1</v>
      </c>
      <c r="D218" s="2">
        <v>4</v>
      </c>
      <c r="E218" s="2">
        <v>10</v>
      </c>
      <c r="F218" s="2" t="s">
        <v>84</v>
      </c>
      <c r="G218" s="2" t="s">
        <v>308</v>
      </c>
      <c r="H218" s="2" t="s">
        <v>89</v>
      </c>
      <c r="I218" s="19" t="str">
        <f t="shared" si="45"/>
        <v/>
      </c>
      <c r="J218" s="2" t="str">
        <f t="shared" si="46"/>
        <v/>
      </c>
      <c r="K218" s="2" t="str">
        <f t="shared" si="47"/>
        <v/>
      </c>
      <c r="L218" s="2">
        <f t="shared" si="48"/>
        <v>4</v>
      </c>
      <c r="M218" s="2" t="str">
        <f t="shared" si="49"/>
        <v/>
      </c>
      <c r="N218" s="2" t="str">
        <f t="shared" si="50"/>
        <v/>
      </c>
      <c r="O218" s="19">
        <f t="shared" si="51"/>
        <v>4</v>
      </c>
      <c r="Q218" s="2" t="str">
        <f t="shared" si="52"/>
        <v>10</v>
      </c>
      <c r="R218" s="21" t="str">
        <f t="shared" si="53"/>
        <v>1.4.10</v>
      </c>
      <c r="S218" s="2" t="str">
        <f t="shared" si="54"/>
        <v/>
      </c>
      <c r="T218" s="2" t="str">
        <f t="shared" si="56"/>
        <v/>
      </c>
      <c r="U218" s="19" t="str">
        <f t="shared" si="57"/>
        <v/>
      </c>
    </row>
    <row r="219" spans="1:21" x14ac:dyDescent="0.2">
      <c r="A219" s="2">
        <v>218</v>
      </c>
      <c r="B219" s="21" t="str">
        <f t="shared" si="55"/>
        <v>1.4.10a</v>
      </c>
      <c r="C219" s="2">
        <v>1</v>
      </c>
      <c r="D219" s="2">
        <v>4</v>
      </c>
      <c r="E219" s="2">
        <v>10</v>
      </c>
      <c r="F219" s="2" t="s">
        <v>90</v>
      </c>
      <c r="G219" s="2" t="s">
        <v>309</v>
      </c>
      <c r="H219" s="2">
        <v>5</v>
      </c>
      <c r="I219" s="19" t="str">
        <f t="shared" si="45"/>
        <v/>
      </c>
      <c r="J219" s="2" t="str">
        <f t="shared" si="46"/>
        <v/>
      </c>
      <c r="K219" s="2" t="str">
        <f t="shared" si="47"/>
        <v/>
      </c>
      <c r="L219" s="2" t="str">
        <f t="shared" si="48"/>
        <v/>
      </c>
      <c r="M219" s="2" t="str">
        <f t="shared" si="49"/>
        <v/>
      </c>
      <c r="N219" s="2">
        <f t="shared" si="50"/>
        <v>6</v>
      </c>
      <c r="O219" s="19">
        <f t="shared" si="51"/>
        <v>6</v>
      </c>
      <c r="Q219" s="2" t="str">
        <f t="shared" si="52"/>
        <v>10</v>
      </c>
      <c r="R219" s="21" t="str">
        <f t="shared" si="53"/>
        <v>1.4.10a</v>
      </c>
      <c r="S219" s="2" t="str">
        <f t="shared" si="54"/>
        <v/>
      </c>
      <c r="T219" s="2" t="str">
        <f t="shared" si="56"/>
        <v/>
      </c>
      <c r="U219" s="19" t="str">
        <f t="shared" si="57"/>
        <v/>
      </c>
    </row>
    <row r="220" spans="1:21" x14ac:dyDescent="0.2">
      <c r="A220" s="2">
        <v>219</v>
      </c>
      <c r="B220" s="21" t="str">
        <f t="shared" si="55"/>
        <v>1.4.10b</v>
      </c>
      <c r="C220" s="2">
        <v>1</v>
      </c>
      <c r="D220" s="2">
        <v>4</v>
      </c>
      <c r="E220" s="2">
        <v>10</v>
      </c>
      <c r="F220" s="2" t="s">
        <v>92</v>
      </c>
      <c r="G220" s="2" t="s">
        <v>310</v>
      </c>
      <c r="H220" s="2">
        <v>5</v>
      </c>
      <c r="I220" s="19" t="str">
        <f t="shared" si="45"/>
        <v/>
      </c>
      <c r="J220" s="2" t="str">
        <f t="shared" si="46"/>
        <v/>
      </c>
      <c r="K220" s="2" t="str">
        <f t="shared" si="47"/>
        <v/>
      </c>
      <c r="L220" s="2" t="str">
        <f t="shared" si="48"/>
        <v/>
      </c>
      <c r="M220" s="2" t="str">
        <f t="shared" si="49"/>
        <v/>
      </c>
      <c r="N220" s="2">
        <f t="shared" si="50"/>
        <v>6</v>
      </c>
      <c r="O220" s="19">
        <f t="shared" si="51"/>
        <v>6</v>
      </c>
      <c r="Q220" s="2" t="str">
        <f t="shared" si="52"/>
        <v>10</v>
      </c>
      <c r="R220" s="21" t="str">
        <f t="shared" si="53"/>
        <v>1.4.10b</v>
      </c>
      <c r="S220" s="2" t="str">
        <f t="shared" si="54"/>
        <v/>
      </c>
      <c r="T220" s="2" t="str">
        <f t="shared" si="56"/>
        <v/>
      </c>
      <c r="U220" s="19" t="str">
        <f t="shared" si="57"/>
        <v/>
      </c>
    </row>
    <row r="221" spans="1:21" x14ac:dyDescent="0.2">
      <c r="A221" s="2">
        <v>220</v>
      </c>
      <c r="B221" s="21" t="str">
        <f t="shared" si="55"/>
        <v>1.4.10c</v>
      </c>
      <c r="C221" s="2">
        <v>1</v>
      </c>
      <c r="D221" s="2">
        <v>4</v>
      </c>
      <c r="E221" s="2">
        <v>10</v>
      </c>
      <c r="F221" s="2" t="s">
        <v>94</v>
      </c>
      <c r="G221" s="2" t="s">
        <v>311</v>
      </c>
      <c r="H221" s="2">
        <v>5</v>
      </c>
      <c r="I221" s="19" t="str">
        <f t="shared" si="45"/>
        <v/>
      </c>
      <c r="J221" s="2" t="str">
        <f t="shared" si="46"/>
        <v/>
      </c>
      <c r="K221" s="2" t="str">
        <f t="shared" si="47"/>
        <v/>
      </c>
      <c r="L221" s="2" t="str">
        <f t="shared" si="48"/>
        <v/>
      </c>
      <c r="M221" s="2" t="str">
        <f t="shared" si="49"/>
        <v/>
      </c>
      <c r="N221" s="2">
        <f t="shared" si="50"/>
        <v>6</v>
      </c>
      <c r="O221" s="19">
        <f t="shared" si="51"/>
        <v>6</v>
      </c>
      <c r="Q221" s="2" t="str">
        <f t="shared" si="52"/>
        <v>10</v>
      </c>
      <c r="R221" s="21" t="str">
        <f t="shared" si="53"/>
        <v>1.4.10c</v>
      </c>
      <c r="S221" s="2" t="str">
        <f t="shared" si="54"/>
        <v/>
      </c>
      <c r="T221" s="2" t="str">
        <f t="shared" si="56"/>
        <v/>
      </c>
      <c r="U221" s="19" t="str">
        <f t="shared" si="57"/>
        <v/>
      </c>
    </row>
    <row r="222" spans="1:21" x14ac:dyDescent="0.2">
      <c r="A222" s="2">
        <v>221</v>
      </c>
      <c r="B222" s="21" t="str">
        <f t="shared" si="55"/>
        <v>1.4.10d</v>
      </c>
      <c r="C222" s="2">
        <v>1</v>
      </c>
      <c r="D222" s="2">
        <v>4</v>
      </c>
      <c r="E222" s="2">
        <v>10</v>
      </c>
      <c r="F222" s="2" t="s">
        <v>112</v>
      </c>
      <c r="G222" s="2" t="s">
        <v>312</v>
      </c>
      <c r="H222" s="2">
        <v>5</v>
      </c>
      <c r="I222" s="19" t="str">
        <f t="shared" si="45"/>
        <v/>
      </c>
      <c r="J222" s="2" t="str">
        <f t="shared" si="46"/>
        <v/>
      </c>
      <c r="K222" s="2" t="str">
        <f t="shared" si="47"/>
        <v/>
      </c>
      <c r="L222" s="2" t="str">
        <f t="shared" si="48"/>
        <v/>
      </c>
      <c r="M222" s="2" t="str">
        <f t="shared" si="49"/>
        <v/>
      </c>
      <c r="N222" s="2">
        <f t="shared" si="50"/>
        <v>6</v>
      </c>
      <c r="O222" s="19">
        <f t="shared" si="51"/>
        <v>6</v>
      </c>
      <c r="Q222" s="2" t="str">
        <f t="shared" si="52"/>
        <v>10</v>
      </c>
      <c r="R222" s="21" t="str">
        <f t="shared" si="53"/>
        <v>1.4.10d</v>
      </c>
      <c r="S222" s="2" t="str">
        <f t="shared" si="54"/>
        <v/>
      </c>
      <c r="T222" s="2" t="str">
        <f t="shared" si="56"/>
        <v/>
      </c>
      <c r="U222" s="19" t="str">
        <f t="shared" si="57"/>
        <v/>
      </c>
    </row>
    <row r="223" spans="1:21" x14ac:dyDescent="0.2">
      <c r="A223" s="2">
        <v>222</v>
      </c>
      <c r="B223" s="21" t="str">
        <f t="shared" si="55"/>
        <v>1.4.10e</v>
      </c>
      <c r="C223" s="2">
        <v>1</v>
      </c>
      <c r="D223" s="2">
        <v>4</v>
      </c>
      <c r="E223" s="2">
        <v>10</v>
      </c>
      <c r="F223" s="2" t="s">
        <v>114</v>
      </c>
      <c r="G223" s="2" t="s">
        <v>313</v>
      </c>
      <c r="H223" s="2">
        <v>5</v>
      </c>
      <c r="I223" s="19" t="str">
        <f t="shared" si="45"/>
        <v/>
      </c>
      <c r="J223" s="2" t="str">
        <f t="shared" si="46"/>
        <v/>
      </c>
      <c r="K223" s="2" t="str">
        <f t="shared" si="47"/>
        <v/>
      </c>
      <c r="L223" s="2" t="str">
        <f t="shared" si="48"/>
        <v/>
      </c>
      <c r="M223" s="2" t="str">
        <f t="shared" si="49"/>
        <v/>
      </c>
      <c r="N223" s="2">
        <f t="shared" si="50"/>
        <v>6</v>
      </c>
      <c r="O223" s="19">
        <f t="shared" si="51"/>
        <v>6</v>
      </c>
      <c r="Q223" s="2" t="str">
        <f t="shared" si="52"/>
        <v>10</v>
      </c>
      <c r="R223" s="21" t="str">
        <f t="shared" si="53"/>
        <v>1.4.10e</v>
      </c>
      <c r="S223" s="2" t="str">
        <f t="shared" si="54"/>
        <v/>
      </c>
      <c r="T223" s="2" t="str">
        <f t="shared" si="56"/>
        <v/>
      </c>
      <c r="U223" s="19" t="str">
        <f t="shared" si="57"/>
        <v/>
      </c>
    </row>
    <row r="224" spans="1:21" x14ac:dyDescent="0.2">
      <c r="A224" s="2">
        <v>223</v>
      </c>
      <c r="B224" s="21" t="str">
        <f t="shared" si="55"/>
        <v>1.4.10f</v>
      </c>
      <c r="C224" s="2">
        <v>1</v>
      </c>
      <c r="D224" s="2">
        <v>4</v>
      </c>
      <c r="E224" s="2">
        <v>10</v>
      </c>
      <c r="F224" s="2" t="s">
        <v>129</v>
      </c>
      <c r="G224" s="2" t="s">
        <v>314</v>
      </c>
      <c r="H224" s="2">
        <v>5</v>
      </c>
      <c r="I224" s="19" t="str">
        <f t="shared" si="45"/>
        <v/>
      </c>
      <c r="J224" s="2" t="str">
        <f t="shared" si="46"/>
        <v/>
      </c>
      <c r="K224" s="2" t="str">
        <f t="shared" si="47"/>
        <v/>
      </c>
      <c r="L224" s="2" t="str">
        <f t="shared" si="48"/>
        <v/>
      </c>
      <c r="M224" s="2" t="str">
        <f t="shared" si="49"/>
        <v/>
      </c>
      <c r="N224" s="2">
        <f t="shared" si="50"/>
        <v>6</v>
      </c>
      <c r="O224" s="19">
        <f t="shared" si="51"/>
        <v>6</v>
      </c>
      <c r="Q224" s="2" t="str">
        <f t="shared" si="52"/>
        <v>10</v>
      </c>
      <c r="R224" s="21" t="str">
        <f t="shared" si="53"/>
        <v>1.4.10f</v>
      </c>
      <c r="S224" s="2" t="str">
        <f t="shared" si="54"/>
        <v/>
      </c>
      <c r="T224" s="2" t="str">
        <f t="shared" si="56"/>
        <v/>
      </c>
      <c r="U224" s="19" t="str">
        <f t="shared" si="57"/>
        <v/>
      </c>
    </row>
    <row r="225" spans="1:21" x14ac:dyDescent="0.2">
      <c r="A225" s="2">
        <v>224</v>
      </c>
      <c r="B225" s="21" t="str">
        <f t="shared" si="55"/>
        <v>1.4.11</v>
      </c>
      <c r="C225" s="2">
        <v>1</v>
      </c>
      <c r="D225" s="2">
        <v>4</v>
      </c>
      <c r="E225" s="2">
        <v>11</v>
      </c>
      <c r="F225" s="2" t="s">
        <v>84</v>
      </c>
      <c r="G225" s="2" t="s">
        <v>315</v>
      </c>
      <c r="H225" s="2" t="s">
        <v>89</v>
      </c>
      <c r="I225" s="19" t="str">
        <f t="shared" si="45"/>
        <v/>
      </c>
      <c r="J225" s="2" t="str">
        <f t="shared" si="46"/>
        <v/>
      </c>
      <c r="K225" s="2" t="str">
        <f t="shared" si="47"/>
        <v/>
      </c>
      <c r="L225" s="2">
        <f t="shared" si="48"/>
        <v>4</v>
      </c>
      <c r="M225" s="2" t="str">
        <f t="shared" si="49"/>
        <v/>
      </c>
      <c r="N225" s="2" t="str">
        <f t="shared" si="50"/>
        <v/>
      </c>
      <c r="O225" s="19">
        <f t="shared" si="51"/>
        <v>4</v>
      </c>
      <c r="Q225" s="2" t="str">
        <f t="shared" si="52"/>
        <v>11</v>
      </c>
      <c r="R225" s="21" t="str">
        <f t="shared" si="53"/>
        <v>1.4.11</v>
      </c>
      <c r="S225" s="2" t="str">
        <f t="shared" si="54"/>
        <v/>
      </c>
      <c r="T225" s="2" t="str">
        <f t="shared" si="56"/>
        <v/>
      </c>
      <c r="U225" s="19" t="str">
        <f t="shared" si="57"/>
        <v/>
      </c>
    </row>
    <row r="226" spans="1:21" x14ac:dyDescent="0.2">
      <c r="A226" s="2">
        <v>225</v>
      </c>
      <c r="B226" s="21" t="str">
        <f t="shared" si="55"/>
        <v>1.4.11a</v>
      </c>
      <c r="C226" s="2">
        <v>1</v>
      </c>
      <c r="D226" s="2">
        <v>4</v>
      </c>
      <c r="E226" s="2">
        <v>11</v>
      </c>
      <c r="F226" s="2" t="s">
        <v>90</v>
      </c>
      <c r="G226" s="2" t="s">
        <v>316</v>
      </c>
      <c r="H226" s="2">
        <v>4</v>
      </c>
      <c r="I226" s="19" t="str">
        <f t="shared" si="45"/>
        <v/>
      </c>
      <c r="J226" s="2" t="str">
        <f t="shared" si="46"/>
        <v/>
      </c>
      <c r="K226" s="2" t="str">
        <f t="shared" si="47"/>
        <v/>
      </c>
      <c r="L226" s="2" t="str">
        <f t="shared" si="48"/>
        <v/>
      </c>
      <c r="M226" s="2" t="str">
        <f t="shared" si="49"/>
        <v/>
      </c>
      <c r="N226" s="2">
        <f t="shared" si="50"/>
        <v>6</v>
      </c>
      <c r="O226" s="19">
        <f t="shared" si="51"/>
        <v>6</v>
      </c>
      <c r="Q226" s="2" t="str">
        <f t="shared" si="52"/>
        <v>11</v>
      </c>
      <c r="R226" s="21" t="str">
        <f t="shared" si="53"/>
        <v>1.4.11a</v>
      </c>
      <c r="S226" s="2" t="str">
        <f t="shared" si="54"/>
        <v/>
      </c>
      <c r="T226" s="2" t="str">
        <f t="shared" si="56"/>
        <v/>
      </c>
      <c r="U226" s="19" t="str">
        <f t="shared" si="57"/>
        <v/>
      </c>
    </row>
    <row r="227" spans="1:21" x14ac:dyDescent="0.2">
      <c r="A227" s="2">
        <v>226</v>
      </c>
      <c r="B227" s="21" t="str">
        <f t="shared" si="55"/>
        <v>1.4.11b</v>
      </c>
      <c r="C227" s="2">
        <v>1</v>
      </c>
      <c r="D227" s="2">
        <v>4</v>
      </c>
      <c r="E227" s="2">
        <v>11</v>
      </c>
      <c r="F227" s="2" t="s">
        <v>92</v>
      </c>
      <c r="G227" s="2" t="s">
        <v>317</v>
      </c>
      <c r="H227" s="2">
        <v>4</v>
      </c>
      <c r="I227" s="19" t="str">
        <f t="shared" si="45"/>
        <v/>
      </c>
      <c r="J227" s="2" t="str">
        <f t="shared" si="46"/>
        <v/>
      </c>
      <c r="K227" s="2" t="str">
        <f t="shared" si="47"/>
        <v/>
      </c>
      <c r="L227" s="2" t="str">
        <f t="shared" si="48"/>
        <v/>
      </c>
      <c r="M227" s="2" t="str">
        <f t="shared" si="49"/>
        <v/>
      </c>
      <c r="N227" s="2">
        <f t="shared" si="50"/>
        <v>6</v>
      </c>
      <c r="O227" s="19">
        <f t="shared" si="51"/>
        <v>6</v>
      </c>
      <c r="Q227" s="2" t="str">
        <f t="shared" si="52"/>
        <v>11</v>
      </c>
      <c r="R227" s="21" t="str">
        <f t="shared" si="53"/>
        <v>1.4.11b</v>
      </c>
      <c r="S227" s="2" t="str">
        <f t="shared" si="54"/>
        <v/>
      </c>
      <c r="T227" s="2" t="str">
        <f t="shared" si="56"/>
        <v/>
      </c>
      <c r="U227" s="19" t="str">
        <f t="shared" si="57"/>
        <v/>
      </c>
    </row>
    <row r="228" spans="1:21" x14ac:dyDescent="0.2">
      <c r="A228" s="2">
        <v>227</v>
      </c>
      <c r="B228" s="21" t="str">
        <f t="shared" si="55"/>
        <v>1.5</v>
      </c>
      <c r="C228" s="2">
        <v>1</v>
      </c>
      <c r="D228" s="2">
        <v>5</v>
      </c>
      <c r="E228" s="2" t="s">
        <v>84</v>
      </c>
      <c r="F228" s="2" t="s">
        <v>84</v>
      </c>
      <c r="G228" s="2" t="s">
        <v>318</v>
      </c>
      <c r="H228" s="2" t="s">
        <v>84</v>
      </c>
      <c r="I228" s="19" t="str">
        <f t="shared" si="45"/>
        <v/>
      </c>
      <c r="J228" s="2">
        <f t="shared" si="46"/>
        <v>2</v>
      </c>
      <c r="K228" s="2" t="str">
        <f t="shared" si="47"/>
        <v/>
      </c>
      <c r="L228" s="2" t="str">
        <f t="shared" si="48"/>
        <v/>
      </c>
      <c r="M228" s="2" t="str">
        <f t="shared" si="49"/>
        <v/>
      </c>
      <c r="N228" s="2" t="str">
        <f t="shared" si="50"/>
        <v/>
      </c>
      <c r="O228" s="19">
        <f t="shared" si="51"/>
        <v>2</v>
      </c>
      <c r="Q228" s="2" t="str">
        <f t="shared" si="52"/>
        <v/>
      </c>
      <c r="R228" s="21" t="str">
        <f t="shared" si="53"/>
        <v>1.5</v>
      </c>
      <c r="S228" s="2" t="str">
        <f t="shared" ref="S228" si="58">IF(O228=O227,IF(NOT(R228&gt;R227),1,""),"")</f>
        <v/>
      </c>
      <c r="T228" s="2" t="str">
        <f t="shared" ref="T228" si="59">IF(NOT(R228&gt;R227),1,"")</f>
        <v/>
      </c>
      <c r="U228" s="19" t="str">
        <f t="shared" si="57"/>
        <v/>
      </c>
    </row>
    <row r="229" spans="1:21" x14ac:dyDescent="0.2">
      <c r="A229" s="2">
        <v>228</v>
      </c>
      <c r="B229" s="21" t="str">
        <f t="shared" si="55"/>
        <v>1.5.01</v>
      </c>
      <c r="C229" s="2">
        <v>1</v>
      </c>
      <c r="D229" s="2">
        <v>5</v>
      </c>
      <c r="E229" s="2">
        <v>1</v>
      </c>
      <c r="F229" s="2" t="s">
        <v>84</v>
      </c>
      <c r="G229" s="2" t="s">
        <v>319</v>
      </c>
      <c r="H229" s="2">
        <v>3</v>
      </c>
      <c r="I229" s="19" t="str">
        <f t="shared" si="45"/>
        <v/>
      </c>
      <c r="J229" s="2" t="str">
        <f t="shared" si="46"/>
        <v/>
      </c>
      <c r="K229" s="2" t="str">
        <f t="shared" si="47"/>
        <v/>
      </c>
      <c r="L229" s="2" t="str">
        <f t="shared" si="48"/>
        <v/>
      </c>
      <c r="M229" s="2">
        <f t="shared" si="49"/>
        <v>5</v>
      </c>
      <c r="N229" s="2" t="str">
        <f t="shared" si="50"/>
        <v/>
      </c>
      <c r="O229" s="19">
        <f t="shared" si="51"/>
        <v>5</v>
      </c>
      <c r="Q229" s="2" t="str">
        <f t="shared" si="52"/>
        <v>01</v>
      </c>
      <c r="R229" s="21" t="str">
        <f t="shared" si="53"/>
        <v>1.5.01</v>
      </c>
      <c r="S229" s="2" t="str">
        <f t="shared" si="54"/>
        <v/>
      </c>
      <c r="T229" s="2" t="str">
        <f t="shared" si="56"/>
        <v/>
      </c>
      <c r="U229" s="19" t="str">
        <f t="shared" si="57"/>
        <v/>
      </c>
    </row>
    <row r="230" spans="1:21" x14ac:dyDescent="0.2">
      <c r="A230" s="2">
        <v>229</v>
      </c>
      <c r="B230" s="21" t="str">
        <f t="shared" si="55"/>
        <v>1.5.02</v>
      </c>
      <c r="C230" s="2">
        <v>1</v>
      </c>
      <c r="D230" s="2">
        <v>5</v>
      </c>
      <c r="E230" s="2">
        <v>2</v>
      </c>
      <c r="F230" s="2" t="s">
        <v>84</v>
      </c>
      <c r="G230" s="2" t="s">
        <v>320</v>
      </c>
      <c r="H230" s="2" t="s">
        <v>89</v>
      </c>
      <c r="I230" s="19" t="str">
        <f t="shared" si="45"/>
        <v/>
      </c>
      <c r="J230" s="2" t="str">
        <f t="shared" si="46"/>
        <v/>
      </c>
      <c r="K230" s="2" t="str">
        <f t="shared" si="47"/>
        <v/>
      </c>
      <c r="L230" s="2">
        <f t="shared" si="48"/>
        <v>4</v>
      </c>
      <c r="M230" s="2" t="str">
        <f t="shared" si="49"/>
        <v/>
      </c>
      <c r="N230" s="2" t="str">
        <f t="shared" si="50"/>
        <v/>
      </c>
      <c r="O230" s="19">
        <f t="shared" si="51"/>
        <v>4</v>
      </c>
      <c r="Q230" s="2" t="str">
        <f t="shared" si="52"/>
        <v>02</v>
      </c>
      <c r="R230" s="21" t="str">
        <f t="shared" si="53"/>
        <v>1.5.02</v>
      </c>
      <c r="S230" s="2" t="str">
        <f t="shared" si="54"/>
        <v/>
      </c>
      <c r="T230" s="2" t="str">
        <f t="shared" si="56"/>
        <v/>
      </c>
      <c r="U230" s="19" t="str">
        <f t="shared" si="57"/>
        <v/>
      </c>
    </row>
    <row r="231" spans="1:21" x14ac:dyDescent="0.2">
      <c r="A231" s="2">
        <v>230</v>
      </c>
      <c r="B231" s="21" t="str">
        <f t="shared" si="55"/>
        <v>1.5.02a</v>
      </c>
      <c r="C231" s="2">
        <v>1</v>
      </c>
      <c r="D231" s="2">
        <v>5</v>
      </c>
      <c r="E231" s="2">
        <v>2</v>
      </c>
      <c r="F231" s="2" t="s">
        <v>90</v>
      </c>
      <c r="G231" s="2" t="s">
        <v>321</v>
      </c>
      <c r="H231" s="2">
        <v>3</v>
      </c>
      <c r="I231" s="19" t="str">
        <f t="shared" si="45"/>
        <v/>
      </c>
      <c r="J231" s="2" t="str">
        <f t="shared" si="46"/>
        <v/>
      </c>
      <c r="K231" s="2" t="str">
        <f t="shared" si="47"/>
        <v/>
      </c>
      <c r="L231" s="2" t="str">
        <f t="shared" si="48"/>
        <v/>
      </c>
      <c r="M231" s="2" t="str">
        <f t="shared" si="49"/>
        <v/>
      </c>
      <c r="N231" s="2">
        <f t="shared" si="50"/>
        <v>6</v>
      </c>
      <c r="O231" s="19">
        <f t="shared" si="51"/>
        <v>6</v>
      </c>
      <c r="Q231" s="2" t="str">
        <f t="shared" si="52"/>
        <v>02</v>
      </c>
      <c r="R231" s="21" t="str">
        <f t="shared" si="53"/>
        <v>1.5.02a</v>
      </c>
      <c r="S231" s="2" t="str">
        <f t="shared" si="54"/>
        <v/>
      </c>
      <c r="T231" s="2" t="str">
        <f t="shared" si="56"/>
        <v/>
      </c>
      <c r="U231" s="19" t="str">
        <f t="shared" si="57"/>
        <v/>
      </c>
    </row>
    <row r="232" spans="1:21" x14ac:dyDescent="0.2">
      <c r="A232" s="2">
        <v>231</v>
      </c>
      <c r="B232" s="21" t="str">
        <f t="shared" si="55"/>
        <v>1.5.02b</v>
      </c>
      <c r="C232" s="2">
        <v>1</v>
      </c>
      <c r="D232" s="2">
        <v>5</v>
      </c>
      <c r="E232" s="2">
        <v>2</v>
      </c>
      <c r="F232" s="2" t="s">
        <v>92</v>
      </c>
      <c r="G232" s="2" t="s">
        <v>322</v>
      </c>
      <c r="H232" s="2">
        <v>3</v>
      </c>
      <c r="I232" s="19" t="str">
        <f t="shared" si="45"/>
        <v/>
      </c>
      <c r="J232" s="2" t="str">
        <f t="shared" si="46"/>
        <v/>
      </c>
      <c r="K232" s="2" t="str">
        <f t="shared" si="47"/>
        <v/>
      </c>
      <c r="L232" s="2" t="str">
        <f t="shared" si="48"/>
        <v/>
      </c>
      <c r="M232" s="2" t="str">
        <f t="shared" si="49"/>
        <v/>
      </c>
      <c r="N232" s="2">
        <f t="shared" si="50"/>
        <v>6</v>
      </c>
      <c r="O232" s="19">
        <f t="shared" si="51"/>
        <v>6</v>
      </c>
      <c r="Q232" s="2" t="str">
        <f t="shared" si="52"/>
        <v>02</v>
      </c>
      <c r="R232" s="21" t="str">
        <f t="shared" si="53"/>
        <v>1.5.02b</v>
      </c>
      <c r="S232" s="2" t="str">
        <f t="shared" si="54"/>
        <v/>
      </c>
      <c r="T232" s="2" t="str">
        <f t="shared" si="56"/>
        <v/>
      </c>
      <c r="U232" s="19" t="str">
        <f t="shared" si="57"/>
        <v/>
      </c>
    </row>
    <row r="233" spans="1:21" x14ac:dyDescent="0.2">
      <c r="A233" s="2">
        <v>232</v>
      </c>
      <c r="B233" s="21" t="str">
        <f t="shared" si="55"/>
        <v>1.5.02c</v>
      </c>
      <c r="C233" s="2">
        <v>1</v>
      </c>
      <c r="D233" s="2">
        <v>5</v>
      </c>
      <c r="E233" s="2">
        <v>2</v>
      </c>
      <c r="F233" s="2" t="s">
        <v>94</v>
      </c>
      <c r="G233" s="2" t="s">
        <v>323</v>
      </c>
      <c r="H233" s="2">
        <v>3</v>
      </c>
      <c r="I233" s="19" t="str">
        <f t="shared" si="45"/>
        <v/>
      </c>
      <c r="J233" s="2" t="str">
        <f t="shared" si="46"/>
        <v/>
      </c>
      <c r="K233" s="2" t="str">
        <f t="shared" si="47"/>
        <v/>
      </c>
      <c r="L233" s="2" t="str">
        <f t="shared" si="48"/>
        <v/>
      </c>
      <c r="M233" s="2" t="str">
        <f t="shared" si="49"/>
        <v/>
      </c>
      <c r="N233" s="2">
        <f t="shared" si="50"/>
        <v>6</v>
      </c>
      <c r="O233" s="19">
        <f t="shared" si="51"/>
        <v>6</v>
      </c>
      <c r="Q233" s="2" t="str">
        <f t="shared" si="52"/>
        <v>02</v>
      </c>
      <c r="R233" s="21" t="str">
        <f t="shared" si="53"/>
        <v>1.5.02c</v>
      </c>
      <c r="S233" s="2" t="str">
        <f t="shared" si="54"/>
        <v/>
      </c>
      <c r="T233" s="2" t="str">
        <f t="shared" si="56"/>
        <v/>
      </c>
      <c r="U233" s="19" t="str">
        <f t="shared" si="57"/>
        <v/>
      </c>
    </row>
    <row r="234" spans="1:21" x14ac:dyDescent="0.2">
      <c r="A234" s="2">
        <v>233</v>
      </c>
      <c r="B234" s="21" t="str">
        <f t="shared" si="55"/>
        <v>1.5.02d</v>
      </c>
      <c r="C234" s="2">
        <v>1</v>
      </c>
      <c r="D234" s="2">
        <v>5</v>
      </c>
      <c r="E234" s="2">
        <v>2</v>
      </c>
      <c r="F234" s="2" t="s">
        <v>112</v>
      </c>
      <c r="G234" s="2" t="s">
        <v>324</v>
      </c>
      <c r="H234" s="2">
        <v>3</v>
      </c>
      <c r="I234" s="19" t="str">
        <f t="shared" si="45"/>
        <v/>
      </c>
      <c r="J234" s="2" t="str">
        <f t="shared" si="46"/>
        <v/>
      </c>
      <c r="K234" s="2" t="str">
        <f t="shared" si="47"/>
        <v/>
      </c>
      <c r="L234" s="2" t="str">
        <f t="shared" si="48"/>
        <v/>
      </c>
      <c r="M234" s="2" t="str">
        <f t="shared" si="49"/>
        <v/>
      </c>
      <c r="N234" s="2">
        <f t="shared" si="50"/>
        <v>6</v>
      </c>
      <c r="O234" s="19">
        <f t="shared" si="51"/>
        <v>6</v>
      </c>
      <c r="Q234" s="2" t="str">
        <f t="shared" si="52"/>
        <v>02</v>
      </c>
      <c r="R234" s="21" t="str">
        <f t="shared" si="53"/>
        <v>1.5.02d</v>
      </c>
      <c r="S234" s="2" t="str">
        <f t="shared" si="54"/>
        <v/>
      </c>
      <c r="T234" s="2" t="str">
        <f t="shared" si="56"/>
        <v/>
      </c>
      <c r="U234" s="19" t="str">
        <f t="shared" si="57"/>
        <v/>
      </c>
    </row>
    <row r="235" spans="1:21" x14ac:dyDescent="0.2">
      <c r="A235" s="2">
        <v>234</v>
      </c>
      <c r="B235" s="21" t="str">
        <f t="shared" si="55"/>
        <v>1.5.02e</v>
      </c>
      <c r="C235" s="2">
        <v>1</v>
      </c>
      <c r="D235" s="2">
        <v>5</v>
      </c>
      <c r="E235" s="2">
        <v>2</v>
      </c>
      <c r="F235" s="2" t="s">
        <v>114</v>
      </c>
      <c r="G235" s="2" t="s">
        <v>325</v>
      </c>
      <c r="H235" s="2">
        <v>4</v>
      </c>
      <c r="I235" s="19" t="str">
        <f t="shared" si="45"/>
        <v/>
      </c>
      <c r="J235" s="2" t="str">
        <f t="shared" si="46"/>
        <v/>
      </c>
      <c r="K235" s="2" t="str">
        <f t="shared" si="47"/>
        <v/>
      </c>
      <c r="L235" s="2" t="str">
        <f t="shared" si="48"/>
        <v/>
      </c>
      <c r="M235" s="2" t="str">
        <f t="shared" si="49"/>
        <v/>
      </c>
      <c r="N235" s="2">
        <f t="shared" si="50"/>
        <v>6</v>
      </c>
      <c r="O235" s="19">
        <f t="shared" si="51"/>
        <v>6</v>
      </c>
      <c r="Q235" s="2" t="str">
        <f t="shared" si="52"/>
        <v>02</v>
      </c>
      <c r="R235" s="21" t="str">
        <f t="shared" si="53"/>
        <v>1.5.02e</v>
      </c>
      <c r="S235" s="2" t="str">
        <f t="shared" si="54"/>
        <v/>
      </c>
      <c r="T235" s="2" t="str">
        <f t="shared" si="56"/>
        <v/>
      </c>
      <c r="U235" s="19" t="str">
        <f t="shared" si="57"/>
        <v/>
      </c>
    </row>
    <row r="236" spans="1:21" x14ac:dyDescent="0.2">
      <c r="A236" s="2">
        <v>235</v>
      </c>
      <c r="B236" s="21" t="str">
        <f t="shared" si="55"/>
        <v>1.5.03</v>
      </c>
      <c r="C236" s="2">
        <v>1</v>
      </c>
      <c r="D236" s="2">
        <v>5</v>
      </c>
      <c r="E236" s="2">
        <v>3</v>
      </c>
      <c r="F236" s="2" t="s">
        <v>84</v>
      </c>
      <c r="G236" s="2" t="s">
        <v>326</v>
      </c>
      <c r="H236" s="2">
        <v>2</v>
      </c>
      <c r="I236" s="19" t="str">
        <f t="shared" si="45"/>
        <v/>
      </c>
      <c r="J236" s="2" t="str">
        <f t="shared" si="46"/>
        <v/>
      </c>
      <c r="K236" s="2" t="str">
        <f t="shared" si="47"/>
        <v/>
      </c>
      <c r="L236" s="2" t="str">
        <f t="shared" si="48"/>
        <v/>
      </c>
      <c r="M236" s="2">
        <f t="shared" si="49"/>
        <v>5</v>
      </c>
      <c r="N236" s="2" t="str">
        <f t="shared" si="50"/>
        <v/>
      </c>
      <c r="O236" s="19">
        <f t="shared" si="51"/>
        <v>5</v>
      </c>
      <c r="Q236" s="2" t="str">
        <f t="shared" si="52"/>
        <v>03</v>
      </c>
      <c r="R236" s="21" t="str">
        <f t="shared" si="53"/>
        <v>1.5.03</v>
      </c>
      <c r="S236" s="2" t="str">
        <f t="shared" si="54"/>
        <v/>
      </c>
      <c r="T236" s="2" t="str">
        <f t="shared" si="56"/>
        <v/>
      </c>
      <c r="U236" s="19" t="str">
        <f t="shared" si="57"/>
        <v/>
      </c>
    </row>
    <row r="237" spans="1:21" x14ac:dyDescent="0.2">
      <c r="A237" s="2">
        <v>236</v>
      </c>
      <c r="B237" s="21" t="str">
        <f t="shared" si="55"/>
        <v>1.5.04</v>
      </c>
      <c r="C237" s="2">
        <v>1</v>
      </c>
      <c r="D237" s="2">
        <v>5</v>
      </c>
      <c r="E237" s="2">
        <v>4</v>
      </c>
      <c r="F237" s="2" t="s">
        <v>84</v>
      </c>
      <c r="G237" s="2" t="s">
        <v>327</v>
      </c>
      <c r="H237" s="2" t="s">
        <v>89</v>
      </c>
      <c r="I237" s="19" t="str">
        <f t="shared" si="45"/>
        <v/>
      </c>
      <c r="J237" s="2" t="str">
        <f t="shared" si="46"/>
        <v/>
      </c>
      <c r="K237" s="2" t="str">
        <f t="shared" si="47"/>
        <v/>
      </c>
      <c r="L237" s="2">
        <f t="shared" si="48"/>
        <v>4</v>
      </c>
      <c r="M237" s="2" t="str">
        <f t="shared" si="49"/>
        <v/>
      </c>
      <c r="N237" s="2" t="str">
        <f t="shared" si="50"/>
        <v/>
      </c>
      <c r="O237" s="19">
        <f t="shared" si="51"/>
        <v>4</v>
      </c>
      <c r="Q237" s="2" t="str">
        <f t="shared" si="52"/>
        <v>04</v>
      </c>
      <c r="R237" s="21" t="str">
        <f t="shared" si="53"/>
        <v>1.5.04</v>
      </c>
      <c r="S237" s="2" t="str">
        <f t="shared" si="54"/>
        <v/>
      </c>
      <c r="T237" s="2" t="str">
        <f t="shared" si="56"/>
        <v/>
      </c>
      <c r="U237" s="19" t="str">
        <f t="shared" si="57"/>
        <v/>
      </c>
    </row>
    <row r="238" spans="1:21" x14ac:dyDescent="0.2">
      <c r="A238" s="2">
        <v>237</v>
      </c>
      <c r="B238" s="21" t="str">
        <f t="shared" si="55"/>
        <v>1.5.04a</v>
      </c>
      <c r="C238" s="2">
        <v>1</v>
      </c>
      <c r="D238" s="2">
        <v>5</v>
      </c>
      <c r="E238" s="2">
        <v>4</v>
      </c>
      <c r="F238" s="2" t="s">
        <v>90</v>
      </c>
      <c r="G238" s="2" t="s">
        <v>328</v>
      </c>
      <c r="H238" s="2">
        <v>2</v>
      </c>
      <c r="I238" s="19" t="str">
        <f t="shared" si="45"/>
        <v/>
      </c>
      <c r="J238" s="2" t="str">
        <f t="shared" si="46"/>
        <v/>
      </c>
      <c r="K238" s="2" t="str">
        <f t="shared" si="47"/>
        <v/>
      </c>
      <c r="L238" s="2" t="str">
        <f t="shared" si="48"/>
        <v/>
      </c>
      <c r="M238" s="2" t="str">
        <f t="shared" si="49"/>
        <v/>
      </c>
      <c r="N238" s="2">
        <f t="shared" si="50"/>
        <v>6</v>
      </c>
      <c r="O238" s="19">
        <f t="shared" si="51"/>
        <v>6</v>
      </c>
      <c r="Q238" s="2" t="str">
        <f t="shared" si="52"/>
        <v>04</v>
      </c>
      <c r="R238" s="21" t="str">
        <f t="shared" si="53"/>
        <v>1.5.04a</v>
      </c>
      <c r="S238" s="2" t="str">
        <f t="shared" si="54"/>
        <v/>
      </c>
      <c r="T238" s="2" t="str">
        <f t="shared" si="56"/>
        <v/>
      </c>
      <c r="U238" s="19" t="str">
        <f t="shared" si="57"/>
        <v/>
      </c>
    </row>
    <row r="239" spans="1:21" x14ac:dyDescent="0.2">
      <c r="A239" s="2">
        <v>238</v>
      </c>
      <c r="B239" s="21" t="str">
        <f t="shared" si="55"/>
        <v>1.5.04b</v>
      </c>
      <c r="C239" s="2">
        <v>1</v>
      </c>
      <c r="D239" s="2">
        <v>5</v>
      </c>
      <c r="E239" s="2">
        <v>4</v>
      </c>
      <c r="F239" s="2" t="s">
        <v>92</v>
      </c>
      <c r="G239" s="2" t="s">
        <v>329</v>
      </c>
      <c r="H239" s="2">
        <v>2</v>
      </c>
      <c r="I239" s="19" t="str">
        <f t="shared" si="45"/>
        <v/>
      </c>
      <c r="J239" s="2" t="str">
        <f t="shared" si="46"/>
        <v/>
      </c>
      <c r="K239" s="2" t="str">
        <f t="shared" si="47"/>
        <v/>
      </c>
      <c r="L239" s="2" t="str">
        <f t="shared" si="48"/>
        <v/>
      </c>
      <c r="M239" s="2" t="str">
        <f t="shared" si="49"/>
        <v/>
      </c>
      <c r="N239" s="2">
        <f t="shared" si="50"/>
        <v>6</v>
      </c>
      <c r="O239" s="19">
        <f t="shared" si="51"/>
        <v>6</v>
      </c>
      <c r="Q239" s="2" t="str">
        <f t="shared" si="52"/>
        <v>04</v>
      </c>
      <c r="R239" s="21" t="str">
        <f t="shared" si="53"/>
        <v>1.5.04b</v>
      </c>
      <c r="S239" s="2" t="str">
        <f t="shared" si="54"/>
        <v/>
      </c>
      <c r="T239" s="2" t="str">
        <f t="shared" si="56"/>
        <v/>
      </c>
      <c r="U239" s="19" t="str">
        <f t="shared" si="57"/>
        <v/>
      </c>
    </row>
    <row r="240" spans="1:21" x14ac:dyDescent="0.2">
      <c r="A240" s="2">
        <v>239</v>
      </c>
      <c r="B240" s="21" t="str">
        <f t="shared" si="55"/>
        <v>1.5.04c</v>
      </c>
      <c r="C240" s="2">
        <v>1</v>
      </c>
      <c r="D240" s="2">
        <v>5</v>
      </c>
      <c r="E240" s="2">
        <v>4</v>
      </c>
      <c r="F240" s="2" t="s">
        <v>94</v>
      </c>
      <c r="G240" s="2" t="s">
        <v>330</v>
      </c>
      <c r="H240" s="2">
        <v>3</v>
      </c>
      <c r="I240" s="19" t="str">
        <f t="shared" si="45"/>
        <v/>
      </c>
      <c r="J240" s="2" t="str">
        <f t="shared" si="46"/>
        <v/>
      </c>
      <c r="K240" s="2" t="str">
        <f t="shared" si="47"/>
        <v/>
      </c>
      <c r="L240" s="2" t="str">
        <f t="shared" si="48"/>
        <v/>
      </c>
      <c r="M240" s="2" t="str">
        <f t="shared" si="49"/>
        <v/>
      </c>
      <c r="N240" s="2">
        <f t="shared" si="50"/>
        <v>6</v>
      </c>
      <c r="O240" s="19">
        <f t="shared" si="51"/>
        <v>6</v>
      </c>
      <c r="Q240" s="2" t="str">
        <f t="shared" si="52"/>
        <v>04</v>
      </c>
      <c r="R240" s="21" t="str">
        <f t="shared" si="53"/>
        <v>1.5.04c</v>
      </c>
      <c r="S240" s="2" t="str">
        <f t="shared" si="54"/>
        <v/>
      </c>
      <c r="T240" s="2" t="str">
        <f t="shared" si="56"/>
        <v/>
      </c>
      <c r="U240" s="19" t="str">
        <f t="shared" si="57"/>
        <v/>
      </c>
    </row>
    <row r="241" spans="1:21" x14ac:dyDescent="0.2">
      <c r="A241" s="2">
        <v>240</v>
      </c>
      <c r="B241" s="21" t="str">
        <f t="shared" si="55"/>
        <v>1.5.04d</v>
      </c>
      <c r="C241" s="2">
        <v>1</v>
      </c>
      <c r="D241" s="2">
        <v>5</v>
      </c>
      <c r="E241" s="2">
        <v>4</v>
      </c>
      <c r="F241" s="2" t="s">
        <v>112</v>
      </c>
      <c r="G241" s="2" t="s">
        <v>331</v>
      </c>
      <c r="H241" s="2">
        <v>3</v>
      </c>
      <c r="I241" s="19" t="str">
        <f t="shared" si="45"/>
        <v/>
      </c>
      <c r="J241" s="2" t="str">
        <f t="shared" si="46"/>
        <v/>
      </c>
      <c r="K241" s="2" t="str">
        <f t="shared" si="47"/>
        <v/>
      </c>
      <c r="L241" s="2" t="str">
        <f t="shared" si="48"/>
        <v/>
      </c>
      <c r="M241" s="2" t="str">
        <f t="shared" si="49"/>
        <v/>
      </c>
      <c r="N241" s="2">
        <f t="shared" si="50"/>
        <v>6</v>
      </c>
      <c r="O241" s="19">
        <f t="shared" si="51"/>
        <v>6</v>
      </c>
      <c r="Q241" s="2" t="str">
        <f t="shared" si="52"/>
        <v>04</v>
      </c>
      <c r="R241" s="21" t="str">
        <f t="shared" si="53"/>
        <v>1.5.04d</v>
      </c>
      <c r="S241" s="2" t="str">
        <f t="shared" si="54"/>
        <v/>
      </c>
      <c r="T241" s="2" t="str">
        <f t="shared" si="56"/>
        <v/>
      </c>
      <c r="U241" s="19" t="str">
        <f t="shared" si="57"/>
        <v/>
      </c>
    </row>
    <row r="242" spans="1:21" x14ac:dyDescent="0.2">
      <c r="A242" s="2">
        <v>241</v>
      </c>
      <c r="B242" s="21" t="str">
        <f t="shared" si="55"/>
        <v>1.5.04e</v>
      </c>
      <c r="C242" s="2">
        <v>1</v>
      </c>
      <c r="D242" s="2">
        <v>5</v>
      </c>
      <c r="E242" s="2">
        <v>4</v>
      </c>
      <c r="F242" s="2" t="s">
        <v>114</v>
      </c>
      <c r="G242" s="2" t="s">
        <v>332</v>
      </c>
      <c r="H242" s="2">
        <v>3</v>
      </c>
      <c r="I242" s="19" t="str">
        <f t="shared" si="45"/>
        <v/>
      </c>
      <c r="J242" s="2" t="str">
        <f t="shared" si="46"/>
        <v/>
      </c>
      <c r="K242" s="2" t="str">
        <f t="shared" si="47"/>
        <v/>
      </c>
      <c r="L242" s="2" t="str">
        <f t="shared" si="48"/>
        <v/>
      </c>
      <c r="M242" s="2" t="str">
        <f t="shared" si="49"/>
        <v/>
      </c>
      <c r="N242" s="2">
        <f t="shared" si="50"/>
        <v>6</v>
      </c>
      <c r="O242" s="19">
        <f t="shared" si="51"/>
        <v>6</v>
      </c>
      <c r="Q242" s="2" t="str">
        <f t="shared" si="52"/>
        <v>04</v>
      </c>
      <c r="R242" s="21" t="str">
        <f t="shared" si="53"/>
        <v>1.5.04e</v>
      </c>
      <c r="S242" s="2" t="str">
        <f t="shared" si="54"/>
        <v/>
      </c>
      <c r="T242" s="2" t="str">
        <f t="shared" si="56"/>
        <v/>
      </c>
      <c r="U242" s="19" t="str">
        <f t="shared" si="57"/>
        <v/>
      </c>
    </row>
    <row r="243" spans="1:21" x14ac:dyDescent="0.2">
      <c r="A243" s="2">
        <v>242</v>
      </c>
      <c r="B243" s="21" t="str">
        <f t="shared" si="55"/>
        <v>1.5.05</v>
      </c>
      <c r="C243" s="2">
        <v>1</v>
      </c>
      <c r="D243" s="2">
        <v>5</v>
      </c>
      <c r="E243" s="2">
        <v>5</v>
      </c>
      <c r="F243" s="2" t="s">
        <v>84</v>
      </c>
      <c r="G243" s="2" t="s">
        <v>333</v>
      </c>
      <c r="H243" s="2">
        <v>4</v>
      </c>
      <c r="I243" s="19" t="str">
        <f t="shared" si="45"/>
        <v/>
      </c>
      <c r="J243" s="2" t="str">
        <f t="shared" si="46"/>
        <v/>
      </c>
      <c r="K243" s="2" t="str">
        <f t="shared" si="47"/>
        <v/>
      </c>
      <c r="L243" s="2" t="str">
        <f t="shared" si="48"/>
        <v/>
      </c>
      <c r="M243" s="2">
        <f t="shared" si="49"/>
        <v>5</v>
      </c>
      <c r="N243" s="2" t="str">
        <f t="shared" si="50"/>
        <v/>
      </c>
      <c r="O243" s="19">
        <f t="shared" si="51"/>
        <v>5</v>
      </c>
      <c r="Q243" s="2" t="str">
        <f t="shared" si="52"/>
        <v>05</v>
      </c>
      <c r="R243" s="21" t="str">
        <f t="shared" si="53"/>
        <v>1.5.05</v>
      </c>
      <c r="S243" s="2" t="str">
        <f t="shared" si="54"/>
        <v/>
      </c>
      <c r="T243" s="2" t="str">
        <f t="shared" si="56"/>
        <v/>
      </c>
      <c r="U243" s="19" t="str">
        <f t="shared" si="57"/>
        <v/>
      </c>
    </row>
    <row r="244" spans="1:21" x14ac:dyDescent="0.2">
      <c r="A244" s="2">
        <v>243</v>
      </c>
      <c r="B244" s="21" t="str">
        <f t="shared" si="55"/>
        <v>1.5.06</v>
      </c>
      <c r="C244" s="2">
        <v>1</v>
      </c>
      <c r="D244" s="2">
        <v>5</v>
      </c>
      <c r="E244" s="2">
        <v>6</v>
      </c>
      <c r="F244" s="2" t="s">
        <v>84</v>
      </c>
      <c r="G244" s="2" t="s">
        <v>334</v>
      </c>
      <c r="H244" s="2" t="s">
        <v>89</v>
      </c>
      <c r="I244" s="19" t="str">
        <f t="shared" si="45"/>
        <v/>
      </c>
      <c r="J244" s="2" t="str">
        <f t="shared" si="46"/>
        <v/>
      </c>
      <c r="K244" s="2" t="str">
        <f t="shared" si="47"/>
        <v/>
      </c>
      <c r="L244" s="2">
        <f t="shared" si="48"/>
        <v>4</v>
      </c>
      <c r="M244" s="2" t="str">
        <f t="shared" si="49"/>
        <v/>
      </c>
      <c r="N244" s="2" t="str">
        <f t="shared" si="50"/>
        <v/>
      </c>
      <c r="O244" s="19">
        <f t="shared" si="51"/>
        <v>4</v>
      </c>
      <c r="Q244" s="2" t="str">
        <f t="shared" si="52"/>
        <v>06</v>
      </c>
      <c r="R244" s="21" t="str">
        <f t="shared" si="53"/>
        <v>1.5.06</v>
      </c>
      <c r="S244" s="2" t="str">
        <f t="shared" si="54"/>
        <v/>
      </c>
      <c r="T244" s="2" t="str">
        <f t="shared" si="56"/>
        <v/>
      </c>
      <c r="U244" s="19" t="str">
        <f t="shared" si="57"/>
        <v/>
      </c>
    </row>
    <row r="245" spans="1:21" x14ac:dyDescent="0.2">
      <c r="A245" s="2">
        <v>244</v>
      </c>
      <c r="B245" s="21" t="str">
        <f t="shared" si="55"/>
        <v>1.5.06a</v>
      </c>
      <c r="C245" s="2">
        <v>1</v>
      </c>
      <c r="D245" s="2">
        <v>5</v>
      </c>
      <c r="E245" s="2">
        <v>6</v>
      </c>
      <c r="F245" s="2" t="s">
        <v>90</v>
      </c>
      <c r="G245" s="2" t="s">
        <v>203</v>
      </c>
      <c r="H245" s="2">
        <v>5</v>
      </c>
      <c r="I245" s="19" t="str">
        <f t="shared" si="45"/>
        <v/>
      </c>
      <c r="J245" s="2" t="str">
        <f t="shared" si="46"/>
        <v/>
      </c>
      <c r="K245" s="2" t="str">
        <f t="shared" si="47"/>
        <v/>
      </c>
      <c r="L245" s="2" t="str">
        <f t="shared" si="48"/>
        <v/>
      </c>
      <c r="M245" s="2" t="str">
        <f t="shared" si="49"/>
        <v/>
      </c>
      <c r="N245" s="2">
        <f t="shared" si="50"/>
        <v>6</v>
      </c>
      <c r="O245" s="19">
        <f t="shared" si="51"/>
        <v>6</v>
      </c>
      <c r="Q245" s="2" t="str">
        <f t="shared" si="52"/>
        <v>06</v>
      </c>
      <c r="R245" s="21" t="str">
        <f t="shared" si="53"/>
        <v>1.5.06a</v>
      </c>
      <c r="S245" s="2" t="str">
        <f t="shared" si="54"/>
        <v/>
      </c>
      <c r="T245" s="2" t="str">
        <f t="shared" si="56"/>
        <v/>
      </c>
      <c r="U245" s="19" t="str">
        <f t="shared" si="57"/>
        <v/>
      </c>
    </row>
    <row r="246" spans="1:21" x14ac:dyDescent="0.2">
      <c r="A246" s="2">
        <v>245</v>
      </c>
      <c r="B246" s="21" t="str">
        <f t="shared" si="55"/>
        <v>1.5.06b</v>
      </c>
      <c r="C246" s="2">
        <v>1</v>
      </c>
      <c r="D246" s="2">
        <v>5</v>
      </c>
      <c r="E246" s="2">
        <v>6</v>
      </c>
      <c r="F246" s="2" t="s">
        <v>92</v>
      </c>
      <c r="G246" s="2" t="s">
        <v>335</v>
      </c>
      <c r="H246" s="2">
        <v>5</v>
      </c>
      <c r="I246" s="19" t="str">
        <f t="shared" si="45"/>
        <v/>
      </c>
      <c r="J246" s="2" t="str">
        <f t="shared" si="46"/>
        <v/>
      </c>
      <c r="K246" s="2" t="str">
        <f t="shared" si="47"/>
        <v/>
      </c>
      <c r="L246" s="2" t="str">
        <f t="shared" si="48"/>
        <v/>
      </c>
      <c r="M246" s="2" t="str">
        <f t="shared" si="49"/>
        <v/>
      </c>
      <c r="N246" s="2">
        <f t="shared" si="50"/>
        <v>6</v>
      </c>
      <c r="O246" s="19">
        <f t="shared" si="51"/>
        <v>6</v>
      </c>
      <c r="Q246" s="2" t="str">
        <f t="shared" si="52"/>
        <v>06</v>
      </c>
      <c r="R246" s="21" t="str">
        <f t="shared" si="53"/>
        <v>1.5.06b</v>
      </c>
      <c r="S246" s="2" t="str">
        <f t="shared" si="54"/>
        <v/>
      </c>
      <c r="T246" s="2" t="str">
        <f t="shared" si="56"/>
        <v/>
      </c>
      <c r="U246" s="19" t="str">
        <f t="shared" si="57"/>
        <v/>
      </c>
    </row>
    <row r="247" spans="1:21" x14ac:dyDescent="0.2">
      <c r="A247" s="2">
        <v>246</v>
      </c>
      <c r="B247" s="21" t="str">
        <f t="shared" si="55"/>
        <v>1.5.06c</v>
      </c>
      <c r="C247" s="2">
        <v>1</v>
      </c>
      <c r="D247" s="2">
        <v>5</v>
      </c>
      <c r="E247" s="2">
        <v>6</v>
      </c>
      <c r="F247" s="2" t="s">
        <v>94</v>
      </c>
      <c r="G247" s="2" t="s">
        <v>336</v>
      </c>
      <c r="H247" s="2">
        <v>5</v>
      </c>
      <c r="I247" s="19" t="str">
        <f t="shared" si="45"/>
        <v/>
      </c>
      <c r="J247" s="2" t="str">
        <f t="shared" si="46"/>
        <v/>
      </c>
      <c r="K247" s="2" t="str">
        <f t="shared" si="47"/>
        <v/>
      </c>
      <c r="L247" s="2" t="str">
        <f t="shared" si="48"/>
        <v/>
      </c>
      <c r="M247" s="2" t="str">
        <f t="shared" si="49"/>
        <v/>
      </c>
      <c r="N247" s="2">
        <f t="shared" si="50"/>
        <v>6</v>
      </c>
      <c r="O247" s="19">
        <f t="shared" si="51"/>
        <v>6</v>
      </c>
      <c r="Q247" s="2" t="str">
        <f t="shared" si="52"/>
        <v>06</v>
      </c>
      <c r="R247" s="21" t="str">
        <f t="shared" si="53"/>
        <v>1.5.06c</v>
      </c>
      <c r="S247" s="2" t="str">
        <f t="shared" si="54"/>
        <v/>
      </c>
      <c r="T247" s="2" t="str">
        <f t="shared" si="56"/>
        <v/>
      </c>
      <c r="U247" s="19" t="str">
        <f t="shared" si="57"/>
        <v/>
      </c>
    </row>
    <row r="248" spans="1:21" x14ac:dyDescent="0.2">
      <c r="A248" s="2">
        <v>247</v>
      </c>
      <c r="B248" s="21" t="str">
        <f t="shared" si="55"/>
        <v>1.5.07</v>
      </c>
      <c r="C248" s="2">
        <v>1</v>
      </c>
      <c r="D248" s="2">
        <v>5</v>
      </c>
      <c r="E248" s="2">
        <v>7</v>
      </c>
      <c r="F248" s="2" t="s">
        <v>84</v>
      </c>
      <c r="G248" s="2" t="s">
        <v>337</v>
      </c>
      <c r="H248" s="2">
        <v>4</v>
      </c>
      <c r="I248" s="19" t="str">
        <f t="shared" si="45"/>
        <v/>
      </c>
      <c r="J248" s="2" t="str">
        <f t="shared" si="46"/>
        <v/>
      </c>
      <c r="K248" s="2" t="str">
        <f t="shared" si="47"/>
        <v/>
      </c>
      <c r="L248" s="2" t="str">
        <f t="shared" si="48"/>
        <v/>
      </c>
      <c r="M248" s="2">
        <f t="shared" si="49"/>
        <v>5</v>
      </c>
      <c r="N248" s="2" t="str">
        <f t="shared" si="50"/>
        <v/>
      </c>
      <c r="O248" s="19">
        <f t="shared" si="51"/>
        <v>5</v>
      </c>
      <c r="Q248" s="2" t="str">
        <f t="shared" si="52"/>
        <v>07</v>
      </c>
      <c r="R248" s="21" t="str">
        <f t="shared" si="53"/>
        <v>1.5.07</v>
      </c>
      <c r="S248" s="2" t="str">
        <f t="shared" si="54"/>
        <v/>
      </c>
      <c r="T248" s="2" t="str">
        <f t="shared" si="56"/>
        <v/>
      </c>
      <c r="U248" s="19" t="str">
        <f t="shared" si="57"/>
        <v/>
      </c>
    </row>
    <row r="249" spans="1:21" x14ac:dyDescent="0.2">
      <c r="A249" s="2">
        <v>248</v>
      </c>
      <c r="B249" s="21" t="str">
        <f t="shared" si="55"/>
        <v>1.5.08</v>
      </c>
      <c r="C249" s="2">
        <v>1</v>
      </c>
      <c r="D249" s="2">
        <v>5</v>
      </c>
      <c r="E249" s="2">
        <v>8</v>
      </c>
      <c r="F249" s="2" t="s">
        <v>84</v>
      </c>
      <c r="G249" s="2" t="s">
        <v>338</v>
      </c>
      <c r="H249" s="2">
        <v>3</v>
      </c>
      <c r="I249" s="19" t="str">
        <f t="shared" si="45"/>
        <v/>
      </c>
      <c r="J249" s="2" t="str">
        <f t="shared" si="46"/>
        <v/>
      </c>
      <c r="K249" s="2" t="str">
        <f t="shared" si="47"/>
        <v/>
      </c>
      <c r="L249" s="2" t="str">
        <f t="shared" si="48"/>
        <v/>
      </c>
      <c r="M249" s="2">
        <f t="shared" si="49"/>
        <v>5</v>
      </c>
      <c r="N249" s="2" t="str">
        <f t="shared" si="50"/>
        <v/>
      </c>
      <c r="O249" s="19">
        <f t="shared" si="51"/>
        <v>5</v>
      </c>
      <c r="Q249" s="2" t="str">
        <f t="shared" si="52"/>
        <v>08</v>
      </c>
      <c r="R249" s="21" t="str">
        <f t="shared" si="53"/>
        <v>1.5.08</v>
      </c>
      <c r="S249" s="2" t="str">
        <f t="shared" si="54"/>
        <v/>
      </c>
      <c r="T249" s="2" t="str">
        <f t="shared" si="56"/>
        <v/>
      </c>
      <c r="U249" s="19" t="str">
        <f t="shared" si="57"/>
        <v/>
      </c>
    </row>
    <row r="250" spans="1:21" x14ac:dyDescent="0.2">
      <c r="A250" s="2">
        <v>249</v>
      </c>
      <c r="B250" s="21" t="str">
        <f t="shared" si="55"/>
        <v>1.5.09</v>
      </c>
      <c r="C250" s="2">
        <v>1</v>
      </c>
      <c r="D250" s="2">
        <v>5</v>
      </c>
      <c r="E250" s="2">
        <v>9</v>
      </c>
      <c r="F250" s="2" t="s">
        <v>84</v>
      </c>
      <c r="G250" s="2" t="s">
        <v>339</v>
      </c>
      <c r="H250" s="2" t="s">
        <v>89</v>
      </c>
      <c r="I250" s="19" t="str">
        <f t="shared" si="45"/>
        <v/>
      </c>
      <c r="J250" s="2" t="str">
        <f t="shared" si="46"/>
        <v/>
      </c>
      <c r="K250" s="2" t="str">
        <f t="shared" si="47"/>
        <v/>
      </c>
      <c r="L250" s="2">
        <f t="shared" si="48"/>
        <v>4</v>
      </c>
      <c r="M250" s="2" t="str">
        <f t="shared" si="49"/>
        <v/>
      </c>
      <c r="N250" s="2" t="str">
        <f t="shared" si="50"/>
        <v/>
      </c>
      <c r="O250" s="19">
        <f t="shared" si="51"/>
        <v>4</v>
      </c>
      <c r="Q250" s="2" t="str">
        <f t="shared" si="52"/>
        <v>09</v>
      </c>
      <c r="R250" s="21" t="str">
        <f t="shared" si="53"/>
        <v>1.5.09</v>
      </c>
      <c r="S250" s="2" t="str">
        <f t="shared" si="54"/>
        <v/>
      </c>
      <c r="T250" s="2" t="str">
        <f t="shared" si="56"/>
        <v/>
      </c>
      <c r="U250" s="19" t="str">
        <f t="shared" si="57"/>
        <v/>
      </c>
    </row>
    <row r="251" spans="1:21" x14ac:dyDescent="0.2">
      <c r="A251" s="2">
        <v>250</v>
      </c>
      <c r="B251" s="21" t="str">
        <f t="shared" si="55"/>
        <v>1.5.09a</v>
      </c>
      <c r="C251" s="2">
        <v>1</v>
      </c>
      <c r="D251" s="2">
        <v>5</v>
      </c>
      <c r="E251" s="2">
        <v>9</v>
      </c>
      <c r="F251" s="2" t="s">
        <v>90</v>
      </c>
      <c r="G251" s="2" t="s">
        <v>340</v>
      </c>
      <c r="H251" s="2">
        <v>4</v>
      </c>
      <c r="I251" s="19" t="str">
        <f t="shared" si="45"/>
        <v/>
      </c>
      <c r="J251" s="2" t="str">
        <f t="shared" si="46"/>
        <v/>
      </c>
      <c r="K251" s="2" t="str">
        <f t="shared" si="47"/>
        <v/>
      </c>
      <c r="L251" s="2" t="str">
        <f t="shared" si="48"/>
        <v/>
      </c>
      <c r="M251" s="2" t="str">
        <f t="shared" si="49"/>
        <v/>
      </c>
      <c r="N251" s="2">
        <f t="shared" si="50"/>
        <v>6</v>
      </c>
      <c r="O251" s="19">
        <f t="shared" si="51"/>
        <v>6</v>
      </c>
      <c r="Q251" s="2" t="str">
        <f t="shared" si="52"/>
        <v>09</v>
      </c>
      <c r="R251" s="21" t="str">
        <f t="shared" si="53"/>
        <v>1.5.09a</v>
      </c>
      <c r="S251" s="2" t="str">
        <f t="shared" si="54"/>
        <v/>
      </c>
      <c r="T251" s="2" t="str">
        <f t="shared" si="56"/>
        <v/>
      </c>
      <c r="U251" s="19" t="str">
        <f t="shared" si="57"/>
        <v/>
      </c>
    </row>
    <row r="252" spans="1:21" x14ac:dyDescent="0.2">
      <c r="A252" s="2">
        <v>251</v>
      </c>
      <c r="B252" s="21" t="str">
        <f t="shared" si="55"/>
        <v>1.5.09b</v>
      </c>
      <c r="C252" s="2">
        <v>1</v>
      </c>
      <c r="D252" s="2">
        <v>5</v>
      </c>
      <c r="E252" s="2">
        <v>9</v>
      </c>
      <c r="F252" s="2" t="s">
        <v>92</v>
      </c>
      <c r="G252" s="2" t="s">
        <v>341</v>
      </c>
      <c r="H252" s="2">
        <v>4</v>
      </c>
      <c r="I252" s="19" t="str">
        <f t="shared" si="45"/>
        <v/>
      </c>
      <c r="J252" s="2" t="str">
        <f t="shared" si="46"/>
        <v/>
      </c>
      <c r="K252" s="2" t="str">
        <f t="shared" si="47"/>
        <v/>
      </c>
      <c r="L252" s="2" t="str">
        <f t="shared" si="48"/>
        <v/>
      </c>
      <c r="M252" s="2" t="str">
        <f t="shared" si="49"/>
        <v/>
      </c>
      <c r="N252" s="2">
        <f t="shared" si="50"/>
        <v>6</v>
      </c>
      <c r="O252" s="19">
        <f t="shared" si="51"/>
        <v>6</v>
      </c>
      <c r="Q252" s="2" t="str">
        <f t="shared" si="52"/>
        <v>09</v>
      </c>
      <c r="R252" s="21" t="str">
        <f t="shared" si="53"/>
        <v>1.5.09b</v>
      </c>
      <c r="S252" s="2" t="str">
        <f t="shared" si="54"/>
        <v/>
      </c>
      <c r="T252" s="2" t="str">
        <f t="shared" si="56"/>
        <v/>
      </c>
      <c r="U252" s="19" t="str">
        <f t="shared" si="57"/>
        <v/>
      </c>
    </row>
    <row r="253" spans="1:21" x14ac:dyDescent="0.2">
      <c r="A253" s="2">
        <v>252</v>
      </c>
      <c r="B253" s="21" t="str">
        <f t="shared" si="55"/>
        <v>1.5.09c</v>
      </c>
      <c r="C253" s="2">
        <v>1</v>
      </c>
      <c r="D253" s="2">
        <v>5</v>
      </c>
      <c r="E253" s="2">
        <v>9</v>
      </c>
      <c r="F253" s="2" t="s">
        <v>94</v>
      </c>
      <c r="G253" s="2" t="s">
        <v>342</v>
      </c>
      <c r="H253" s="2">
        <v>4</v>
      </c>
      <c r="I253" s="19" t="str">
        <f t="shared" si="45"/>
        <v/>
      </c>
      <c r="J253" s="2" t="str">
        <f t="shared" si="46"/>
        <v/>
      </c>
      <c r="K253" s="2" t="str">
        <f t="shared" si="47"/>
        <v/>
      </c>
      <c r="L253" s="2" t="str">
        <f t="shared" si="48"/>
        <v/>
      </c>
      <c r="M253" s="2" t="str">
        <f t="shared" si="49"/>
        <v/>
      </c>
      <c r="N253" s="2">
        <f t="shared" si="50"/>
        <v>6</v>
      </c>
      <c r="O253" s="19">
        <f t="shared" si="51"/>
        <v>6</v>
      </c>
      <c r="Q253" s="2" t="str">
        <f t="shared" si="52"/>
        <v>09</v>
      </c>
      <c r="R253" s="21" t="str">
        <f t="shared" si="53"/>
        <v>1.5.09c</v>
      </c>
      <c r="S253" s="2" t="str">
        <f t="shared" si="54"/>
        <v/>
      </c>
      <c r="T253" s="2" t="str">
        <f t="shared" si="56"/>
        <v/>
      </c>
      <c r="U253" s="19" t="str">
        <f t="shared" si="57"/>
        <v/>
      </c>
    </row>
    <row r="254" spans="1:21" x14ac:dyDescent="0.2">
      <c r="A254" s="2">
        <v>253</v>
      </c>
      <c r="B254" s="21" t="str">
        <f t="shared" si="55"/>
        <v>1.5.09d</v>
      </c>
      <c r="C254" s="2">
        <v>1</v>
      </c>
      <c r="D254" s="2">
        <v>5</v>
      </c>
      <c r="E254" s="2">
        <v>9</v>
      </c>
      <c r="F254" s="2" t="s">
        <v>112</v>
      </c>
      <c r="G254" s="2" t="s">
        <v>343</v>
      </c>
      <c r="H254" s="2">
        <v>4</v>
      </c>
      <c r="I254" s="19" t="str">
        <f t="shared" ref="I254:I316" si="60">IF(AND(LEN(C254)=1,LEN(D254)=0),1,"")</f>
        <v/>
      </c>
      <c r="J254" s="2" t="str">
        <f t="shared" ref="J254:J316" si="61">IF(AND(LEN(C254)=1,LEN(D254)=1,LEN(E254)=0,LEN(F254)=0),2,"")</f>
        <v/>
      </c>
      <c r="K254" s="2" t="str">
        <f t="shared" ref="K254:K316" si="62">IF(AND(LEN(C254)=0,LEN(E254)=0),3,"")</f>
        <v/>
      </c>
      <c r="L254" s="2" t="str">
        <f t="shared" ref="L254:L316" si="63">IF(AND(LEN(C254)&gt;0,LEN(D254&gt;0),LEN(E254)&gt;0,LEN(F254)=0,H254="N/A"),4,"")</f>
        <v/>
      </c>
      <c r="M254" s="2" t="str">
        <f t="shared" ref="M254:M316" si="64">IF(AND(LEN(C254)&gt;0,LEN(D254&gt;0),LEN(E254)&gt;0,LEN(F254)=0,H254&gt;0,H254&lt;6),5,"")</f>
        <v/>
      </c>
      <c r="N254" s="2">
        <f t="shared" ref="N254:N316" si="65">IF(AND(LEN(C254)&gt;0,LEN(D254&gt;0),LEN(E254)&gt;0,LEN(F254)&gt;0,H254&gt;0,H254&lt;6),6,"")</f>
        <v>6</v>
      </c>
      <c r="O254" s="19">
        <f t="shared" ref="O254:O316" si="66">SUM(I254:N254)</f>
        <v>6</v>
      </c>
      <c r="Q254" s="2" t="str">
        <f t="shared" ref="Q254:Q316" si="67">IF(LEN(E254)&gt;0,TEXT(E254,"00"),"")</f>
        <v>09</v>
      </c>
      <c r="R254" s="21" t="str">
        <f t="shared" ref="R254:R316" si="68">IF(O254=1,C254,IF(O254=2,C254&amp;"."&amp;D254,IF(O254=3,"",IF(O254=4,C254&amp;"."&amp;D254&amp;"."&amp;Q254,IF(O254=5,C254&amp;"."&amp;D254&amp;"."&amp;Q254,IF(O254=6,C254&amp;"."&amp;D254&amp;"."&amp;Q254&amp;F254,""))))))</f>
        <v>1.5.09d</v>
      </c>
      <c r="S254" s="2" t="str">
        <f t="shared" ref="S254:S316" si="69">IF(O254=O253,IF(NOT(R254&gt;R253),1,""),"")</f>
        <v/>
      </c>
      <c r="T254" s="2" t="str">
        <f t="shared" si="56"/>
        <v/>
      </c>
      <c r="U254" s="19" t="str">
        <f t="shared" si="57"/>
        <v/>
      </c>
    </row>
    <row r="255" spans="1:21" x14ac:dyDescent="0.2">
      <c r="A255" s="2">
        <v>254</v>
      </c>
      <c r="B255" s="21" t="str">
        <f t="shared" ref="B255:B317" si="70">R255</f>
        <v>1.5.09e</v>
      </c>
      <c r="C255" s="2">
        <v>1</v>
      </c>
      <c r="D255" s="2">
        <v>5</v>
      </c>
      <c r="E255" s="2">
        <v>9</v>
      </c>
      <c r="F255" s="2" t="s">
        <v>114</v>
      </c>
      <c r="G255" s="2" t="s">
        <v>344</v>
      </c>
      <c r="H255" s="2">
        <v>4</v>
      </c>
      <c r="I255" s="19" t="str">
        <f t="shared" si="60"/>
        <v/>
      </c>
      <c r="J255" s="2" t="str">
        <f t="shared" si="61"/>
        <v/>
      </c>
      <c r="K255" s="2" t="str">
        <f t="shared" si="62"/>
        <v/>
      </c>
      <c r="L255" s="2" t="str">
        <f t="shared" si="63"/>
        <v/>
      </c>
      <c r="M255" s="2" t="str">
        <f t="shared" si="64"/>
        <v/>
      </c>
      <c r="N255" s="2">
        <f t="shared" si="65"/>
        <v>6</v>
      </c>
      <c r="O255" s="19">
        <f t="shared" si="66"/>
        <v>6</v>
      </c>
      <c r="Q255" s="2" t="str">
        <f t="shared" si="67"/>
        <v>09</v>
      </c>
      <c r="R255" s="21" t="str">
        <f t="shared" si="68"/>
        <v>1.5.09e</v>
      </c>
      <c r="S255" s="2" t="str">
        <f t="shared" si="69"/>
        <v/>
      </c>
      <c r="T255" s="2" t="str">
        <f t="shared" ref="T255:T317" si="71">IF(NOT(R255&gt;R254),1,"")</f>
        <v/>
      </c>
      <c r="U255" s="19" t="str">
        <f t="shared" si="57"/>
        <v/>
      </c>
    </row>
    <row r="256" spans="1:21" x14ac:dyDescent="0.2">
      <c r="A256" s="2">
        <v>255</v>
      </c>
      <c r="B256" s="21" t="str">
        <f t="shared" si="70"/>
        <v>1.5.09f</v>
      </c>
      <c r="C256" s="2">
        <v>1</v>
      </c>
      <c r="D256" s="2">
        <v>5</v>
      </c>
      <c r="E256" s="2">
        <v>9</v>
      </c>
      <c r="F256" s="2" t="s">
        <v>129</v>
      </c>
      <c r="G256" s="2" t="s">
        <v>345</v>
      </c>
      <c r="H256" s="2">
        <v>4</v>
      </c>
      <c r="I256" s="19" t="str">
        <f t="shared" si="60"/>
        <v/>
      </c>
      <c r="J256" s="2" t="str">
        <f t="shared" si="61"/>
        <v/>
      </c>
      <c r="K256" s="2" t="str">
        <f t="shared" si="62"/>
        <v/>
      </c>
      <c r="L256" s="2" t="str">
        <f t="shared" si="63"/>
        <v/>
      </c>
      <c r="M256" s="2" t="str">
        <f t="shared" si="64"/>
        <v/>
      </c>
      <c r="N256" s="2">
        <f t="shared" si="65"/>
        <v>6</v>
      </c>
      <c r="O256" s="19">
        <f t="shared" si="66"/>
        <v>6</v>
      </c>
      <c r="Q256" s="2" t="str">
        <f t="shared" si="67"/>
        <v>09</v>
      </c>
      <c r="R256" s="21" t="str">
        <f t="shared" si="68"/>
        <v>1.5.09f</v>
      </c>
      <c r="S256" s="2" t="str">
        <f t="shared" si="69"/>
        <v/>
      </c>
      <c r="T256" s="2" t="str">
        <f t="shared" si="71"/>
        <v/>
      </c>
      <c r="U256" s="19" t="str">
        <f t="shared" si="57"/>
        <v/>
      </c>
    </row>
    <row r="257" spans="1:21" x14ac:dyDescent="0.2">
      <c r="A257" s="2">
        <v>256</v>
      </c>
      <c r="B257" s="21" t="str">
        <f t="shared" si="70"/>
        <v>1.5.10</v>
      </c>
      <c r="C257" s="2">
        <v>1</v>
      </c>
      <c r="D257" s="2">
        <v>5</v>
      </c>
      <c r="E257" s="2">
        <v>10</v>
      </c>
      <c r="F257" s="2" t="s">
        <v>84</v>
      </c>
      <c r="G257" s="2" t="s">
        <v>346</v>
      </c>
      <c r="H257" s="2" t="s">
        <v>89</v>
      </c>
      <c r="I257" s="19" t="str">
        <f t="shared" si="60"/>
        <v/>
      </c>
      <c r="J257" s="2" t="str">
        <f t="shared" si="61"/>
        <v/>
      </c>
      <c r="K257" s="2" t="str">
        <f t="shared" si="62"/>
        <v/>
      </c>
      <c r="L257" s="2">
        <f t="shared" si="63"/>
        <v>4</v>
      </c>
      <c r="M257" s="2" t="str">
        <f t="shared" si="64"/>
        <v/>
      </c>
      <c r="N257" s="2" t="str">
        <f t="shared" si="65"/>
        <v/>
      </c>
      <c r="O257" s="19">
        <f t="shared" si="66"/>
        <v>4</v>
      </c>
      <c r="Q257" s="2" t="str">
        <f t="shared" si="67"/>
        <v>10</v>
      </c>
      <c r="R257" s="21" t="str">
        <f t="shared" si="68"/>
        <v>1.5.10</v>
      </c>
      <c r="S257" s="2" t="str">
        <f t="shared" si="69"/>
        <v/>
      </c>
      <c r="T257" s="2" t="str">
        <f t="shared" si="71"/>
        <v/>
      </c>
      <c r="U257" s="19" t="str">
        <f t="shared" si="57"/>
        <v/>
      </c>
    </row>
    <row r="258" spans="1:21" x14ac:dyDescent="0.2">
      <c r="A258" s="2">
        <v>257</v>
      </c>
      <c r="B258" s="21" t="str">
        <f t="shared" si="70"/>
        <v>1.5.10a</v>
      </c>
      <c r="C258" s="2">
        <v>1</v>
      </c>
      <c r="D258" s="2">
        <v>5</v>
      </c>
      <c r="E258" s="2">
        <v>10</v>
      </c>
      <c r="F258" s="2" t="s">
        <v>90</v>
      </c>
      <c r="G258" s="2" t="s">
        <v>347</v>
      </c>
      <c r="H258" s="2">
        <v>5</v>
      </c>
      <c r="I258" s="19" t="str">
        <f t="shared" si="60"/>
        <v/>
      </c>
      <c r="J258" s="2" t="str">
        <f t="shared" si="61"/>
        <v/>
      </c>
      <c r="K258" s="2" t="str">
        <f t="shared" si="62"/>
        <v/>
      </c>
      <c r="L258" s="2" t="str">
        <f t="shared" si="63"/>
        <v/>
      </c>
      <c r="M258" s="2" t="str">
        <f t="shared" si="64"/>
        <v/>
      </c>
      <c r="N258" s="2">
        <f t="shared" si="65"/>
        <v>6</v>
      </c>
      <c r="O258" s="19">
        <f t="shared" si="66"/>
        <v>6</v>
      </c>
      <c r="Q258" s="2" t="str">
        <f t="shared" si="67"/>
        <v>10</v>
      </c>
      <c r="R258" s="21" t="str">
        <f t="shared" si="68"/>
        <v>1.5.10a</v>
      </c>
      <c r="S258" s="2" t="str">
        <f t="shared" si="69"/>
        <v/>
      </c>
      <c r="T258" s="2" t="str">
        <f t="shared" si="71"/>
        <v/>
      </c>
      <c r="U258" s="19" t="str">
        <f t="shared" si="57"/>
        <v/>
      </c>
    </row>
    <row r="259" spans="1:21" x14ac:dyDescent="0.2">
      <c r="A259" s="2">
        <v>258</v>
      </c>
      <c r="B259" s="21" t="str">
        <f t="shared" si="70"/>
        <v>1.5.10b</v>
      </c>
      <c r="C259" s="2">
        <v>1</v>
      </c>
      <c r="D259" s="2">
        <v>5</v>
      </c>
      <c r="E259" s="2">
        <v>10</v>
      </c>
      <c r="F259" s="2" t="s">
        <v>92</v>
      </c>
      <c r="G259" s="2" t="s">
        <v>348</v>
      </c>
      <c r="H259" s="2">
        <v>5</v>
      </c>
      <c r="I259" s="19" t="str">
        <f t="shared" si="60"/>
        <v/>
      </c>
      <c r="J259" s="2" t="str">
        <f t="shared" si="61"/>
        <v/>
      </c>
      <c r="K259" s="2" t="str">
        <f t="shared" si="62"/>
        <v/>
      </c>
      <c r="L259" s="2" t="str">
        <f t="shared" si="63"/>
        <v/>
      </c>
      <c r="M259" s="2" t="str">
        <f t="shared" si="64"/>
        <v/>
      </c>
      <c r="N259" s="2">
        <f t="shared" si="65"/>
        <v>6</v>
      </c>
      <c r="O259" s="19">
        <f t="shared" si="66"/>
        <v>6</v>
      </c>
      <c r="Q259" s="2" t="str">
        <f t="shared" si="67"/>
        <v>10</v>
      </c>
      <c r="R259" s="21" t="str">
        <f t="shared" si="68"/>
        <v>1.5.10b</v>
      </c>
      <c r="S259" s="2" t="str">
        <f t="shared" si="69"/>
        <v/>
      </c>
      <c r="T259" s="2" t="str">
        <f t="shared" si="71"/>
        <v/>
      </c>
      <c r="U259" s="19" t="str">
        <f t="shared" ref="U259:U322" si="72">IF(O259&lt;4,IF(LEN(H259)=0,"",1),IF(O259=4,IF(H259="N/A","",1),IF(AND(O259&gt;4,O259&lt;7),IF(AND(H259&gt;0,H259&lt;6),"",1),1)))</f>
        <v/>
      </c>
    </row>
    <row r="260" spans="1:21" x14ac:dyDescent="0.2">
      <c r="A260" s="2">
        <v>259</v>
      </c>
      <c r="B260" s="21" t="str">
        <f t="shared" si="70"/>
        <v>1.5.11</v>
      </c>
      <c r="C260" s="2">
        <v>1</v>
      </c>
      <c r="D260" s="2">
        <v>5</v>
      </c>
      <c r="E260" s="2">
        <v>11</v>
      </c>
      <c r="F260" s="2" t="s">
        <v>84</v>
      </c>
      <c r="G260" s="2" t="s">
        <v>349</v>
      </c>
      <c r="H260" s="2">
        <v>5</v>
      </c>
      <c r="I260" s="19" t="str">
        <f t="shared" si="60"/>
        <v/>
      </c>
      <c r="J260" s="2" t="str">
        <f t="shared" si="61"/>
        <v/>
      </c>
      <c r="K260" s="2" t="str">
        <f t="shared" si="62"/>
        <v/>
      </c>
      <c r="L260" s="2" t="str">
        <f t="shared" si="63"/>
        <v/>
      </c>
      <c r="M260" s="2">
        <f t="shared" si="64"/>
        <v>5</v>
      </c>
      <c r="N260" s="2" t="str">
        <f t="shared" si="65"/>
        <v/>
      </c>
      <c r="O260" s="19">
        <f t="shared" si="66"/>
        <v>5</v>
      </c>
      <c r="Q260" s="2" t="str">
        <f t="shared" si="67"/>
        <v>11</v>
      </c>
      <c r="R260" s="21" t="str">
        <f t="shared" si="68"/>
        <v>1.5.11</v>
      </c>
      <c r="S260" s="2" t="str">
        <f t="shared" si="69"/>
        <v/>
      </c>
      <c r="T260" s="2" t="str">
        <f t="shared" si="71"/>
        <v/>
      </c>
      <c r="U260" s="19" t="str">
        <f t="shared" si="72"/>
        <v/>
      </c>
    </row>
    <row r="261" spans="1:21" x14ac:dyDescent="0.2">
      <c r="A261" s="2">
        <v>260</v>
      </c>
      <c r="B261" s="21" t="str">
        <f t="shared" si="70"/>
        <v>1.5.12</v>
      </c>
      <c r="C261" s="2">
        <v>1</v>
      </c>
      <c r="D261" s="2">
        <v>5</v>
      </c>
      <c r="E261" s="2">
        <v>12</v>
      </c>
      <c r="F261" s="2" t="s">
        <v>84</v>
      </c>
      <c r="G261" s="2" t="s">
        <v>350</v>
      </c>
      <c r="H261" s="2">
        <v>4</v>
      </c>
      <c r="I261" s="19" t="str">
        <f t="shared" si="60"/>
        <v/>
      </c>
      <c r="J261" s="2" t="str">
        <f t="shared" si="61"/>
        <v/>
      </c>
      <c r="K261" s="2" t="str">
        <f t="shared" si="62"/>
        <v/>
      </c>
      <c r="L261" s="2" t="str">
        <f t="shared" si="63"/>
        <v/>
      </c>
      <c r="M261" s="2">
        <f t="shared" si="64"/>
        <v>5</v>
      </c>
      <c r="N261" s="2" t="str">
        <f t="shared" si="65"/>
        <v/>
      </c>
      <c r="O261" s="19">
        <f t="shared" si="66"/>
        <v>5</v>
      </c>
      <c r="Q261" s="2" t="str">
        <f t="shared" si="67"/>
        <v>12</v>
      </c>
      <c r="R261" s="21" t="str">
        <f t="shared" si="68"/>
        <v>1.5.12</v>
      </c>
      <c r="S261" s="2" t="str">
        <f t="shared" si="69"/>
        <v/>
      </c>
      <c r="T261" s="2" t="str">
        <f t="shared" si="71"/>
        <v/>
      </c>
      <c r="U261" s="19" t="str">
        <f t="shared" si="72"/>
        <v/>
      </c>
    </row>
    <row r="262" spans="1:21" x14ac:dyDescent="0.2">
      <c r="A262" s="2">
        <v>261</v>
      </c>
      <c r="B262" s="21">
        <f t="shared" si="70"/>
        <v>2</v>
      </c>
      <c r="C262" s="2">
        <v>2</v>
      </c>
      <c r="D262" s="2" t="s">
        <v>84</v>
      </c>
      <c r="E262" s="2" t="s">
        <v>84</v>
      </c>
      <c r="F262" s="2" t="s">
        <v>84</v>
      </c>
      <c r="G262" s="2" t="s">
        <v>351</v>
      </c>
      <c r="H262" s="2" t="s">
        <v>84</v>
      </c>
      <c r="I262" s="19">
        <f t="shared" si="60"/>
        <v>1</v>
      </c>
      <c r="J262" s="2" t="str">
        <f t="shared" si="61"/>
        <v/>
      </c>
      <c r="K262" s="2" t="str">
        <f t="shared" si="62"/>
        <v/>
      </c>
      <c r="L262" s="2" t="str">
        <f t="shared" si="63"/>
        <v/>
      </c>
      <c r="M262" s="2" t="str">
        <f t="shared" si="64"/>
        <v/>
      </c>
      <c r="N262" s="2" t="str">
        <f t="shared" si="65"/>
        <v/>
      </c>
      <c r="O262" s="19">
        <f t="shared" si="66"/>
        <v>1</v>
      </c>
      <c r="Q262" s="2" t="str">
        <f t="shared" si="67"/>
        <v/>
      </c>
      <c r="R262" s="21">
        <f t="shared" si="68"/>
        <v>2</v>
      </c>
      <c r="S262" s="2" t="str">
        <f t="shared" si="69"/>
        <v/>
      </c>
      <c r="T262" s="2">
        <f t="shared" si="71"/>
        <v>1</v>
      </c>
      <c r="U262" s="19" t="str">
        <f t="shared" si="72"/>
        <v/>
      </c>
    </row>
    <row r="263" spans="1:21" x14ac:dyDescent="0.2">
      <c r="A263" s="2">
        <v>262</v>
      </c>
      <c r="B263" s="21" t="str">
        <f t="shared" si="70"/>
        <v>2.1</v>
      </c>
      <c r="C263" s="2">
        <v>2</v>
      </c>
      <c r="D263" s="2">
        <v>1</v>
      </c>
      <c r="E263" s="2" t="s">
        <v>84</v>
      </c>
      <c r="F263" s="2" t="s">
        <v>84</v>
      </c>
      <c r="G263" s="2" t="s">
        <v>352</v>
      </c>
      <c r="H263" s="2" t="s">
        <v>84</v>
      </c>
      <c r="I263" s="19" t="str">
        <f t="shared" si="60"/>
        <v/>
      </c>
      <c r="J263" s="2">
        <f t="shared" si="61"/>
        <v>2</v>
      </c>
      <c r="K263" s="2" t="str">
        <f t="shared" si="62"/>
        <v/>
      </c>
      <c r="L263" s="2" t="str">
        <f t="shared" si="63"/>
        <v/>
      </c>
      <c r="M263" s="2" t="str">
        <f t="shared" si="64"/>
        <v/>
      </c>
      <c r="N263" s="2" t="str">
        <f t="shared" si="65"/>
        <v/>
      </c>
      <c r="O263" s="19">
        <f t="shared" si="66"/>
        <v>2</v>
      </c>
      <c r="Q263" s="2" t="str">
        <f t="shared" si="67"/>
        <v/>
      </c>
      <c r="R263" s="21" t="str">
        <f t="shared" si="68"/>
        <v>2.1</v>
      </c>
      <c r="S263" s="2" t="str">
        <f t="shared" si="69"/>
        <v/>
      </c>
      <c r="T263" s="2" t="str">
        <f t="shared" si="71"/>
        <v/>
      </c>
      <c r="U263" s="19" t="str">
        <f t="shared" si="72"/>
        <v/>
      </c>
    </row>
    <row r="264" spans="1:21" x14ac:dyDescent="0.2">
      <c r="A264" s="2">
        <v>263</v>
      </c>
      <c r="B264" s="21" t="str">
        <f t="shared" si="70"/>
        <v>2.1.01</v>
      </c>
      <c r="C264" s="2">
        <v>2</v>
      </c>
      <c r="D264" s="2">
        <v>1</v>
      </c>
      <c r="E264" s="2">
        <v>1</v>
      </c>
      <c r="F264" s="2" t="s">
        <v>84</v>
      </c>
      <c r="G264" s="2" t="s">
        <v>353</v>
      </c>
      <c r="H264" s="2">
        <v>1</v>
      </c>
      <c r="I264" s="19" t="str">
        <f t="shared" si="60"/>
        <v/>
      </c>
      <c r="J264" s="2" t="str">
        <f t="shared" si="61"/>
        <v/>
      </c>
      <c r="K264" s="2" t="str">
        <f t="shared" si="62"/>
        <v/>
      </c>
      <c r="L264" s="2" t="str">
        <f t="shared" si="63"/>
        <v/>
      </c>
      <c r="M264" s="2">
        <f t="shared" si="64"/>
        <v>5</v>
      </c>
      <c r="N264" s="2" t="str">
        <f t="shared" si="65"/>
        <v/>
      </c>
      <c r="O264" s="19">
        <f t="shared" si="66"/>
        <v>5</v>
      </c>
      <c r="Q264" s="2" t="str">
        <f t="shared" si="67"/>
        <v>01</v>
      </c>
      <c r="R264" s="21" t="str">
        <f t="shared" si="68"/>
        <v>2.1.01</v>
      </c>
      <c r="S264" s="2" t="str">
        <f t="shared" si="69"/>
        <v/>
      </c>
      <c r="T264" s="2" t="str">
        <f t="shared" si="71"/>
        <v/>
      </c>
      <c r="U264" s="19" t="str">
        <f t="shared" si="72"/>
        <v/>
      </c>
    </row>
    <row r="265" spans="1:21" x14ac:dyDescent="0.2">
      <c r="A265" s="2">
        <v>264</v>
      </c>
      <c r="B265" s="21" t="str">
        <f t="shared" si="70"/>
        <v>2.1.02</v>
      </c>
      <c r="C265" s="2">
        <v>2</v>
      </c>
      <c r="D265" s="2">
        <v>1</v>
      </c>
      <c r="E265" s="2">
        <v>2</v>
      </c>
      <c r="F265" s="2" t="s">
        <v>84</v>
      </c>
      <c r="G265" s="2" t="s">
        <v>354</v>
      </c>
      <c r="H265" s="2" t="s">
        <v>89</v>
      </c>
      <c r="I265" s="19" t="str">
        <f t="shared" si="60"/>
        <v/>
      </c>
      <c r="J265" s="2" t="str">
        <f t="shared" si="61"/>
        <v/>
      </c>
      <c r="K265" s="2" t="str">
        <f t="shared" si="62"/>
        <v/>
      </c>
      <c r="L265" s="2">
        <f t="shared" si="63"/>
        <v>4</v>
      </c>
      <c r="M265" s="2" t="str">
        <f t="shared" si="64"/>
        <v/>
      </c>
      <c r="N265" s="2" t="str">
        <f t="shared" si="65"/>
        <v/>
      </c>
      <c r="O265" s="19">
        <f t="shared" si="66"/>
        <v>4</v>
      </c>
      <c r="Q265" s="2" t="str">
        <f t="shared" si="67"/>
        <v>02</v>
      </c>
      <c r="R265" s="21" t="str">
        <f t="shared" si="68"/>
        <v>2.1.02</v>
      </c>
      <c r="S265" s="2" t="str">
        <f t="shared" si="69"/>
        <v/>
      </c>
      <c r="T265" s="2" t="str">
        <f t="shared" si="71"/>
        <v/>
      </c>
      <c r="U265" s="19" t="str">
        <f t="shared" si="72"/>
        <v/>
      </c>
    </row>
    <row r="266" spans="1:21" x14ac:dyDescent="0.2">
      <c r="A266" s="2">
        <v>265</v>
      </c>
      <c r="B266" s="21" t="str">
        <f t="shared" si="70"/>
        <v>2.1.02a</v>
      </c>
      <c r="C266" s="2">
        <v>2</v>
      </c>
      <c r="D266" s="2">
        <v>1</v>
      </c>
      <c r="E266" s="2">
        <v>2</v>
      </c>
      <c r="F266" s="2" t="s">
        <v>90</v>
      </c>
      <c r="G266" s="2" t="s">
        <v>355</v>
      </c>
      <c r="H266" s="2">
        <v>1</v>
      </c>
      <c r="I266" s="19" t="str">
        <f t="shared" si="60"/>
        <v/>
      </c>
      <c r="J266" s="2" t="str">
        <f t="shared" si="61"/>
        <v/>
      </c>
      <c r="K266" s="2" t="str">
        <f t="shared" si="62"/>
        <v/>
      </c>
      <c r="L266" s="2" t="str">
        <f t="shared" si="63"/>
        <v/>
      </c>
      <c r="M266" s="2" t="str">
        <f t="shared" si="64"/>
        <v/>
      </c>
      <c r="N266" s="2">
        <f t="shared" si="65"/>
        <v>6</v>
      </c>
      <c r="O266" s="19">
        <f t="shared" si="66"/>
        <v>6</v>
      </c>
      <c r="Q266" s="2" t="str">
        <f t="shared" si="67"/>
        <v>02</v>
      </c>
      <c r="R266" s="21" t="str">
        <f t="shared" si="68"/>
        <v>2.1.02a</v>
      </c>
      <c r="S266" s="2" t="str">
        <f t="shared" si="69"/>
        <v/>
      </c>
      <c r="T266" s="2" t="str">
        <f t="shared" si="71"/>
        <v/>
      </c>
      <c r="U266" s="19" t="str">
        <f t="shared" si="72"/>
        <v/>
      </c>
    </row>
    <row r="267" spans="1:21" x14ac:dyDescent="0.2">
      <c r="A267" s="2">
        <v>266</v>
      </c>
      <c r="B267" s="21" t="str">
        <f t="shared" si="70"/>
        <v>2.1.02b</v>
      </c>
      <c r="C267" s="2">
        <v>2</v>
      </c>
      <c r="D267" s="2">
        <v>1</v>
      </c>
      <c r="E267" s="2">
        <v>2</v>
      </c>
      <c r="F267" s="2" t="s">
        <v>92</v>
      </c>
      <c r="G267" s="2" t="s">
        <v>356</v>
      </c>
      <c r="H267" s="2">
        <v>2</v>
      </c>
      <c r="I267" s="19" t="str">
        <f t="shared" si="60"/>
        <v/>
      </c>
      <c r="J267" s="2" t="str">
        <f t="shared" si="61"/>
        <v/>
      </c>
      <c r="K267" s="2" t="str">
        <f t="shared" si="62"/>
        <v/>
      </c>
      <c r="L267" s="2" t="str">
        <f t="shared" si="63"/>
        <v/>
      </c>
      <c r="M267" s="2" t="str">
        <f t="shared" si="64"/>
        <v/>
      </c>
      <c r="N267" s="2">
        <f t="shared" si="65"/>
        <v>6</v>
      </c>
      <c r="O267" s="19">
        <f t="shared" si="66"/>
        <v>6</v>
      </c>
      <c r="Q267" s="2" t="str">
        <f t="shared" si="67"/>
        <v>02</v>
      </c>
      <c r="R267" s="21" t="str">
        <f t="shared" si="68"/>
        <v>2.1.02b</v>
      </c>
      <c r="S267" s="2" t="str">
        <f t="shared" si="69"/>
        <v/>
      </c>
      <c r="T267" s="2" t="str">
        <f t="shared" si="71"/>
        <v/>
      </c>
      <c r="U267" s="19" t="str">
        <f t="shared" si="72"/>
        <v/>
      </c>
    </row>
    <row r="268" spans="1:21" x14ac:dyDescent="0.2">
      <c r="A268" s="2">
        <v>267</v>
      </c>
      <c r="B268" s="21" t="str">
        <f t="shared" si="70"/>
        <v>2.1.02c</v>
      </c>
      <c r="C268" s="2">
        <v>2</v>
      </c>
      <c r="D268" s="2">
        <v>1</v>
      </c>
      <c r="E268" s="2">
        <v>2</v>
      </c>
      <c r="F268" s="2" t="s">
        <v>94</v>
      </c>
      <c r="G268" s="2" t="s">
        <v>357</v>
      </c>
      <c r="H268" s="2">
        <v>2</v>
      </c>
      <c r="I268" s="19" t="str">
        <f t="shared" si="60"/>
        <v/>
      </c>
      <c r="J268" s="2" t="str">
        <f t="shared" si="61"/>
        <v/>
      </c>
      <c r="K268" s="2" t="str">
        <f t="shared" si="62"/>
        <v/>
      </c>
      <c r="L268" s="2" t="str">
        <f t="shared" si="63"/>
        <v/>
      </c>
      <c r="M268" s="2" t="str">
        <f t="shared" si="64"/>
        <v/>
      </c>
      <c r="N268" s="2">
        <f t="shared" si="65"/>
        <v>6</v>
      </c>
      <c r="O268" s="19">
        <f t="shared" si="66"/>
        <v>6</v>
      </c>
      <c r="Q268" s="2" t="str">
        <f t="shared" si="67"/>
        <v>02</v>
      </c>
      <c r="R268" s="21" t="str">
        <f t="shared" si="68"/>
        <v>2.1.02c</v>
      </c>
      <c r="S268" s="2" t="str">
        <f t="shared" si="69"/>
        <v/>
      </c>
      <c r="T268" s="2" t="str">
        <f t="shared" si="71"/>
        <v/>
      </c>
      <c r="U268" s="19" t="str">
        <f t="shared" si="72"/>
        <v/>
      </c>
    </row>
    <row r="269" spans="1:21" x14ac:dyDescent="0.2">
      <c r="A269" s="2">
        <v>268</v>
      </c>
      <c r="B269" s="21" t="str">
        <f t="shared" si="70"/>
        <v>2.1.03</v>
      </c>
      <c r="C269" s="2">
        <v>2</v>
      </c>
      <c r="D269" s="2">
        <v>1</v>
      </c>
      <c r="E269" s="2">
        <v>3</v>
      </c>
      <c r="F269" s="2" t="s">
        <v>84</v>
      </c>
      <c r="G269" s="2" t="s">
        <v>358</v>
      </c>
      <c r="H269" s="2">
        <v>2</v>
      </c>
      <c r="I269" s="19" t="str">
        <f t="shared" si="60"/>
        <v/>
      </c>
      <c r="J269" s="2" t="str">
        <f t="shared" si="61"/>
        <v/>
      </c>
      <c r="K269" s="2" t="str">
        <f t="shared" si="62"/>
        <v/>
      </c>
      <c r="L269" s="2" t="str">
        <f t="shared" si="63"/>
        <v/>
      </c>
      <c r="M269" s="2">
        <f t="shared" si="64"/>
        <v>5</v>
      </c>
      <c r="N269" s="2" t="str">
        <f t="shared" si="65"/>
        <v/>
      </c>
      <c r="O269" s="19">
        <f t="shared" si="66"/>
        <v>5</v>
      </c>
      <c r="Q269" s="2" t="str">
        <f t="shared" si="67"/>
        <v>03</v>
      </c>
      <c r="R269" s="21" t="str">
        <f t="shared" si="68"/>
        <v>2.1.03</v>
      </c>
      <c r="S269" s="2" t="str">
        <f t="shared" si="69"/>
        <v/>
      </c>
      <c r="T269" s="2" t="str">
        <f t="shared" si="71"/>
        <v/>
      </c>
      <c r="U269" s="19" t="str">
        <f t="shared" si="72"/>
        <v/>
      </c>
    </row>
    <row r="270" spans="1:21" x14ac:dyDescent="0.2">
      <c r="A270" s="2">
        <v>269</v>
      </c>
      <c r="B270" s="21" t="str">
        <f t="shared" si="70"/>
        <v>2.1.04</v>
      </c>
      <c r="C270" s="2">
        <v>2</v>
      </c>
      <c r="D270" s="2">
        <v>1</v>
      </c>
      <c r="E270" s="2">
        <v>4</v>
      </c>
      <c r="F270" s="2" t="s">
        <v>84</v>
      </c>
      <c r="G270" s="2" t="s">
        <v>359</v>
      </c>
      <c r="H270" s="2" t="s">
        <v>89</v>
      </c>
      <c r="I270" s="19" t="str">
        <f t="shared" si="60"/>
        <v/>
      </c>
      <c r="J270" s="2" t="str">
        <f t="shared" si="61"/>
        <v/>
      </c>
      <c r="K270" s="2" t="str">
        <f t="shared" si="62"/>
        <v/>
      </c>
      <c r="L270" s="2">
        <f t="shared" si="63"/>
        <v>4</v>
      </c>
      <c r="M270" s="2" t="str">
        <f t="shared" si="64"/>
        <v/>
      </c>
      <c r="N270" s="2" t="str">
        <f t="shared" si="65"/>
        <v/>
      </c>
      <c r="O270" s="19">
        <f t="shared" si="66"/>
        <v>4</v>
      </c>
      <c r="Q270" s="2" t="str">
        <f t="shared" si="67"/>
        <v>04</v>
      </c>
      <c r="R270" s="21" t="str">
        <f t="shared" si="68"/>
        <v>2.1.04</v>
      </c>
      <c r="S270" s="2" t="str">
        <f t="shared" si="69"/>
        <v/>
      </c>
      <c r="T270" s="2" t="str">
        <f t="shared" si="71"/>
        <v/>
      </c>
      <c r="U270" s="19" t="str">
        <f t="shared" si="72"/>
        <v/>
      </c>
    </row>
    <row r="271" spans="1:21" x14ac:dyDescent="0.2">
      <c r="A271" s="2">
        <v>270</v>
      </c>
      <c r="B271" s="21" t="str">
        <f t="shared" si="70"/>
        <v>2.1.04a</v>
      </c>
      <c r="C271" s="2">
        <v>2</v>
      </c>
      <c r="D271" s="2">
        <v>1</v>
      </c>
      <c r="E271" s="2">
        <v>4</v>
      </c>
      <c r="F271" s="2" t="s">
        <v>90</v>
      </c>
      <c r="G271" s="2" t="s">
        <v>360</v>
      </c>
      <c r="H271" s="2">
        <v>4</v>
      </c>
      <c r="I271" s="19" t="str">
        <f t="shared" si="60"/>
        <v/>
      </c>
      <c r="J271" s="2" t="str">
        <f t="shared" si="61"/>
        <v/>
      </c>
      <c r="K271" s="2" t="str">
        <f t="shared" si="62"/>
        <v/>
      </c>
      <c r="L271" s="2" t="str">
        <f t="shared" si="63"/>
        <v/>
      </c>
      <c r="M271" s="2" t="str">
        <f t="shared" si="64"/>
        <v/>
      </c>
      <c r="N271" s="2">
        <f t="shared" si="65"/>
        <v>6</v>
      </c>
      <c r="O271" s="19">
        <f t="shared" si="66"/>
        <v>6</v>
      </c>
      <c r="Q271" s="2" t="str">
        <f t="shared" si="67"/>
        <v>04</v>
      </c>
      <c r="R271" s="21" t="str">
        <f t="shared" si="68"/>
        <v>2.1.04a</v>
      </c>
      <c r="S271" s="2" t="str">
        <f t="shared" si="69"/>
        <v/>
      </c>
      <c r="T271" s="2" t="str">
        <f t="shared" si="71"/>
        <v/>
      </c>
      <c r="U271" s="19" t="str">
        <f t="shared" si="72"/>
        <v/>
      </c>
    </row>
    <row r="272" spans="1:21" x14ac:dyDescent="0.2">
      <c r="A272" s="2">
        <v>271</v>
      </c>
      <c r="B272" s="21" t="str">
        <f t="shared" si="70"/>
        <v>2.1.04b</v>
      </c>
      <c r="C272" s="2">
        <v>2</v>
      </c>
      <c r="D272" s="2">
        <v>1</v>
      </c>
      <c r="E272" s="2">
        <v>4</v>
      </c>
      <c r="F272" s="2" t="s">
        <v>92</v>
      </c>
      <c r="G272" s="2" t="s">
        <v>361</v>
      </c>
      <c r="H272" s="2">
        <v>4</v>
      </c>
      <c r="I272" s="19" t="str">
        <f t="shared" si="60"/>
        <v/>
      </c>
      <c r="J272" s="2" t="str">
        <f t="shared" si="61"/>
        <v/>
      </c>
      <c r="K272" s="2" t="str">
        <f t="shared" si="62"/>
        <v/>
      </c>
      <c r="L272" s="2" t="str">
        <f t="shared" si="63"/>
        <v/>
      </c>
      <c r="M272" s="2" t="str">
        <f t="shared" si="64"/>
        <v/>
      </c>
      <c r="N272" s="2">
        <f t="shared" si="65"/>
        <v>6</v>
      </c>
      <c r="O272" s="19">
        <f t="shared" si="66"/>
        <v>6</v>
      </c>
      <c r="Q272" s="2" t="str">
        <f t="shared" si="67"/>
        <v>04</v>
      </c>
      <c r="R272" s="21" t="str">
        <f t="shared" si="68"/>
        <v>2.1.04b</v>
      </c>
      <c r="S272" s="2" t="str">
        <f t="shared" si="69"/>
        <v/>
      </c>
      <c r="T272" s="2" t="str">
        <f t="shared" si="71"/>
        <v/>
      </c>
      <c r="U272" s="19" t="str">
        <f t="shared" si="72"/>
        <v/>
      </c>
    </row>
    <row r="273" spans="1:21" x14ac:dyDescent="0.2">
      <c r="A273" s="2">
        <v>272</v>
      </c>
      <c r="B273" s="21" t="str">
        <f t="shared" si="70"/>
        <v>2.1.05</v>
      </c>
      <c r="C273" s="2">
        <v>2</v>
      </c>
      <c r="D273" s="2">
        <v>1</v>
      </c>
      <c r="E273" s="2">
        <v>5</v>
      </c>
      <c r="F273" s="2" t="s">
        <v>84</v>
      </c>
      <c r="G273" s="2" t="s">
        <v>362</v>
      </c>
      <c r="H273" s="2" t="s">
        <v>89</v>
      </c>
      <c r="I273" s="19" t="str">
        <f t="shared" si="60"/>
        <v/>
      </c>
      <c r="J273" s="2" t="str">
        <f t="shared" si="61"/>
        <v/>
      </c>
      <c r="K273" s="2" t="str">
        <f t="shared" si="62"/>
        <v/>
      </c>
      <c r="L273" s="2">
        <f t="shared" si="63"/>
        <v>4</v>
      </c>
      <c r="M273" s="2" t="str">
        <f t="shared" si="64"/>
        <v/>
      </c>
      <c r="N273" s="2" t="str">
        <f t="shared" si="65"/>
        <v/>
      </c>
      <c r="O273" s="19">
        <f t="shared" si="66"/>
        <v>4</v>
      </c>
      <c r="Q273" s="2" t="str">
        <f t="shared" si="67"/>
        <v>05</v>
      </c>
      <c r="R273" s="21" t="str">
        <f t="shared" si="68"/>
        <v>2.1.05</v>
      </c>
      <c r="S273" s="2" t="str">
        <f t="shared" si="69"/>
        <v/>
      </c>
      <c r="T273" s="2" t="str">
        <f t="shared" si="71"/>
        <v/>
      </c>
      <c r="U273" s="19" t="str">
        <f t="shared" si="72"/>
        <v/>
      </c>
    </row>
    <row r="274" spans="1:21" x14ac:dyDescent="0.2">
      <c r="A274" s="2">
        <v>273</v>
      </c>
      <c r="B274" s="21" t="str">
        <f t="shared" si="70"/>
        <v>2.1.05a</v>
      </c>
      <c r="C274" s="2">
        <v>2</v>
      </c>
      <c r="D274" s="2">
        <v>1</v>
      </c>
      <c r="E274" s="2">
        <v>5</v>
      </c>
      <c r="F274" s="2" t="s">
        <v>90</v>
      </c>
      <c r="G274" s="2" t="s">
        <v>363</v>
      </c>
      <c r="H274" s="2">
        <v>3</v>
      </c>
      <c r="I274" s="19" t="str">
        <f t="shared" si="60"/>
        <v/>
      </c>
      <c r="J274" s="2" t="str">
        <f t="shared" si="61"/>
        <v/>
      </c>
      <c r="K274" s="2" t="str">
        <f t="shared" si="62"/>
        <v/>
      </c>
      <c r="L274" s="2" t="str">
        <f t="shared" si="63"/>
        <v/>
      </c>
      <c r="M274" s="2" t="str">
        <f t="shared" si="64"/>
        <v/>
      </c>
      <c r="N274" s="2">
        <f t="shared" si="65"/>
        <v>6</v>
      </c>
      <c r="O274" s="19">
        <f t="shared" si="66"/>
        <v>6</v>
      </c>
      <c r="Q274" s="2" t="str">
        <f t="shared" si="67"/>
        <v>05</v>
      </c>
      <c r="R274" s="21" t="str">
        <f t="shared" si="68"/>
        <v>2.1.05a</v>
      </c>
      <c r="S274" s="2" t="str">
        <f t="shared" si="69"/>
        <v/>
      </c>
      <c r="T274" s="2" t="str">
        <f t="shared" si="71"/>
        <v/>
      </c>
      <c r="U274" s="19" t="str">
        <f t="shared" si="72"/>
        <v/>
      </c>
    </row>
    <row r="275" spans="1:21" x14ac:dyDescent="0.2">
      <c r="A275" s="2">
        <v>274</v>
      </c>
      <c r="B275" s="21" t="str">
        <f t="shared" si="70"/>
        <v>2.1.05b</v>
      </c>
      <c r="C275" s="2">
        <v>2</v>
      </c>
      <c r="D275" s="2">
        <v>1</v>
      </c>
      <c r="E275" s="2">
        <v>5</v>
      </c>
      <c r="F275" s="2" t="s">
        <v>92</v>
      </c>
      <c r="G275" s="2" t="s">
        <v>364</v>
      </c>
      <c r="H275" s="2">
        <v>4</v>
      </c>
      <c r="I275" s="19" t="str">
        <f t="shared" si="60"/>
        <v/>
      </c>
      <c r="J275" s="2" t="str">
        <f t="shared" si="61"/>
        <v/>
      </c>
      <c r="K275" s="2" t="str">
        <f t="shared" si="62"/>
        <v/>
      </c>
      <c r="L275" s="2" t="str">
        <f t="shared" si="63"/>
        <v/>
      </c>
      <c r="M275" s="2" t="str">
        <f t="shared" si="64"/>
        <v/>
      </c>
      <c r="N275" s="2">
        <f t="shared" si="65"/>
        <v>6</v>
      </c>
      <c r="O275" s="19">
        <f t="shared" si="66"/>
        <v>6</v>
      </c>
      <c r="Q275" s="2" t="str">
        <f t="shared" si="67"/>
        <v>05</v>
      </c>
      <c r="R275" s="21" t="str">
        <f t="shared" si="68"/>
        <v>2.1.05b</v>
      </c>
      <c r="S275" s="2" t="str">
        <f t="shared" si="69"/>
        <v/>
      </c>
      <c r="T275" s="2" t="str">
        <f t="shared" si="71"/>
        <v/>
      </c>
      <c r="U275" s="19" t="str">
        <f t="shared" si="72"/>
        <v/>
      </c>
    </row>
    <row r="276" spans="1:21" x14ac:dyDescent="0.2">
      <c r="A276" s="2">
        <v>275</v>
      </c>
      <c r="B276" s="21" t="str">
        <f t="shared" si="70"/>
        <v>2.1.05c</v>
      </c>
      <c r="C276" s="2">
        <v>2</v>
      </c>
      <c r="D276" s="2">
        <v>1</v>
      </c>
      <c r="E276" s="2">
        <v>5</v>
      </c>
      <c r="F276" s="2" t="s">
        <v>94</v>
      </c>
      <c r="G276" s="2" t="s">
        <v>365</v>
      </c>
      <c r="H276" s="2">
        <v>5</v>
      </c>
      <c r="I276" s="19" t="str">
        <f t="shared" si="60"/>
        <v/>
      </c>
      <c r="J276" s="2" t="str">
        <f t="shared" si="61"/>
        <v/>
      </c>
      <c r="K276" s="2" t="str">
        <f t="shared" si="62"/>
        <v/>
      </c>
      <c r="L276" s="2" t="str">
        <f t="shared" si="63"/>
        <v/>
      </c>
      <c r="M276" s="2" t="str">
        <f t="shared" si="64"/>
        <v/>
      </c>
      <c r="N276" s="2">
        <f t="shared" si="65"/>
        <v>6</v>
      </c>
      <c r="O276" s="19">
        <f t="shared" si="66"/>
        <v>6</v>
      </c>
      <c r="Q276" s="2" t="str">
        <f t="shared" si="67"/>
        <v>05</v>
      </c>
      <c r="R276" s="21" t="str">
        <f t="shared" si="68"/>
        <v>2.1.05c</v>
      </c>
      <c r="S276" s="2" t="str">
        <f t="shared" si="69"/>
        <v/>
      </c>
      <c r="T276" s="2" t="str">
        <f t="shared" si="71"/>
        <v/>
      </c>
      <c r="U276" s="19" t="str">
        <f t="shared" si="72"/>
        <v/>
      </c>
    </row>
    <row r="277" spans="1:21" x14ac:dyDescent="0.2">
      <c r="A277" s="2">
        <v>276</v>
      </c>
      <c r="B277" s="21" t="str">
        <f t="shared" si="70"/>
        <v>2.1.05d</v>
      </c>
      <c r="C277" s="2">
        <v>2</v>
      </c>
      <c r="D277" s="2">
        <v>1</v>
      </c>
      <c r="E277" s="2">
        <v>5</v>
      </c>
      <c r="F277" s="2" t="s">
        <v>112</v>
      </c>
      <c r="G277" s="2" t="s">
        <v>366</v>
      </c>
      <c r="H277" s="2">
        <v>4</v>
      </c>
      <c r="I277" s="19" t="str">
        <f t="shared" si="60"/>
        <v/>
      </c>
      <c r="J277" s="2" t="str">
        <f t="shared" si="61"/>
        <v/>
      </c>
      <c r="K277" s="2" t="str">
        <f t="shared" si="62"/>
        <v/>
      </c>
      <c r="L277" s="2" t="str">
        <f t="shared" si="63"/>
        <v/>
      </c>
      <c r="M277" s="2" t="str">
        <f t="shared" si="64"/>
        <v/>
      </c>
      <c r="N277" s="2">
        <f t="shared" si="65"/>
        <v>6</v>
      </c>
      <c r="O277" s="19">
        <f t="shared" si="66"/>
        <v>6</v>
      </c>
      <c r="Q277" s="2" t="str">
        <f t="shared" si="67"/>
        <v>05</v>
      </c>
      <c r="R277" s="21" t="str">
        <f t="shared" si="68"/>
        <v>2.1.05d</v>
      </c>
      <c r="S277" s="2" t="str">
        <f t="shared" si="69"/>
        <v/>
      </c>
      <c r="T277" s="2" t="str">
        <f t="shared" si="71"/>
        <v/>
      </c>
      <c r="U277" s="19" t="str">
        <f t="shared" si="72"/>
        <v/>
      </c>
    </row>
    <row r="278" spans="1:21" x14ac:dyDescent="0.2">
      <c r="A278" s="2">
        <v>277</v>
      </c>
      <c r="B278" s="21" t="str">
        <f t="shared" si="70"/>
        <v>2.1.05e</v>
      </c>
      <c r="C278" s="2">
        <v>2</v>
      </c>
      <c r="D278" s="2">
        <v>1</v>
      </c>
      <c r="E278" s="2">
        <v>5</v>
      </c>
      <c r="F278" s="2" t="s">
        <v>114</v>
      </c>
      <c r="G278" s="2" t="s">
        <v>367</v>
      </c>
      <c r="H278" s="2">
        <v>3</v>
      </c>
      <c r="I278" s="19" t="str">
        <f t="shared" si="60"/>
        <v/>
      </c>
      <c r="J278" s="2" t="str">
        <f t="shared" si="61"/>
        <v/>
      </c>
      <c r="K278" s="2" t="str">
        <f t="shared" si="62"/>
        <v/>
      </c>
      <c r="L278" s="2" t="str">
        <f t="shared" si="63"/>
        <v/>
      </c>
      <c r="M278" s="2" t="str">
        <f t="shared" si="64"/>
        <v/>
      </c>
      <c r="N278" s="2">
        <f t="shared" si="65"/>
        <v>6</v>
      </c>
      <c r="O278" s="19">
        <f t="shared" si="66"/>
        <v>6</v>
      </c>
      <c r="Q278" s="2" t="str">
        <f t="shared" si="67"/>
        <v>05</v>
      </c>
      <c r="R278" s="21" t="str">
        <f t="shared" si="68"/>
        <v>2.1.05e</v>
      </c>
      <c r="S278" s="2" t="str">
        <f t="shared" si="69"/>
        <v/>
      </c>
      <c r="T278" s="2" t="str">
        <f t="shared" si="71"/>
        <v/>
      </c>
      <c r="U278" s="19" t="str">
        <f t="shared" si="72"/>
        <v/>
      </c>
    </row>
    <row r="279" spans="1:21" x14ac:dyDescent="0.2">
      <c r="A279" s="2">
        <v>278</v>
      </c>
      <c r="B279" s="21" t="str">
        <f t="shared" si="70"/>
        <v>2.1.05f</v>
      </c>
      <c r="C279" s="2">
        <v>2</v>
      </c>
      <c r="D279" s="2">
        <v>1</v>
      </c>
      <c r="E279" s="2">
        <v>5</v>
      </c>
      <c r="F279" s="2" t="s">
        <v>129</v>
      </c>
      <c r="G279" s="2" t="s">
        <v>368</v>
      </c>
      <c r="H279" s="2">
        <v>3</v>
      </c>
      <c r="I279" s="19" t="str">
        <f t="shared" si="60"/>
        <v/>
      </c>
      <c r="J279" s="2" t="str">
        <f t="shared" si="61"/>
        <v/>
      </c>
      <c r="K279" s="2" t="str">
        <f t="shared" si="62"/>
        <v/>
      </c>
      <c r="L279" s="2" t="str">
        <f t="shared" si="63"/>
        <v/>
      </c>
      <c r="M279" s="2" t="str">
        <f t="shared" si="64"/>
        <v/>
      </c>
      <c r="N279" s="2">
        <f t="shared" si="65"/>
        <v>6</v>
      </c>
      <c r="O279" s="19">
        <f t="shared" si="66"/>
        <v>6</v>
      </c>
      <c r="Q279" s="2" t="str">
        <f t="shared" si="67"/>
        <v>05</v>
      </c>
      <c r="R279" s="21" t="str">
        <f t="shared" si="68"/>
        <v>2.1.05f</v>
      </c>
      <c r="S279" s="2" t="str">
        <f t="shared" si="69"/>
        <v/>
      </c>
      <c r="T279" s="2" t="str">
        <f t="shared" si="71"/>
        <v/>
      </c>
      <c r="U279" s="19" t="str">
        <f t="shared" si="72"/>
        <v/>
      </c>
    </row>
    <row r="280" spans="1:21" x14ac:dyDescent="0.2">
      <c r="A280" s="2">
        <v>279</v>
      </c>
      <c r="B280" s="21" t="str">
        <f t="shared" si="70"/>
        <v>2.1.05g</v>
      </c>
      <c r="C280" s="2">
        <v>2</v>
      </c>
      <c r="D280" s="2">
        <v>1</v>
      </c>
      <c r="E280" s="2">
        <v>5</v>
      </c>
      <c r="F280" s="2" t="s">
        <v>206</v>
      </c>
      <c r="G280" s="2" t="s">
        <v>369</v>
      </c>
      <c r="H280" s="2">
        <v>3</v>
      </c>
      <c r="I280" s="19" t="str">
        <f t="shared" si="60"/>
        <v/>
      </c>
      <c r="J280" s="2" t="str">
        <f t="shared" si="61"/>
        <v/>
      </c>
      <c r="K280" s="2" t="str">
        <f t="shared" si="62"/>
        <v/>
      </c>
      <c r="L280" s="2" t="str">
        <f t="shared" si="63"/>
        <v/>
      </c>
      <c r="M280" s="2" t="str">
        <f t="shared" si="64"/>
        <v/>
      </c>
      <c r="N280" s="2">
        <f t="shared" si="65"/>
        <v>6</v>
      </c>
      <c r="O280" s="19">
        <f t="shared" si="66"/>
        <v>6</v>
      </c>
      <c r="Q280" s="2" t="str">
        <f t="shared" si="67"/>
        <v>05</v>
      </c>
      <c r="R280" s="21" t="str">
        <f t="shared" si="68"/>
        <v>2.1.05g</v>
      </c>
      <c r="S280" s="2" t="str">
        <f t="shared" si="69"/>
        <v/>
      </c>
      <c r="T280" s="2" t="str">
        <f t="shared" si="71"/>
        <v/>
      </c>
      <c r="U280" s="19" t="str">
        <f t="shared" si="72"/>
        <v/>
      </c>
    </row>
    <row r="281" spans="1:21" x14ac:dyDescent="0.2">
      <c r="A281" s="2">
        <v>280</v>
      </c>
      <c r="B281" s="21" t="str">
        <f t="shared" si="70"/>
        <v>2.1.06</v>
      </c>
      <c r="C281" s="2">
        <v>2</v>
      </c>
      <c r="D281" s="2">
        <v>1</v>
      </c>
      <c r="E281" s="2">
        <v>6</v>
      </c>
      <c r="F281" s="2" t="s">
        <v>84</v>
      </c>
      <c r="G281" s="2" t="s">
        <v>370</v>
      </c>
      <c r="H281" s="2" t="s">
        <v>89</v>
      </c>
      <c r="I281" s="19" t="str">
        <f t="shared" si="60"/>
        <v/>
      </c>
      <c r="J281" s="2" t="str">
        <f t="shared" si="61"/>
        <v/>
      </c>
      <c r="K281" s="2" t="str">
        <f t="shared" si="62"/>
        <v/>
      </c>
      <c r="L281" s="2">
        <f t="shared" si="63"/>
        <v>4</v>
      </c>
      <c r="M281" s="2" t="str">
        <f t="shared" si="64"/>
        <v/>
      </c>
      <c r="N281" s="2" t="str">
        <f t="shared" si="65"/>
        <v/>
      </c>
      <c r="O281" s="19">
        <f t="shared" si="66"/>
        <v>4</v>
      </c>
      <c r="Q281" s="2" t="str">
        <f t="shared" si="67"/>
        <v>06</v>
      </c>
      <c r="R281" s="21" t="str">
        <f t="shared" si="68"/>
        <v>2.1.06</v>
      </c>
      <c r="S281" s="2" t="str">
        <f t="shared" si="69"/>
        <v/>
      </c>
      <c r="T281" s="2" t="str">
        <f t="shared" si="71"/>
        <v/>
      </c>
      <c r="U281" s="19" t="str">
        <f t="shared" si="72"/>
        <v/>
      </c>
    </row>
    <row r="282" spans="1:21" x14ac:dyDescent="0.2">
      <c r="A282" s="2">
        <v>281</v>
      </c>
      <c r="B282" s="21" t="str">
        <f t="shared" si="70"/>
        <v>2.1.06a</v>
      </c>
      <c r="C282" s="2">
        <v>2</v>
      </c>
      <c r="D282" s="2">
        <v>1</v>
      </c>
      <c r="E282" s="2">
        <v>6</v>
      </c>
      <c r="F282" s="2" t="s">
        <v>90</v>
      </c>
      <c r="G282" s="2" t="s">
        <v>371</v>
      </c>
      <c r="H282" s="2">
        <v>4</v>
      </c>
      <c r="I282" s="19" t="str">
        <f t="shared" si="60"/>
        <v/>
      </c>
      <c r="J282" s="2" t="str">
        <f t="shared" si="61"/>
        <v/>
      </c>
      <c r="K282" s="2" t="str">
        <f t="shared" si="62"/>
        <v/>
      </c>
      <c r="L282" s="2" t="str">
        <f t="shared" si="63"/>
        <v/>
      </c>
      <c r="M282" s="2" t="str">
        <f t="shared" si="64"/>
        <v/>
      </c>
      <c r="N282" s="2">
        <f t="shared" si="65"/>
        <v>6</v>
      </c>
      <c r="O282" s="19">
        <f t="shared" si="66"/>
        <v>6</v>
      </c>
      <c r="Q282" s="2" t="str">
        <f t="shared" si="67"/>
        <v>06</v>
      </c>
      <c r="R282" s="21" t="str">
        <f t="shared" si="68"/>
        <v>2.1.06a</v>
      </c>
      <c r="S282" s="2" t="str">
        <f t="shared" si="69"/>
        <v/>
      </c>
      <c r="T282" s="2" t="str">
        <f t="shared" si="71"/>
        <v/>
      </c>
      <c r="U282" s="19" t="str">
        <f t="shared" si="72"/>
        <v/>
      </c>
    </row>
    <row r="283" spans="1:21" x14ac:dyDescent="0.2">
      <c r="A283" s="2">
        <v>282</v>
      </c>
      <c r="B283" s="21" t="str">
        <f t="shared" si="70"/>
        <v>2.1.06b</v>
      </c>
      <c r="C283" s="2">
        <v>2</v>
      </c>
      <c r="D283" s="2">
        <v>1</v>
      </c>
      <c r="E283" s="2">
        <v>6</v>
      </c>
      <c r="F283" s="2" t="s">
        <v>92</v>
      </c>
      <c r="G283" s="2" t="s">
        <v>372</v>
      </c>
      <c r="H283" s="2">
        <v>3</v>
      </c>
      <c r="I283" s="19" t="str">
        <f t="shared" si="60"/>
        <v/>
      </c>
      <c r="J283" s="2" t="str">
        <f t="shared" si="61"/>
        <v/>
      </c>
      <c r="K283" s="2" t="str">
        <f t="shared" si="62"/>
        <v/>
      </c>
      <c r="L283" s="2" t="str">
        <f t="shared" si="63"/>
        <v/>
      </c>
      <c r="M283" s="2" t="str">
        <f t="shared" si="64"/>
        <v/>
      </c>
      <c r="N283" s="2">
        <f t="shared" si="65"/>
        <v>6</v>
      </c>
      <c r="O283" s="19">
        <f t="shared" si="66"/>
        <v>6</v>
      </c>
      <c r="Q283" s="2" t="str">
        <f t="shared" si="67"/>
        <v>06</v>
      </c>
      <c r="R283" s="21" t="str">
        <f t="shared" si="68"/>
        <v>2.1.06b</v>
      </c>
      <c r="S283" s="2" t="str">
        <f t="shared" si="69"/>
        <v/>
      </c>
      <c r="T283" s="2" t="str">
        <f t="shared" si="71"/>
        <v/>
      </c>
      <c r="U283" s="19" t="str">
        <f t="shared" si="72"/>
        <v/>
      </c>
    </row>
    <row r="284" spans="1:21" x14ac:dyDescent="0.2">
      <c r="A284" s="2">
        <v>283</v>
      </c>
      <c r="B284" s="21" t="str">
        <f t="shared" si="70"/>
        <v>2.1.06c</v>
      </c>
      <c r="C284" s="2">
        <v>2</v>
      </c>
      <c r="D284" s="2">
        <v>1</v>
      </c>
      <c r="E284" s="2">
        <v>6</v>
      </c>
      <c r="F284" s="2" t="s">
        <v>94</v>
      </c>
      <c r="G284" s="2" t="s">
        <v>373</v>
      </c>
      <c r="H284" s="2">
        <v>3</v>
      </c>
      <c r="I284" s="19" t="str">
        <f t="shared" si="60"/>
        <v/>
      </c>
      <c r="J284" s="2" t="str">
        <f t="shared" si="61"/>
        <v/>
      </c>
      <c r="K284" s="2" t="str">
        <f t="shared" si="62"/>
        <v/>
      </c>
      <c r="L284" s="2" t="str">
        <f t="shared" si="63"/>
        <v/>
      </c>
      <c r="M284" s="2" t="str">
        <f t="shared" si="64"/>
        <v/>
      </c>
      <c r="N284" s="2">
        <f t="shared" si="65"/>
        <v>6</v>
      </c>
      <c r="O284" s="19">
        <f t="shared" si="66"/>
        <v>6</v>
      </c>
      <c r="Q284" s="2" t="str">
        <f t="shared" si="67"/>
        <v>06</v>
      </c>
      <c r="R284" s="21" t="str">
        <f t="shared" si="68"/>
        <v>2.1.06c</v>
      </c>
      <c r="S284" s="2" t="str">
        <f t="shared" si="69"/>
        <v/>
      </c>
      <c r="T284" s="2" t="str">
        <f t="shared" si="71"/>
        <v/>
      </c>
      <c r="U284" s="19" t="str">
        <f t="shared" si="72"/>
        <v/>
      </c>
    </row>
    <row r="285" spans="1:21" x14ac:dyDescent="0.2">
      <c r="A285" s="2">
        <v>284</v>
      </c>
      <c r="B285" s="21" t="str">
        <f t="shared" si="70"/>
        <v>2.1.06d</v>
      </c>
      <c r="C285" s="2">
        <v>2</v>
      </c>
      <c r="D285" s="2">
        <v>1</v>
      </c>
      <c r="E285" s="2">
        <v>6</v>
      </c>
      <c r="F285" s="2" t="s">
        <v>112</v>
      </c>
      <c r="G285" s="2" t="s">
        <v>374</v>
      </c>
      <c r="H285" s="2">
        <v>3</v>
      </c>
      <c r="I285" s="19" t="str">
        <f t="shared" si="60"/>
        <v/>
      </c>
      <c r="J285" s="2" t="str">
        <f t="shared" si="61"/>
        <v/>
      </c>
      <c r="K285" s="2" t="str">
        <f t="shared" si="62"/>
        <v/>
      </c>
      <c r="L285" s="2" t="str">
        <f t="shared" si="63"/>
        <v/>
      </c>
      <c r="M285" s="2" t="str">
        <f t="shared" si="64"/>
        <v/>
      </c>
      <c r="N285" s="2">
        <f t="shared" si="65"/>
        <v>6</v>
      </c>
      <c r="O285" s="19">
        <f t="shared" si="66"/>
        <v>6</v>
      </c>
      <c r="Q285" s="2" t="str">
        <f t="shared" si="67"/>
        <v>06</v>
      </c>
      <c r="R285" s="21" t="str">
        <f t="shared" si="68"/>
        <v>2.1.06d</v>
      </c>
      <c r="S285" s="2" t="str">
        <f t="shared" si="69"/>
        <v/>
      </c>
      <c r="T285" s="2" t="str">
        <f t="shared" si="71"/>
        <v/>
      </c>
      <c r="U285" s="19" t="str">
        <f t="shared" si="72"/>
        <v/>
      </c>
    </row>
    <row r="286" spans="1:21" x14ac:dyDescent="0.2">
      <c r="A286" s="2">
        <v>285</v>
      </c>
      <c r="B286" s="21" t="str">
        <f t="shared" si="70"/>
        <v>2.1.07</v>
      </c>
      <c r="C286" s="2">
        <v>2</v>
      </c>
      <c r="D286" s="2">
        <v>1</v>
      </c>
      <c r="E286" s="2">
        <v>7</v>
      </c>
      <c r="F286" s="2" t="s">
        <v>84</v>
      </c>
      <c r="G286" s="2" t="s">
        <v>375</v>
      </c>
      <c r="H286" s="2" t="s">
        <v>89</v>
      </c>
      <c r="I286" s="19" t="str">
        <f t="shared" si="60"/>
        <v/>
      </c>
      <c r="J286" s="2" t="str">
        <f t="shared" si="61"/>
        <v/>
      </c>
      <c r="K286" s="2" t="str">
        <f t="shared" si="62"/>
        <v/>
      </c>
      <c r="L286" s="2">
        <f t="shared" si="63"/>
        <v>4</v>
      </c>
      <c r="M286" s="2" t="str">
        <f t="shared" si="64"/>
        <v/>
      </c>
      <c r="N286" s="2" t="str">
        <f t="shared" si="65"/>
        <v/>
      </c>
      <c r="O286" s="19">
        <f t="shared" si="66"/>
        <v>4</v>
      </c>
      <c r="Q286" s="2" t="str">
        <f t="shared" si="67"/>
        <v>07</v>
      </c>
      <c r="R286" s="21" t="str">
        <f t="shared" si="68"/>
        <v>2.1.07</v>
      </c>
      <c r="S286" s="2" t="str">
        <f t="shared" si="69"/>
        <v/>
      </c>
      <c r="T286" s="2" t="str">
        <f t="shared" si="71"/>
        <v/>
      </c>
      <c r="U286" s="19" t="str">
        <f t="shared" si="72"/>
        <v/>
      </c>
    </row>
    <row r="287" spans="1:21" x14ac:dyDescent="0.2">
      <c r="A287" s="2">
        <v>286</v>
      </c>
      <c r="B287" s="21" t="str">
        <f t="shared" si="70"/>
        <v>2.1.07a</v>
      </c>
      <c r="C287" s="2">
        <v>2</v>
      </c>
      <c r="D287" s="2">
        <v>1</v>
      </c>
      <c r="E287" s="2">
        <v>7</v>
      </c>
      <c r="F287" s="2" t="s">
        <v>90</v>
      </c>
      <c r="G287" s="2" t="s">
        <v>376</v>
      </c>
      <c r="H287" s="2">
        <v>4</v>
      </c>
      <c r="I287" s="19" t="str">
        <f t="shared" si="60"/>
        <v/>
      </c>
      <c r="J287" s="2" t="str">
        <f t="shared" si="61"/>
        <v/>
      </c>
      <c r="K287" s="2" t="str">
        <f t="shared" si="62"/>
        <v/>
      </c>
      <c r="L287" s="2" t="str">
        <f t="shared" si="63"/>
        <v/>
      </c>
      <c r="M287" s="2" t="str">
        <f t="shared" si="64"/>
        <v/>
      </c>
      <c r="N287" s="2">
        <f t="shared" si="65"/>
        <v>6</v>
      </c>
      <c r="O287" s="19">
        <f t="shared" si="66"/>
        <v>6</v>
      </c>
      <c r="Q287" s="2" t="str">
        <f t="shared" si="67"/>
        <v>07</v>
      </c>
      <c r="R287" s="21" t="str">
        <f t="shared" si="68"/>
        <v>2.1.07a</v>
      </c>
      <c r="S287" s="2" t="str">
        <f t="shared" si="69"/>
        <v/>
      </c>
      <c r="T287" s="2" t="str">
        <f t="shared" si="71"/>
        <v/>
      </c>
      <c r="U287" s="19" t="str">
        <f t="shared" si="72"/>
        <v/>
      </c>
    </row>
    <row r="288" spans="1:21" x14ac:dyDescent="0.2">
      <c r="A288" s="2">
        <v>287</v>
      </c>
      <c r="B288" s="21" t="str">
        <f t="shared" si="70"/>
        <v>2.1.07b</v>
      </c>
      <c r="C288" s="2">
        <v>2</v>
      </c>
      <c r="D288" s="2">
        <v>1</v>
      </c>
      <c r="E288" s="2">
        <v>7</v>
      </c>
      <c r="F288" s="2" t="s">
        <v>92</v>
      </c>
      <c r="G288" s="2" t="s">
        <v>377</v>
      </c>
      <c r="H288" s="2">
        <v>4</v>
      </c>
      <c r="I288" s="19" t="str">
        <f t="shared" si="60"/>
        <v/>
      </c>
      <c r="J288" s="2" t="str">
        <f t="shared" si="61"/>
        <v/>
      </c>
      <c r="K288" s="2" t="str">
        <f t="shared" si="62"/>
        <v/>
      </c>
      <c r="L288" s="2" t="str">
        <f t="shared" si="63"/>
        <v/>
      </c>
      <c r="M288" s="2" t="str">
        <f t="shared" si="64"/>
        <v/>
      </c>
      <c r="N288" s="2">
        <f t="shared" si="65"/>
        <v>6</v>
      </c>
      <c r="O288" s="19">
        <f t="shared" si="66"/>
        <v>6</v>
      </c>
      <c r="Q288" s="2" t="str">
        <f t="shared" si="67"/>
        <v>07</v>
      </c>
      <c r="R288" s="21" t="str">
        <f t="shared" si="68"/>
        <v>2.1.07b</v>
      </c>
      <c r="S288" s="2" t="str">
        <f t="shared" si="69"/>
        <v/>
      </c>
      <c r="T288" s="2" t="str">
        <f t="shared" si="71"/>
        <v/>
      </c>
      <c r="U288" s="19" t="str">
        <f t="shared" si="72"/>
        <v/>
      </c>
    </row>
    <row r="289" spans="1:21" x14ac:dyDescent="0.2">
      <c r="A289" s="2">
        <v>288</v>
      </c>
      <c r="B289" s="21" t="str">
        <f t="shared" si="70"/>
        <v>2.1.07c</v>
      </c>
      <c r="C289" s="2">
        <v>2</v>
      </c>
      <c r="D289" s="2">
        <v>1</v>
      </c>
      <c r="E289" s="2">
        <v>7</v>
      </c>
      <c r="F289" s="2" t="s">
        <v>94</v>
      </c>
      <c r="G289" s="2" t="s">
        <v>378</v>
      </c>
      <c r="H289" s="2">
        <v>4</v>
      </c>
      <c r="I289" s="19" t="str">
        <f t="shared" si="60"/>
        <v/>
      </c>
      <c r="J289" s="2" t="str">
        <f t="shared" si="61"/>
        <v/>
      </c>
      <c r="K289" s="2" t="str">
        <f t="shared" si="62"/>
        <v/>
      </c>
      <c r="L289" s="2" t="str">
        <f t="shared" si="63"/>
        <v/>
      </c>
      <c r="M289" s="2" t="str">
        <f t="shared" si="64"/>
        <v/>
      </c>
      <c r="N289" s="2">
        <f t="shared" si="65"/>
        <v>6</v>
      </c>
      <c r="O289" s="19">
        <f t="shared" si="66"/>
        <v>6</v>
      </c>
      <c r="Q289" s="2" t="str">
        <f t="shared" si="67"/>
        <v>07</v>
      </c>
      <c r="R289" s="21" t="str">
        <f t="shared" si="68"/>
        <v>2.1.07c</v>
      </c>
      <c r="S289" s="2" t="str">
        <f t="shared" si="69"/>
        <v/>
      </c>
      <c r="T289" s="2" t="str">
        <f t="shared" si="71"/>
        <v/>
      </c>
      <c r="U289" s="19" t="str">
        <f t="shared" si="72"/>
        <v/>
      </c>
    </row>
    <row r="290" spans="1:21" x14ac:dyDescent="0.2">
      <c r="A290" s="2">
        <v>289</v>
      </c>
      <c r="B290" s="21" t="str">
        <f t="shared" si="70"/>
        <v>2.1.07d</v>
      </c>
      <c r="C290" s="2">
        <v>2</v>
      </c>
      <c r="D290" s="2">
        <v>1</v>
      </c>
      <c r="E290" s="2">
        <v>7</v>
      </c>
      <c r="F290" s="2" t="s">
        <v>112</v>
      </c>
      <c r="G290" s="2" t="s">
        <v>379</v>
      </c>
      <c r="H290" s="2">
        <v>4</v>
      </c>
      <c r="I290" s="19" t="str">
        <f t="shared" si="60"/>
        <v/>
      </c>
      <c r="J290" s="2" t="str">
        <f t="shared" si="61"/>
        <v/>
      </c>
      <c r="K290" s="2" t="str">
        <f t="shared" si="62"/>
        <v/>
      </c>
      <c r="L290" s="2" t="str">
        <f t="shared" si="63"/>
        <v/>
      </c>
      <c r="M290" s="2" t="str">
        <f t="shared" si="64"/>
        <v/>
      </c>
      <c r="N290" s="2">
        <f t="shared" si="65"/>
        <v>6</v>
      </c>
      <c r="O290" s="19">
        <f t="shared" si="66"/>
        <v>6</v>
      </c>
      <c r="Q290" s="2" t="str">
        <f t="shared" si="67"/>
        <v>07</v>
      </c>
      <c r="R290" s="21" t="str">
        <f t="shared" si="68"/>
        <v>2.1.07d</v>
      </c>
      <c r="S290" s="2" t="str">
        <f t="shared" si="69"/>
        <v/>
      </c>
      <c r="T290" s="2" t="str">
        <f t="shared" si="71"/>
        <v/>
      </c>
      <c r="U290" s="19" t="str">
        <f t="shared" si="72"/>
        <v/>
      </c>
    </row>
    <row r="291" spans="1:21" x14ac:dyDescent="0.2">
      <c r="A291" s="2">
        <v>290</v>
      </c>
      <c r="B291" s="21" t="str">
        <f t="shared" si="70"/>
        <v>2.1.07e</v>
      </c>
      <c r="C291" s="2">
        <v>2</v>
      </c>
      <c r="D291" s="2">
        <v>1</v>
      </c>
      <c r="E291" s="2">
        <v>7</v>
      </c>
      <c r="F291" s="2" t="s">
        <v>114</v>
      </c>
      <c r="G291" s="2" t="s">
        <v>380</v>
      </c>
      <c r="H291" s="2">
        <v>5</v>
      </c>
      <c r="I291" s="19" t="str">
        <f t="shared" si="60"/>
        <v/>
      </c>
      <c r="J291" s="2" t="str">
        <f t="shared" si="61"/>
        <v/>
      </c>
      <c r="K291" s="2" t="str">
        <f t="shared" si="62"/>
        <v/>
      </c>
      <c r="L291" s="2" t="str">
        <f t="shared" si="63"/>
        <v/>
      </c>
      <c r="M291" s="2" t="str">
        <f t="shared" si="64"/>
        <v/>
      </c>
      <c r="N291" s="2">
        <f t="shared" si="65"/>
        <v>6</v>
      </c>
      <c r="O291" s="19">
        <f t="shared" si="66"/>
        <v>6</v>
      </c>
      <c r="Q291" s="2" t="str">
        <f t="shared" si="67"/>
        <v>07</v>
      </c>
      <c r="R291" s="21" t="str">
        <f t="shared" si="68"/>
        <v>2.1.07e</v>
      </c>
      <c r="S291" s="2" t="str">
        <f t="shared" si="69"/>
        <v/>
      </c>
      <c r="T291" s="2" t="str">
        <f t="shared" si="71"/>
        <v/>
      </c>
      <c r="U291" s="19" t="str">
        <f t="shared" si="72"/>
        <v/>
      </c>
    </row>
    <row r="292" spans="1:21" x14ac:dyDescent="0.2">
      <c r="A292" s="2">
        <v>291</v>
      </c>
      <c r="B292" s="21" t="str">
        <f t="shared" si="70"/>
        <v>2.1.08</v>
      </c>
      <c r="C292" s="2">
        <v>2</v>
      </c>
      <c r="D292" s="2">
        <v>1</v>
      </c>
      <c r="E292" s="2">
        <v>8</v>
      </c>
      <c r="F292" s="2" t="s">
        <v>84</v>
      </c>
      <c r="G292" s="2" t="s">
        <v>381</v>
      </c>
      <c r="H292" s="2" t="s">
        <v>89</v>
      </c>
      <c r="I292" s="19" t="str">
        <f t="shared" si="60"/>
        <v/>
      </c>
      <c r="J292" s="2" t="str">
        <f t="shared" si="61"/>
        <v/>
      </c>
      <c r="K292" s="2" t="str">
        <f t="shared" si="62"/>
        <v/>
      </c>
      <c r="L292" s="2">
        <f t="shared" si="63"/>
        <v>4</v>
      </c>
      <c r="M292" s="2" t="str">
        <f t="shared" si="64"/>
        <v/>
      </c>
      <c r="N292" s="2" t="str">
        <f t="shared" si="65"/>
        <v/>
      </c>
      <c r="O292" s="19">
        <f t="shared" si="66"/>
        <v>4</v>
      </c>
      <c r="Q292" s="2" t="str">
        <f t="shared" si="67"/>
        <v>08</v>
      </c>
      <c r="R292" s="21" t="str">
        <f t="shared" si="68"/>
        <v>2.1.08</v>
      </c>
      <c r="S292" s="2" t="str">
        <f t="shared" si="69"/>
        <v/>
      </c>
      <c r="T292" s="2" t="str">
        <f t="shared" si="71"/>
        <v/>
      </c>
      <c r="U292" s="19" t="str">
        <f t="shared" si="72"/>
        <v/>
      </c>
    </row>
    <row r="293" spans="1:21" x14ac:dyDescent="0.2">
      <c r="A293" s="2">
        <v>292</v>
      </c>
      <c r="B293" s="21" t="str">
        <f t="shared" si="70"/>
        <v>2.1.08a</v>
      </c>
      <c r="C293" s="2">
        <v>2</v>
      </c>
      <c r="D293" s="2">
        <v>1</v>
      </c>
      <c r="E293" s="2">
        <v>8</v>
      </c>
      <c r="F293" s="2" t="s">
        <v>90</v>
      </c>
      <c r="G293" s="2" t="s">
        <v>382</v>
      </c>
      <c r="H293" s="2">
        <v>5</v>
      </c>
      <c r="I293" s="19" t="str">
        <f t="shared" si="60"/>
        <v/>
      </c>
      <c r="J293" s="2" t="str">
        <f t="shared" si="61"/>
        <v/>
      </c>
      <c r="K293" s="2" t="str">
        <f t="shared" si="62"/>
        <v/>
      </c>
      <c r="L293" s="2" t="str">
        <f t="shared" si="63"/>
        <v/>
      </c>
      <c r="M293" s="2" t="str">
        <f t="shared" si="64"/>
        <v/>
      </c>
      <c r="N293" s="2">
        <f t="shared" si="65"/>
        <v>6</v>
      </c>
      <c r="O293" s="19">
        <f t="shared" si="66"/>
        <v>6</v>
      </c>
      <c r="Q293" s="2" t="str">
        <f t="shared" si="67"/>
        <v>08</v>
      </c>
      <c r="R293" s="21" t="str">
        <f t="shared" si="68"/>
        <v>2.1.08a</v>
      </c>
      <c r="S293" s="2" t="str">
        <f t="shared" si="69"/>
        <v/>
      </c>
      <c r="T293" s="2" t="str">
        <f t="shared" si="71"/>
        <v/>
      </c>
      <c r="U293" s="19" t="str">
        <f t="shared" si="72"/>
        <v/>
      </c>
    </row>
    <row r="294" spans="1:21" x14ac:dyDescent="0.2">
      <c r="A294" s="2">
        <v>293</v>
      </c>
      <c r="B294" s="21" t="str">
        <f t="shared" si="70"/>
        <v>2.1.08b</v>
      </c>
      <c r="C294" s="2">
        <v>2</v>
      </c>
      <c r="D294" s="2">
        <v>1</v>
      </c>
      <c r="E294" s="2">
        <v>8</v>
      </c>
      <c r="F294" s="2" t="s">
        <v>92</v>
      </c>
      <c r="G294" s="2" t="s">
        <v>383</v>
      </c>
      <c r="H294" s="2">
        <v>5</v>
      </c>
      <c r="I294" s="19" t="str">
        <f t="shared" si="60"/>
        <v/>
      </c>
      <c r="J294" s="2" t="str">
        <f t="shared" si="61"/>
        <v/>
      </c>
      <c r="K294" s="2" t="str">
        <f t="shared" si="62"/>
        <v/>
      </c>
      <c r="L294" s="2" t="str">
        <f t="shared" si="63"/>
        <v/>
      </c>
      <c r="M294" s="2" t="str">
        <f t="shared" si="64"/>
        <v/>
      </c>
      <c r="N294" s="2">
        <f t="shared" si="65"/>
        <v>6</v>
      </c>
      <c r="O294" s="19">
        <f t="shared" si="66"/>
        <v>6</v>
      </c>
      <c r="Q294" s="2" t="str">
        <f t="shared" si="67"/>
        <v>08</v>
      </c>
      <c r="R294" s="21" t="str">
        <f t="shared" si="68"/>
        <v>2.1.08b</v>
      </c>
      <c r="S294" s="2" t="str">
        <f t="shared" si="69"/>
        <v/>
      </c>
      <c r="T294" s="2" t="str">
        <f t="shared" si="71"/>
        <v/>
      </c>
      <c r="U294" s="19" t="str">
        <f t="shared" si="72"/>
        <v/>
      </c>
    </row>
    <row r="295" spans="1:21" x14ac:dyDescent="0.2">
      <c r="A295" s="2">
        <v>294</v>
      </c>
      <c r="B295" s="21" t="str">
        <f t="shared" si="70"/>
        <v>2.1.08c</v>
      </c>
      <c r="C295" s="2">
        <v>2</v>
      </c>
      <c r="D295" s="2">
        <v>1</v>
      </c>
      <c r="E295" s="2">
        <v>8</v>
      </c>
      <c r="F295" s="2" t="s">
        <v>94</v>
      </c>
      <c r="G295" s="2" t="s">
        <v>384</v>
      </c>
      <c r="H295" s="2">
        <v>5</v>
      </c>
      <c r="I295" s="19" t="str">
        <f t="shared" si="60"/>
        <v/>
      </c>
      <c r="J295" s="2" t="str">
        <f t="shared" si="61"/>
        <v/>
      </c>
      <c r="K295" s="2" t="str">
        <f t="shared" si="62"/>
        <v/>
      </c>
      <c r="L295" s="2" t="str">
        <f t="shared" si="63"/>
        <v/>
      </c>
      <c r="M295" s="2" t="str">
        <f t="shared" si="64"/>
        <v/>
      </c>
      <c r="N295" s="2">
        <f t="shared" si="65"/>
        <v>6</v>
      </c>
      <c r="O295" s="19">
        <f t="shared" si="66"/>
        <v>6</v>
      </c>
      <c r="Q295" s="2" t="str">
        <f t="shared" si="67"/>
        <v>08</v>
      </c>
      <c r="R295" s="21" t="str">
        <f t="shared" si="68"/>
        <v>2.1.08c</v>
      </c>
      <c r="S295" s="2" t="str">
        <f t="shared" si="69"/>
        <v/>
      </c>
      <c r="T295" s="2" t="str">
        <f t="shared" si="71"/>
        <v/>
      </c>
      <c r="U295" s="19" t="str">
        <f t="shared" si="72"/>
        <v/>
      </c>
    </row>
    <row r="296" spans="1:21" x14ac:dyDescent="0.2">
      <c r="A296" s="2">
        <v>295</v>
      </c>
      <c r="B296" s="21" t="str">
        <f t="shared" si="70"/>
        <v>2.1.08d</v>
      </c>
      <c r="C296" s="2">
        <v>2</v>
      </c>
      <c r="D296" s="2">
        <v>1</v>
      </c>
      <c r="E296" s="2">
        <v>8</v>
      </c>
      <c r="F296" s="2" t="s">
        <v>112</v>
      </c>
      <c r="G296" s="2" t="s">
        <v>385</v>
      </c>
      <c r="H296" s="2">
        <v>5</v>
      </c>
      <c r="I296" s="19" t="str">
        <f t="shared" si="60"/>
        <v/>
      </c>
      <c r="J296" s="2" t="str">
        <f t="shared" si="61"/>
        <v/>
      </c>
      <c r="K296" s="2" t="str">
        <f t="shared" si="62"/>
        <v/>
      </c>
      <c r="L296" s="2" t="str">
        <f t="shared" si="63"/>
        <v/>
      </c>
      <c r="M296" s="2" t="str">
        <f t="shared" si="64"/>
        <v/>
      </c>
      <c r="N296" s="2">
        <f t="shared" si="65"/>
        <v>6</v>
      </c>
      <c r="O296" s="19">
        <f t="shared" si="66"/>
        <v>6</v>
      </c>
      <c r="Q296" s="2" t="str">
        <f t="shared" si="67"/>
        <v>08</v>
      </c>
      <c r="R296" s="21" t="str">
        <f t="shared" si="68"/>
        <v>2.1.08d</v>
      </c>
      <c r="S296" s="2" t="str">
        <f t="shared" si="69"/>
        <v/>
      </c>
      <c r="T296" s="2" t="str">
        <f t="shared" si="71"/>
        <v/>
      </c>
      <c r="U296" s="19" t="str">
        <f t="shared" si="72"/>
        <v/>
      </c>
    </row>
    <row r="297" spans="1:21" x14ac:dyDescent="0.2">
      <c r="A297" s="2">
        <v>296</v>
      </c>
      <c r="B297" s="21" t="str">
        <f t="shared" si="70"/>
        <v>2.1.08e</v>
      </c>
      <c r="C297" s="2">
        <v>2</v>
      </c>
      <c r="D297" s="2">
        <v>1</v>
      </c>
      <c r="E297" s="2">
        <v>8</v>
      </c>
      <c r="F297" s="2" t="s">
        <v>114</v>
      </c>
      <c r="G297" s="2" t="s">
        <v>386</v>
      </c>
      <c r="H297" s="2">
        <v>5</v>
      </c>
      <c r="I297" s="19" t="str">
        <f t="shared" si="60"/>
        <v/>
      </c>
      <c r="J297" s="2" t="str">
        <f t="shared" si="61"/>
        <v/>
      </c>
      <c r="K297" s="2" t="str">
        <f t="shared" si="62"/>
        <v/>
      </c>
      <c r="L297" s="2" t="str">
        <f t="shared" si="63"/>
        <v/>
      </c>
      <c r="M297" s="2" t="str">
        <f t="shared" si="64"/>
        <v/>
      </c>
      <c r="N297" s="2">
        <f t="shared" si="65"/>
        <v>6</v>
      </c>
      <c r="O297" s="19">
        <f t="shared" si="66"/>
        <v>6</v>
      </c>
      <c r="Q297" s="2" t="str">
        <f t="shared" si="67"/>
        <v>08</v>
      </c>
      <c r="R297" s="21" t="str">
        <f t="shared" si="68"/>
        <v>2.1.08e</v>
      </c>
      <c r="S297" s="2" t="str">
        <f t="shared" si="69"/>
        <v/>
      </c>
      <c r="T297" s="2" t="str">
        <f t="shared" si="71"/>
        <v/>
      </c>
      <c r="U297" s="19" t="str">
        <f t="shared" si="72"/>
        <v/>
      </c>
    </row>
    <row r="298" spans="1:21" x14ac:dyDescent="0.2">
      <c r="A298" s="2">
        <v>297</v>
      </c>
      <c r="B298" s="21" t="str">
        <f t="shared" si="70"/>
        <v>2.1.08f</v>
      </c>
      <c r="C298" s="2">
        <v>2</v>
      </c>
      <c r="D298" s="2">
        <v>1</v>
      </c>
      <c r="E298" s="2">
        <v>8</v>
      </c>
      <c r="F298" s="2" t="s">
        <v>129</v>
      </c>
      <c r="G298" s="2" t="s">
        <v>387</v>
      </c>
      <c r="H298" s="2">
        <v>5</v>
      </c>
      <c r="I298" s="19" t="str">
        <f t="shared" si="60"/>
        <v/>
      </c>
      <c r="J298" s="2" t="str">
        <f t="shared" si="61"/>
        <v/>
      </c>
      <c r="K298" s="2" t="str">
        <f t="shared" si="62"/>
        <v/>
      </c>
      <c r="L298" s="2" t="str">
        <f t="shared" si="63"/>
        <v/>
      </c>
      <c r="M298" s="2" t="str">
        <f t="shared" si="64"/>
        <v/>
      </c>
      <c r="N298" s="2">
        <f t="shared" si="65"/>
        <v>6</v>
      </c>
      <c r="O298" s="19">
        <f t="shared" si="66"/>
        <v>6</v>
      </c>
      <c r="Q298" s="2" t="str">
        <f t="shared" si="67"/>
        <v>08</v>
      </c>
      <c r="R298" s="21" t="str">
        <f t="shared" si="68"/>
        <v>2.1.08f</v>
      </c>
      <c r="S298" s="2" t="str">
        <f t="shared" si="69"/>
        <v/>
      </c>
      <c r="T298" s="2" t="str">
        <f t="shared" si="71"/>
        <v/>
      </c>
      <c r="U298" s="19" t="str">
        <f t="shared" si="72"/>
        <v/>
      </c>
    </row>
    <row r="299" spans="1:21" x14ac:dyDescent="0.2">
      <c r="A299" s="2">
        <v>298</v>
      </c>
      <c r="B299" s="21" t="str">
        <f t="shared" si="70"/>
        <v>2.1.09</v>
      </c>
      <c r="C299" s="2">
        <v>2</v>
      </c>
      <c r="D299" s="2">
        <v>1</v>
      </c>
      <c r="E299" s="2">
        <v>9</v>
      </c>
      <c r="F299" s="2" t="s">
        <v>84</v>
      </c>
      <c r="G299" s="2" t="s">
        <v>388</v>
      </c>
      <c r="H299" s="2">
        <v>4</v>
      </c>
      <c r="I299" s="19" t="str">
        <f t="shared" si="60"/>
        <v/>
      </c>
      <c r="J299" s="2" t="str">
        <f t="shared" si="61"/>
        <v/>
      </c>
      <c r="K299" s="2" t="str">
        <f t="shared" si="62"/>
        <v/>
      </c>
      <c r="L299" s="2" t="str">
        <f t="shared" si="63"/>
        <v/>
      </c>
      <c r="M299" s="2">
        <f t="shared" si="64"/>
        <v>5</v>
      </c>
      <c r="N299" s="2" t="str">
        <f t="shared" si="65"/>
        <v/>
      </c>
      <c r="O299" s="19">
        <f t="shared" si="66"/>
        <v>5</v>
      </c>
      <c r="Q299" s="2" t="str">
        <f t="shared" si="67"/>
        <v>09</v>
      </c>
      <c r="R299" s="21" t="str">
        <f t="shared" si="68"/>
        <v>2.1.09</v>
      </c>
      <c r="S299" s="2" t="str">
        <f t="shared" si="69"/>
        <v/>
      </c>
      <c r="T299" s="2" t="str">
        <f t="shared" si="71"/>
        <v/>
      </c>
      <c r="U299" s="19" t="str">
        <f t="shared" si="72"/>
        <v/>
      </c>
    </row>
    <row r="300" spans="1:21" x14ac:dyDescent="0.2">
      <c r="A300" s="2">
        <v>299</v>
      </c>
      <c r="B300" s="21" t="str">
        <f t="shared" si="70"/>
        <v>2.1.10</v>
      </c>
      <c r="C300" s="2">
        <v>2</v>
      </c>
      <c r="D300" s="2">
        <v>1</v>
      </c>
      <c r="E300" s="2">
        <v>10</v>
      </c>
      <c r="F300" s="2" t="s">
        <v>84</v>
      </c>
      <c r="G300" s="2" t="s">
        <v>389</v>
      </c>
      <c r="H300" s="2" t="s">
        <v>89</v>
      </c>
      <c r="I300" s="19" t="str">
        <f t="shared" si="60"/>
        <v/>
      </c>
      <c r="J300" s="2" t="str">
        <f t="shared" si="61"/>
        <v/>
      </c>
      <c r="K300" s="2" t="str">
        <f t="shared" si="62"/>
        <v/>
      </c>
      <c r="L300" s="2">
        <f t="shared" si="63"/>
        <v>4</v>
      </c>
      <c r="M300" s="2" t="str">
        <f t="shared" si="64"/>
        <v/>
      </c>
      <c r="N300" s="2" t="str">
        <f t="shared" si="65"/>
        <v/>
      </c>
      <c r="O300" s="19">
        <f t="shared" si="66"/>
        <v>4</v>
      </c>
      <c r="Q300" s="2" t="str">
        <f t="shared" si="67"/>
        <v>10</v>
      </c>
      <c r="R300" s="21" t="str">
        <f t="shared" si="68"/>
        <v>2.1.10</v>
      </c>
      <c r="S300" s="2" t="str">
        <f t="shared" si="69"/>
        <v/>
      </c>
      <c r="T300" s="2" t="str">
        <f t="shared" si="71"/>
        <v/>
      </c>
      <c r="U300" s="19" t="str">
        <f t="shared" si="72"/>
        <v/>
      </c>
    </row>
    <row r="301" spans="1:21" x14ac:dyDescent="0.2">
      <c r="A301" s="2">
        <v>300</v>
      </c>
      <c r="B301" s="21" t="str">
        <f t="shared" si="70"/>
        <v>2.1.10a</v>
      </c>
      <c r="C301" s="2">
        <v>2</v>
      </c>
      <c r="D301" s="2">
        <v>1</v>
      </c>
      <c r="E301" s="2">
        <v>10</v>
      </c>
      <c r="F301" s="2" t="s">
        <v>90</v>
      </c>
      <c r="G301" s="2" t="s">
        <v>390</v>
      </c>
      <c r="H301" s="2">
        <v>5</v>
      </c>
      <c r="I301" s="19" t="str">
        <f t="shared" si="60"/>
        <v/>
      </c>
      <c r="J301" s="2" t="str">
        <f t="shared" si="61"/>
        <v/>
      </c>
      <c r="K301" s="2" t="str">
        <f t="shared" si="62"/>
        <v/>
      </c>
      <c r="L301" s="2" t="str">
        <f t="shared" si="63"/>
        <v/>
      </c>
      <c r="M301" s="2" t="str">
        <f t="shared" si="64"/>
        <v/>
      </c>
      <c r="N301" s="2">
        <f t="shared" si="65"/>
        <v>6</v>
      </c>
      <c r="O301" s="19">
        <f t="shared" si="66"/>
        <v>6</v>
      </c>
      <c r="Q301" s="2" t="str">
        <f t="shared" si="67"/>
        <v>10</v>
      </c>
      <c r="R301" s="21" t="str">
        <f t="shared" si="68"/>
        <v>2.1.10a</v>
      </c>
      <c r="S301" s="2" t="str">
        <f t="shared" si="69"/>
        <v/>
      </c>
      <c r="T301" s="2" t="str">
        <f t="shared" si="71"/>
        <v/>
      </c>
      <c r="U301" s="19" t="str">
        <f t="shared" si="72"/>
        <v/>
      </c>
    </row>
    <row r="302" spans="1:21" x14ac:dyDescent="0.2">
      <c r="A302" s="2">
        <v>301</v>
      </c>
      <c r="B302" s="21" t="str">
        <f t="shared" si="70"/>
        <v>2.1.10b</v>
      </c>
      <c r="C302" s="2">
        <v>2</v>
      </c>
      <c r="D302" s="2">
        <v>1</v>
      </c>
      <c r="E302" s="2">
        <v>10</v>
      </c>
      <c r="F302" s="2" t="s">
        <v>92</v>
      </c>
      <c r="G302" s="2" t="s">
        <v>391</v>
      </c>
      <c r="H302" s="2">
        <v>5</v>
      </c>
      <c r="I302" s="19" t="str">
        <f t="shared" si="60"/>
        <v/>
      </c>
      <c r="J302" s="2" t="str">
        <f t="shared" si="61"/>
        <v/>
      </c>
      <c r="K302" s="2" t="str">
        <f t="shared" si="62"/>
        <v/>
      </c>
      <c r="L302" s="2" t="str">
        <f t="shared" si="63"/>
        <v/>
      </c>
      <c r="M302" s="2" t="str">
        <f t="shared" si="64"/>
        <v/>
      </c>
      <c r="N302" s="2">
        <f t="shared" si="65"/>
        <v>6</v>
      </c>
      <c r="O302" s="19">
        <f t="shared" si="66"/>
        <v>6</v>
      </c>
      <c r="Q302" s="2" t="str">
        <f t="shared" si="67"/>
        <v>10</v>
      </c>
      <c r="R302" s="21" t="str">
        <f t="shared" si="68"/>
        <v>2.1.10b</v>
      </c>
      <c r="S302" s="2" t="str">
        <f t="shared" si="69"/>
        <v/>
      </c>
      <c r="T302" s="2" t="str">
        <f t="shared" si="71"/>
        <v/>
      </c>
      <c r="U302" s="19" t="str">
        <f t="shared" si="72"/>
        <v/>
      </c>
    </row>
    <row r="303" spans="1:21" x14ac:dyDescent="0.2">
      <c r="A303" s="2">
        <v>302</v>
      </c>
      <c r="B303" s="21" t="str">
        <f t="shared" si="70"/>
        <v>2.1.10c</v>
      </c>
      <c r="C303" s="2">
        <v>2</v>
      </c>
      <c r="D303" s="2">
        <v>1</v>
      </c>
      <c r="E303" s="2">
        <v>10</v>
      </c>
      <c r="F303" s="2" t="s">
        <v>94</v>
      </c>
      <c r="G303" s="2" t="s">
        <v>384</v>
      </c>
      <c r="H303" s="2">
        <v>5</v>
      </c>
      <c r="I303" s="19" t="str">
        <f t="shared" si="60"/>
        <v/>
      </c>
      <c r="J303" s="2" t="str">
        <f t="shared" si="61"/>
        <v/>
      </c>
      <c r="K303" s="2" t="str">
        <f t="shared" si="62"/>
        <v/>
      </c>
      <c r="L303" s="2" t="str">
        <f t="shared" si="63"/>
        <v/>
      </c>
      <c r="M303" s="2" t="str">
        <f t="shared" si="64"/>
        <v/>
      </c>
      <c r="N303" s="2">
        <f t="shared" si="65"/>
        <v>6</v>
      </c>
      <c r="O303" s="19">
        <f t="shared" si="66"/>
        <v>6</v>
      </c>
      <c r="Q303" s="2" t="str">
        <f t="shared" si="67"/>
        <v>10</v>
      </c>
      <c r="R303" s="21" t="str">
        <f t="shared" si="68"/>
        <v>2.1.10c</v>
      </c>
      <c r="S303" s="2" t="str">
        <f t="shared" si="69"/>
        <v/>
      </c>
      <c r="T303" s="2" t="str">
        <f t="shared" si="71"/>
        <v/>
      </c>
      <c r="U303" s="19" t="str">
        <f t="shared" si="72"/>
        <v/>
      </c>
    </row>
    <row r="304" spans="1:21" x14ac:dyDescent="0.2">
      <c r="A304" s="2">
        <v>303</v>
      </c>
      <c r="B304" s="21" t="str">
        <f t="shared" si="70"/>
        <v>2.2</v>
      </c>
      <c r="C304" s="2">
        <v>2</v>
      </c>
      <c r="D304" s="2">
        <v>2</v>
      </c>
      <c r="E304" s="2" t="s">
        <v>84</v>
      </c>
      <c r="F304" s="2" t="s">
        <v>84</v>
      </c>
      <c r="G304" s="2" t="s">
        <v>392</v>
      </c>
      <c r="H304" s="2" t="s">
        <v>84</v>
      </c>
      <c r="I304" s="19" t="str">
        <f t="shared" si="60"/>
        <v/>
      </c>
      <c r="J304" s="2">
        <f t="shared" si="61"/>
        <v>2</v>
      </c>
      <c r="K304" s="2" t="str">
        <f t="shared" si="62"/>
        <v/>
      </c>
      <c r="L304" s="2" t="str">
        <f t="shared" si="63"/>
        <v/>
      </c>
      <c r="M304" s="2" t="str">
        <f t="shared" si="64"/>
        <v/>
      </c>
      <c r="N304" s="2" t="str">
        <f t="shared" si="65"/>
        <v/>
      </c>
      <c r="O304" s="19">
        <f t="shared" si="66"/>
        <v>2</v>
      </c>
      <c r="Q304" s="2" t="str">
        <f t="shared" si="67"/>
        <v/>
      </c>
      <c r="R304" s="21" t="str">
        <f t="shared" si="68"/>
        <v>2.2</v>
      </c>
      <c r="S304" s="2" t="str">
        <f t="shared" ref="S304" si="73">IF(O304=O303,IF(NOT(R304&gt;R303),1,""),"")</f>
        <v/>
      </c>
      <c r="T304" s="2" t="str">
        <f t="shared" ref="T304" si="74">IF(NOT(R304&gt;R303),1,"")</f>
        <v/>
      </c>
      <c r="U304" s="19" t="str">
        <f t="shared" si="72"/>
        <v/>
      </c>
    </row>
    <row r="305" spans="1:21" x14ac:dyDescent="0.2">
      <c r="A305" s="2">
        <v>304</v>
      </c>
      <c r="B305" s="21" t="str">
        <f t="shared" si="70"/>
        <v/>
      </c>
      <c r="C305" s="2" t="s">
        <v>84</v>
      </c>
      <c r="D305" s="2" t="s">
        <v>84</v>
      </c>
      <c r="E305" s="2" t="s">
        <v>84</v>
      </c>
      <c r="F305" s="2" t="s">
        <v>84</v>
      </c>
      <c r="G305" s="2" t="s">
        <v>393</v>
      </c>
      <c r="H305" s="2" t="s">
        <v>84</v>
      </c>
      <c r="I305" s="19" t="str">
        <f t="shared" si="60"/>
        <v/>
      </c>
      <c r="J305" s="2" t="str">
        <f t="shared" si="61"/>
        <v/>
      </c>
      <c r="K305" s="2">
        <f t="shared" si="62"/>
        <v>3</v>
      </c>
      <c r="L305" s="2" t="str">
        <f t="shared" si="63"/>
        <v/>
      </c>
      <c r="M305" s="2" t="str">
        <f t="shared" si="64"/>
        <v/>
      </c>
      <c r="N305" s="2" t="str">
        <f t="shared" si="65"/>
        <v/>
      </c>
      <c r="O305" s="19">
        <f t="shared" si="66"/>
        <v>3</v>
      </c>
      <c r="Q305" s="2" t="str">
        <f t="shared" si="67"/>
        <v/>
      </c>
      <c r="R305" s="21" t="str">
        <f t="shared" si="68"/>
        <v/>
      </c>
      <c r="S305" s="2" t="str">
        <f t="shared" si="69"/>
        <v/>
      </c>
      <c r="T305" s="2">
        <f t="shared" si="71"/>
        <v>1</v>
      </c>
      <c r="U305" s="19" t="str">
        <f t="shared" si="72"/>
        <v/>
      </c>
    </row>
    <row r="306" spans="1:21" x14ac:dyDescent="0.2">
      <c r="A306" s="2">
        <v>305</v>
      </c>
      <c r="B306" s="21" t="str">
        <f t="shared" si="70"/>
        <v>2.2.01</v>
      </c>
      <c r="C306" s="2">
        <v>2</v>
      </c>
      <c r="D306" s="2">
        <v>2</v>
      </c>
      <c r="E306" s="2">
        <v>1</v>
      </c>
      <c r="F306" s="2" t="s">
        <v>84</v>
      </c>
      <c r="G306" s="2" t="s">
        <v>394</v>
      </c>
      <c r="H306" s="2">
        <v>1</v>
      </c>
      <c r="I306" s="19" t="str">
        <f t="shared" si="60"/>
        <v/>
      </c>
      <c r="J306" s="2" t="str">
        <f t="shared" si="61"/>
        <v/>
      </c>
      <c r="K306" s="2" t="str">
        <f t="shared" si="62"/>
        <v/>
      </c>
      <c r="L306" s="2" t="str">
        <f t="shared" si="63"/>
        <v/>
      </c>
      <c r="M306" s="2">
        <f t="shared" si="64"/>
        <v>5</v>
      </c>
      <c r="N306" s="2" t="str">
        <f t="shared" si="65"/>
        <v/>
      </c>
      <c r="O306" s="19">
        <f t="shared" si="66"/>
        <v>5</v>
      </c>
      <c r="Q306" s="2" t="str">
        <f t="shared" si="67"/>
        <v>01</v>
      </c>
      <c r="R306" s="21" t="str">
        <f t="shared" si="68"/>
        <v>2.2.01</v>
      </c>
      <c r="S306" s="2" t="str">
        <f t="shared" si="69"/>
        <v/>
      </c>
      <c r="T306" s="2" t="str">
        <f t="shared" si="71"/>
        <v/>
      </c>
      <c r="U306" s="19" t="str">
        <f t="shared" si="72"/>
        <v/>
      </c>
    </row>
    <row r="307" spans="1:21" x14ac:dyDescent="0.2">
      <c r="A307" s="2">
        <v>306</v>
      </c>
      <c r="B307" s="21" t="str">
        <f t="shared" si="70"/>
        <v>2.2.02</v>
      </c>
      <c r="C307" s="2">
        <v>2</v>
      </c>
      <c r="D307" s="2">
        <v>2</v>
      </c>
      <c r="E307" s="2">
        <v>2</v>
      </c>
      <c r="F307" s="2" t="s">
        <v>84</v>
      </c>
      <c r="G307" s="2" t="s">
        <v>395</v>
      </c>
      <c r="H307" s="2" t="s">
        <v>89</v>
      </c>
      <c r="I307" s="19" t="str">
        <f t="shared" si="60"/>
        <v/>
      </c>
      <c r="J307" s="2" t="str">
        <f t="shared" si="61"/>
        <v/>
      </c>
      <c r="K307" s="2" t="str">
        <f t="shared" si="62"/>
        <v/>
      </c>
      <c r="L307" s="2">
        <f t="shared" si="63"/>
        <v>4</v>
      </c>
      <c r="M307" s="2" t="str">
        <f t="shared" si="64"/>
        <v/>
      </c>
      <c r="N307" s="2" t="str">
        <f t="shared" si="65"/>
        <v/>
      </c>
      <c r="O307" s="19">
        <f t="shared" si="66"/>
        <v>4</v>
      </c>
      <c r="Q307" s="2" t="str">
        <f t="shared" si="67"/>
        <v>02</v>
      </c>
      <c r="R307" s="21" t="str">
        <f t="shared" si="68"/>
        <v>2.2.02</v>
      </c>
      <c r="S307" s="2" t="str">
        <f t="shared" si="69"/>
        <v/>
      </c>
      <c r="T307" s="2" t="str">
        <f t="shared" si="71"/>
        <v/>
      </c>
      <c r="U307" s="19" t="str">
        <f t="shared" si="72"/>
        <v/>
      </c>
    </row>
    <row r="308" spans="1:21" x14ac:dyDescent="0.2">
      <c r="A308" s="2">
        <v>307</v>
      </c>
      <c r="B308" s="21" t="str">
        <f t="shared" si="70"/>
        <v>2.2.02a</v>
      </c>
      <c r="C308" s="2">
        <v>2</v>
      </c>
      <c r="D308" s="2">
        <v>2</v>
      </c>
      <c r="E308" s="2">
        <v>2</v>
      </c>
      <c r="F308" s="2" t="s">
        <v>90</v>
      </c>
      <c r="G308" s="2" t="s">
        <v>396</v>
      </c>
      <c r="H308" s="2">
        <v>2</v>
      </c>
      <c r="I308" s="19" t="str">
        <f t="shared" si="60"/>
        <v/>
      </c>
      <c r="J308" s="2" t="str">
        <f t="shared" si="61"/>
        <v/>
      </c>
      <c r="K308" s="2" t="str">
        <f t="shared" si="62"/>
        <v/>
      </c>
      <c r="L308" s="2" t="str">
        <f t="shared" si="63"/>
        <v/>
      </c>
      <c r="M308" s="2" t="str">
        <f t="shared" si="64"/>
        <v/>
      </c>
      <c r="N308" s="2">
        <f t="shared" si="65"/>
        <v>6</v>
      </c>
      <c r="O308" s="19">
        <f t="shared" si="66"/>
        <v>6</v>
      </c>
      <c r="Q308" s="2" t="str">
        <f t="shared" si="67"/>
        <v>02</v>
      </c>
      <c r="R308" s="21" t="str">
        <f t="shared" si="68"/>
        <v>2.2.02a</v>
      </c>
      <c r="S308" s="2" t="str">
        <f t="shared" si="69"/>
        <v/>
      </c>
      <c r="T308" s="2" t="str">
        <f t="shared" si="71"/>
        <v/>
      </c>
      <c r="U308" s="19" t="str">
        <f t="shared" si="72"/>
        <v/>
      </c>
    </row>
    <row r="309" spans="1:21" x14ac:dyDescent="0.2">
      <c r="A309" s="2">
        <v>308</v>
      </c>
      <c r="B309" s="21" t="str">
        <f t="shared" si="70"/>
        <v>2.2.02b</v>
      </c>
      <c r="C309" s="2">
        <v>2</v>
      </c>
      <c r="D309" s="2">
        <v>2</v>
      </c>
      <c r="E309" s="2">
        <v>2</v>
      </c>
      <c r="F309" s="2" t="s">
        <v>92</v>
      </c>
      <c r="G309" s="2" t="s">
        <v>397</v>
      </c>
      <c r="H309" s="2">
        <v>2</v>
      </c>
      <c r="I309" s="19" t="str">
        <f t="shared" si="60"/>
        <v/>
      </c>
      <c r="J309" s="2" t="str">
        <f t="shared" si="61"/>
        <v/>
      </c>
      <c r="K309" s="2" t="str">
        <f t="shared" si="62"/>
        <v/>
      </c>
      <c r="L309" s="2" t="str">
        <f t="shared" si="63"/>
        <v/>
      </c>
      <c r="M309" s="2" t="str">
        <f t="shared" si="64"/>
        <v/>
      </c>
      <c r="N309" s="2">
        <f t="shared" si="65"/>
        <v>6</v>
      </c>
      <c r="O309" s="19">
        <f t="shared" si="66"/>
        <v>6</v>
      </c>
      <c r="Q309" s="2" t="str">
        <f t="shared" si="67"/>
        <v>02</v>
      </c>
      <c r="R309" s="21" t="str">
        <f t="shared" si="68"/>
        <v>2.2.02b</v>
      </c>
      <c r="S309" s="2" t="str">
        <f t="shared" si="69"/>
        <v/>
      </c>
      <c r="T309" s="2" t="str">
        <f t="shared" si="71"/>
        <v/>
      </c>
      <c r="U309" s="19" t="str">
        <f t="shared" si="72"/>
        <v/>
      </c>
    </row>
    <row r="310" spans="1:21" x14ac:dyDescent="0.2">
      <c r="A310" s="2">
        <v>309</v>
      </c>
      <c r="B310" s="21" t="str">
        <f t="shared" si="70"/>
        <v>2.2.02c</v>
      </c>
      <c r="C310" s="2">
        <v>2</v>
      </c>
      <c r="D310" s="2">
        <v>2</v>
      </c>
      <c r="E310" s="2">
        <v>2</v>
      </c>
      <c r="F310" s="2" t="s">
        <v>94</v>
      </c>
      <c r="G310" s="2" t="s">
        <v>398</v>
      </c>
      <c r="H310" s="2">
        <v>3</v>
      </c>
      <c r="I310" s="19" t="str">
        <f t="shared" si="60"/>
        <v/>
      </c>
      <c r="J310" s="2" t="str">
        <f t="shared" si="61"/>
        <v/>
      </c>
      <c r="K310" s="2" t="str">
        <f t="shared" si="62"/>
        <v/>
      </c>
      <c r="L310" s="2" t="str">
        <f t="shared" si="63"/>
        <v/>
      </c>
      <c r="M310" s="2" t="str">
        <f t="shared" si="64"/>
        <v/>
      </c>
      <c r="N310" s="2">
        <f t="shared" si="65"/>
        <v>6</v>
      </c>
      <c r="O310" s="19">
        <f t="shared" si="66"/>
        <v>6</v>
      </c>
      <c r="Q310" s="2" t="str">
        <f t="shared" si="67"/>
        <v>02</v>
      </c>
      <c r="R310" s="21" t="str">
        <f t="shared" si="68"/>
        <v>2.2.02c</v>
      </c>
      <c r="S310" s="2" t="str">
        <f t="shared" si="69"/>
        <v/>
      </c>
      <c r="T310" s="2" t="str">
        <f t="shared" si="71"/>
        <v/>
      </c>
      <c r="U310" s="19" t="str">
        <f t="shared" si="72"/>
        <v/>
      </c>
    </row>
    <row r="311" spans="1:21" x14ac:dyDescent="0.2">
      <c r="A311" s="2">
        <v>310</v>
      </c>
      <c r="B311" s="21" t="str">
        <f t="shared" si="70"/>
        <v>2.2.03</v>
      </c>
      <c r="C311" s="2">
        <v>2</v>
      </c>
      <c r="D311" s="2">
        <v>2</v>
      </c>
      <c r="E311" s="2">
        <v>3</v>
      </c>
      <c r="F311" s="2" t="s">
        <v>84</v>
      </c>
      <c r="G311" s="2" t="s">
        <v>399</v>
      </c>
      <c r="H311" s="2" t="s">
        <v>89</v>
      </c>
      <c r="I311" s="19" t="str">
        <f t="shared" si="60"/>
        <v/>
      </c>
      <c r="J311" s="2" t="str">
        <f t="shared" si="61"/>
        <v/>
      </c>
      <c r="K311" s="2" t="str">
        <f t="shared" si="62"/>
        <v/>
      </c>
      <c r="L311" s="2">
        <f t="shared" si="63"/>
        <v>4</v>
      </c>
      <c r="M311" s="2" t="str">
        <f t="shared" si="64"/>
        <v/>
      </c>
      <c r="N311" s="2" t="str">
        <f t="shared" si="65"/>
        <v/>
      </c>
      <c r="O311" s="19">
        <f t="shared" si="66"/>
        <v>4</v>
      </c>
      <c r="Q311" s="2" t="str">
        <f t="shared" si="67"/>
        <v>03</v>
      </c>
      <c r="R311" s="21" t="str">
        <f t="shared" si="68"/>
        <v>2.2.03</v>
      </c>
      <c r="S311" s="2" t="str">
        <f t="shared" si="69"/>
        <v/>
      </c>
      <c r="T311" s="2" t="str">
        <f t="shared" si="71"/>
        <v/>
      </c>
      <c r="U311" s="19" t="str">
        <f t="shared" si="72"/>
        <v/>
      </c>
    </row>
    <row r="312" spans="1:21" x14ac:dyDescent="0.2">
      <c r="A312" s="2">
        <v>311</v>
      </c>
      <c r="B312" s="21" t="str">
        <f t="shared" si="70"/>
        <v>2.2.03a</v>
      </c>
      <c r="C312" s="2">
        <v>2</v>
      </c>
      <c r="D312" s="2">
        <v>2</v>
      </c>
      <c r="E312" s="2">
        <v>3</v>
      </c>
      <c r="F312" s="2" t="s">
        <v>90</v>
      </c>
      <c r="G312" s="2" t="s">
        <v>400</v>
      </c>
      <c r="H312" s="2">
        <v>2</v>
      </c>
      <c r="I312" s="19" t="str">
        <f t="shared" si="60"/>
        <v/>
      </c>
      <c r="J312" s="2" t="str">
        <f t="shared" si="61"/>
        <v/>
      </c>
      <c r="K312" s="2" t="str">
        <f t="shared" si="62"/>
        <v/>
      </c>
      <c r="L312" s="2" t="str">
        <f t="shared" si="63"/>
        <v/>
      </c>
      <c r="M312" s="2" t="str">
        <f t="shared" si="64"/>
        <v/>
      </c>
      <c r="N312" s="2">
        <f t="shared" si="65"/>
        <v>6</v>
      </c>
      <c r="O312" s="19">
        <f t="shared" si="66"/>
        <v>6</v>
      </c>
      <c r="Q312" s="2" t="str">
        <f t="shared" si="67"/>
        <v>03</v>
      </c>
      <c r="R312" s="21" t="str">
        <f t="shared" si="68"/>
        <v>2.2.03a</v>
      </c>
      <c r="S312" s="2" t="str">
        <f t="shared" si="69"/>
        <v/>
      </c>
      <c r="T312" s="2" t="str">
        <f t="shared" si="71"/>
        <v/>
      </c>
      <c r="U312" s="19" t="str">
        <f t="shared" si="72"/>
        <v/>
      </c>
    </row>
    <row r="313" spans="1:21" x14ac:dyDescent="0.2">
      <c r="A313" s="2">
        <v>312</v>
      </c>
      <c r="B313" s="21" t="str">
        <f t="shared" si="70"/>
        <v>2.2.03b</v>
      </c>
      <c r="C313" s="2">
        <v>2</v>
      </c>
      <c r="D313" s="2">
        <v>2</v>
      </c>
      <c r="E313" s="2">
        <v>3</v>
      </c>
      <c r="F313" s="2" t="s">
        <v>92</v>
      </c>
      <c r="G313" s="2" t="s">
        <v>401</v>
      </c>
      <c r="H313" s="2">
        <v>3</v>
      </c>
      <c r="I313" s="19" t="str">
        <f t="shared" si="60"/>
        <v/>
      </c>
      <c r="J313" s="2" t="str">
        <f t="shared" si="61"/>
        <v/>
      </c>
      <c r="K313" s="2" t="str">
        <f t="shared" si="62"/>
        <v/>
      </c>
      <c r="L313" s="2" t="str">
        <f t="shared" si="63"/>
        <v/>
      </c>
      <c r="M313" s="2" t="str">
        <f t="shared" si="64"/>
        <v/>
      </c>
      <c r="N313" s="2">
        <f t="shared" si="65"/>
        <v>6</v>
      </c>
      <c r="O313" s="19">
        <f t="shared" si="66"/>
        <v>6</v>
      </c>
      <c r="Q313" s="2" t="str">
        <f t="shared" si="67"/>
        <v>03</v>
      </c>
      <c r="R313" s="21" t="str">
        <f t="shared" si="68"/>
        <v>2.2.03b</v>
      </c>
      <c r="S313" s="2" t="str">
        <f t="shared" si="69"/>
        <v/>
      </c>
      <c r="T313" s="2" t="str">
        <f t="shared" si="71"/>
        <v/>
      </c>
      <c r="U313" s="19" t="str">
        <f t="shared" si="72"/>
        <v/>
      </c>
    </row>
    <row r="314" spans="1:21" x14ac:dyDescent="0.2">
      <c r="A314" s="2">
        <v>313</v>
      </c>
      <c r="B314" s="21" t="str">
        <f t="shared" si="70"/>
        <v>2.2.03c</v>
      </c>
      <c r="C314" s="2">
        <v>2</v>
      </c>
      <c r="D314" s="2">
        <v>2</v>
      </c>
      <c r="E314" s="2">
        <v>3</v>
      </c>
      <c r="F314" s="2" t="s">
        <v>94</v>
      </c>
      <c r="G314" s="2" t="s">
        <v>402</v>
      </c>
      <c r="H314" s="2">
        <v>3</v>
      </c>
      <c r="I314" s="19" t="str">
        <f t="shared" si="60"/>
        <v/>
      </c>
      <c r="J314" s="2" t="str">
        <f t="shared" si="61"/>
        <v/>
      </c>
      <c r="K314" s="2" t="str">
        <f t="shared" si="62"/>
        <v/>
      </c>
      <c r="L314" s="2" t="str">
        <f t="shared" si="63"/>
        <v/>
      </c>
      <c r="M314" s="2" t="str">
        <f t="shared" si="64"/>
        <v/>
      </c>
      <c r="N314" s="2">
        <f t="shared" si="65"/>
        <v>6</v>
      </c>
      <c r="O314" s="19">
        <f t="shared" si="66"/>
        <v>6</v>
      </c>
      <c r="Q314" s="2" t="str">
        <f t="shared" si="67"/>
        <v>03</v>
      </c>
      <c r="R314" s="21" t="str">
        <f t="shared" si="68"/>
        <v>2.2.03c</v>
      </c>
      <c r="S314" s="2" t="str">
        <f t="shared" si="69"/>
        <v/>
      </c>
      <c r="T314" s="2" t="str">
        <f t="shared" si="71"/>
        <v/>
      </c>
      <c r="U314" s="19" t="str">
        <f t="shared" si="72"/>
        <v/>
      </c>
    </row>
    <row r="315" spans="1:21" x14ac:dyDescent="0.2">
      <c r="A315" s="2">
        <v>314</v>
      </c>
      <c r="B315" s="21" t="str">
        <f t="shared" si="70"/>
        <v>2.2.03d</v>
      </c>
      <c r="C315" s="2">
        <v>2</v>
      </c>
      <c r="D315" s="2">
        <v>2</v>
      </c>
      <c r="E315" s="2">
        <v>3</v>
      </c>
      <c r="F315" s="2" t="s">
        <v>112</v>
      </c>
      <c r="G315" s="2" t="s">
        <v>403</v>
      </c>
      <c r="H315" s="2">
        <v>3</v>
      </c>
      <c r="I315" s="19" t="str">
        <f t="shared" si="60"/>
        <v/>
      </c>
      <c r="J315" s="2" t="str">
        <f t="shared" si="61"/>
        <v/>
      </c>
      <c r="K315" s="2" t="str">
        <f t="shared" si="62"/>
        <v/>
      </c>
      <c r="L315" s="2" t="str">
        <f t="shared" si="63"/>
        <v/>
      </c>
      <c r="M315" s="2" t="str">
        <f t="shared" si="64"/>
        <v/>
      </c>
      <c r="N315" s="2">
        <f t="shared" si="65"/>
        <v>6</v>
      </c>
      <c r="O315" s="19">
        <f t="shared" si="66"/>
        <v>6</v>
      </c>
      <c r="Q315" s="2" t="str">
        <f t="shared" si="67"/>
        <v>03</v>
      </c>
      <c r="R315" s="21" t="str">
        <f t="shared" si="68"/>
        <v>2.2.03d</v>
      </c>
      <c r="S315" s="2" t="str">
        <f t="shared" si="69"/>
        <v/>
      </c>
      <c r="T315" s="2" t="str">
        <f t="shared" si="71"/>
        <v/>
      </c>
      <c r="U315" s="19" t="str">
        <f t="shared" si="72"/>
        <v/>
      </c>
    </row>
    <row r="316" spans="1:21" x14ac:dyDescent="0.2">
      <c r="A316" s="2">
        <v>315</v>
      </c>
      <c r="B316" s="21" t="str">
        <f t="shared" si="70"/>
        <v>2.2.03e</v>
      </c>
      <c r="C316" s="2">
        <v>2</v>
      </c>
      <c r="D316" s="2">
        <v>2</v>
      </c>
      <c r="E316" s="2">
        <v>3</v>
      </c>
      <c r="F316" s="2" t="s">
        <v>114</v>
      </c>
      <c r="G316" s="2" t="s">
        <v>404</v>
      </c>
      <c r="H316" s="2">
        <v>3</v>
      </c>
      <c r="I316" s="19" t="str">
        <f t="shared" si="60"/>
        <v/>
      </c>
      <c r="J316" s="2" t="str">
        <f t="shared" si="61"/>
        <v/>
      </c>
      <c r="K316" s="2" t="str">
        <f t="shared" si="62"/>
        <v/>
      </c>
      <c r="L316" s="2" t="str">
        <f t="shared" si="63"/>
        <v/>
      </c>
      <c r="M316" s="2" t="str">
        <f t="shared" si="64"/>
        <v/>
      </c>
      <c r="N316" s="2">
        <f t="shared" si="65"/>
        <v>6</v>
      </c>
      <c r="O316" s="19">
        <f t="shared" si="66"/>
        <v>6</v>
      </c>
      <c r="Q316" s="2" t="str">
        <f t="shared" si="67"/>
        <v>03</v>
      </c>
      <c r="R316" s="21" t="str">
        <f t="shared" si="68"/>
        <v>2.2.03e</v>
      </c>
      <c r="S316" s="2" t="str">
        <f t="shared" si="69"/>
        <v/>
      </c>
      <c r="T316" s="2" t="str">
        <f t="shared" si="71"/>
        <v/>
      </c>
      <c r="U316" s="19" t="str">
        <f t="shared" si="72"/>
        <v/>
      </c>
    </row>
    <row r="317" spans="1:21" x14ac:dyDescent="0.2">
      <c r="A317" s="2">
        <v>316</v>
      </c>
      <c r="B317" s="21" t="str">
        <f t="shared" si="70"/>
        <v>2.2.03f</v>
      </c>
      <c r="C317" s="2">
        <v>2</v>
      </c>
      <c r="D317" s="2">
        <v>2</v>
      </c>
      <c r="E317" s="2">
        <v>3</v>
      </c>
      <c r="F317" s="2" t="s">
        <v>129</v>
      </c>
      <c r="G317" s="2" t="s">
        <v>405</v>
      </c>
      <c r="H317" s="2">
        <v>3</v>
      </c>
      <c r="I317" s="19" t="str">
        <f t="shared" ref="I317:I379" si="75">IF(AND(LEN(C317)=1,LEN(D317)=0),1,"")</f>
        <v/>
      </c>
      <c r="J317" s="2" t="str">
        <f t="shared" ref="J317:J379" si="76">IF(AND(LEN(C317)=1,LEN(D317)=1,LEN(E317)=0,LEN(F317)=0),2,"")</f>
        <v/>
      </c>
      <c r="K317" s="2" t="str">
        <f t="shared" ref="K317:K379" si="77">IF(AND(LEN(C317)=0,LEN(E317)=0),3,"")</f>
        <v/>
      </c>
      <c r="L317" s="2" t="str">
        <f t="shared" ref="L317:L379" si="78">IF(AND(LEN(C317)&gt;0,LEN(D317&gt;0),LEN(E317)&gt;0,LEN(F317)=0,H317="N/A"),4,"")</f>
        <v/>
      </c>
      <c r="M317" s="2" t="str">
        <f t="shared" ref="M317:M379" si="79">IF(AND(LEN(C317)&gt;0,LEN(D317&gt;0),LEN(E317)&gt;0,LEN(F317)=0,H317&gt;0,H317&lt;6),5,"")</f>
        <v/>
      </c>
      <c r="N317" s="2">
        <f t="shared" ref="N317:N379" si="80">IF(AND(LEN(C317)&gt;0,LEN(D317&gt;0),LEN(E317)&gt;0,LEN(F317)&gt;0,H317&gt;0,H317&lt;6),6,"")</f>
        <v>6</v>
      </c>
      <c r="O317" s="19">
        <f t="shared" ref="O317:O379" si="81">SUM(I317:N317)</f>
        <v>6</v>
      </c>
      <c r="Q317" s="2" t="str">
        <f t="shared" ref="Q317:Q379" si="82">IF(LEN(E317)&gt;0,TEXT(E317,"00"),"")</f>
        <v>03</v>
      </c>
      <c r="R317" s="21" t="str">
        <f t="shared" ref="R317:R379" si="83">IF(O317=1,C317,IF(O317=2,C317&amp;"."&amp;D317,IF(O317=3,"",IF(O317=4,C317&amp;"."&amp;D317&amp;"."&amp;Q317,IF(O317=5,C317&amp;"."&amp;D317&amp;"."&amp;Q317,IF(O317=6,C317&amp;"."&amp;D317&amp;"."&amp;Q317&amp;F317,""))))))</f>
        <v>2.2.03f</v>
      </c>
      <c r="S317" s="2" t="str">
        <f t="shared" ref="S317:S379" si="84">IF(O317=O316,IF(NOT(R317&gt;R316),1,""),"")</f>
        <v/>
      </c>
      <c r="T317" s="2" t="str">
        <f t="shared" si="71"/>
        <v/>
      </c>
      <c r="U317" s="19" t="str">
        <f t="shared" si="72"/>
        <v/>
      </c>
    </row>
    <row r="318" spans="1:21" x14ac:dyDescent="0.2">
      <c r="A318" s="2">
        <v>317</v>
      </c>
      <c r="B318" s="21" t="str">
        <f t="shared" ref="B318:B380" si="85">R318</f>
        <v>2.2.04</v>
      </c>
      <c r="C318" s="2">
        <v>2</v>
      </c>
      <c r="D318" s="2">
        <v>2</v>
      </c>
      <c r="E318" s="2">
        <v>4</v>
      </c>
      <c r="F318" s="2" t="s">
        <v>84</v>
      </c>
      <c r="G318" s="2" t="s">
        <v>406</v>
      </c>
      <c r="H318" s="2" t="s">
        <v>89</v>
      </c>
      <c r="I318" s="19" t="str">
        <f t="shared" si="75"/>
        <v/>
      </c>
      <c r="J318" s="2" t="str">
        <f t="shared" si="76"/>
        <v/>
      </c>
      <c r="K318" s="2" t="str">
        <f t="shared" si="77"/>
        <v/>
      </c>
      <c r="L318" s="2">
        <f t="shared" si="78"/>
        <v>4</v>
      </c>
      <c r="M318" s="2" t="str">
        <f t="shared" si="79"/>
        <v/>
      </c>
      <c r="N318" s="2" t="str">
        <f t="shared" si="80"/>
        <v/>
      </c>
      <c r="O318" s="19">
        <f t="shared" si="81"/>
        <v>4</v>
      </c>
      <c r="Q318" s="2" t="str">
        <f t="shared" si="82"/>
        <v>04</v>
      </c>
      <c r="R318" s="21" t="str">
        <f t="shared" si="83"/>
        <v>2.2.04</v>
      </c>
      <c r="S318" s="2" t="str">
        <f t="shared" si="84"/>
        <v/>
      </c>
      <c r="T318" s="2" t="str">
        <f t="shared" ref="T318:T380" si="86">IF(NOT(R318&gt;R317),1,"")</f>
        <v/>
      </c>
      <c r="U318" s="19" t="str">
        <f t="shared" si="72"/>
        <v/>
      </c>
    </row>
    <row r="319" spans="1:21" x14ac:dyDescent="0.2">
      <c r="A319" s="2">
        <v>318</v>
      </c>
      <c r="B319" s="21" t="str">
        <f t="shared" si="85"/>
        <v>2.2.04a</v>
      </c>
      <c r="C319" s="2">
        <v>2</v>
      </c>
      <c r="D319" s="2">
        <v>2</v>
      </c>
      <c r="E319" s="2">
        <v>4</v>
      </c>
      <c r="F319" s="2" t="s">
        <v>90</v>
      </c>
      <c r="G319" s="2" t="s">
        <v>407</v>
      </c>
      <c r="H319" s="2">
        <v>4</v>
      </c>
      <c r="I319" s="19" t="str">
        <f t="shared" si="75"/>
        <v/>
      </c>
      <c r="J319" s="2" t="str">
        <f t="shared" si="76"/>
        <v/>
      </c>
      <c r="K319" s="2" t="str">
        <f t="shared" si="77"/>
        <v/>
      </c>
      <c r="L319" s="2" t="str">
        <f t="shared" si="78"/>
        <v/>
      </c>
      <c r="M319" s="2" t="str">
        <f t="shared" si="79"/>
        <v/>
      </c>
      <c r="N319" s="2">
        <f t="shared" si="80"/>
        <v>6</v>
      </c>
      <c r="O319" s="19">
        <f t="shared" si="81"/>
        <v>6</v>
      </c>
      <c r="Q319" s="2" t="str">
        <f t="shared" si="82"/>
        <v>04</v>
      </c>
      <c r="R319" s="21" t="str">
        <f t="shared" si="83"/>
        <v>2.2.04a</v>
      </c>
      <c r="S319" s="2" t="str">
        <f t="shared" si="84"/>
        <v/>
      </c>
      <c r="T319" s="2" t="str">
        <f t="shared" si="86"/>
        <v/>
      </c>
      <c r="U319" s="19" t="str">
        <f t="shared" si="72"/>
        <v/>
      </c>
    </row>
    <row r="320" spans="1:21" x14ac:dyDescent="0.2">
      <c r="A320" s="2">
        <v>319</v>
      </c>
      <c r="B320" s="21" t="str">
        <f t="shared" si="85"/>
        <v>2.2.04b</v>
      </c>
      <c r="C320" s="2">
        <v>2</v>
      </c>
      <c r="D320" s="2">
        <v>2</v>
      </c>
      <c r="E320" s="2">
        <v>4</v>
      </c>
      <c r="F320" s="2" t="s">
        <v>92</v>
      </c>
      <c r="G320" s="2" t="s">
        <v>408</v>
      </c>
      <c r="H320" s="2">
        <v>4</v>
      </c>
      <c r="I320" s="19" t="str">
        <f t="shared" si="75"/>
        <v/>
      </c>
      <c r="J320" s="2" t="str">
        <f t="shared" si="76"/>
        <v/>
      </c>
      <c r="K320" s="2" t="str">
        <f t="shared" si="77"/>
        <v/>
      </c>
      <c r="L320" s="2" t="str">
        <f t="shared" si="78"/>
        <v/>
      </c>
      <c r="M320" s="2" t="str">
        <f t="shared" si="79"/>
        <v/>
      </c>
      <c r="N320" s="2">
        <f t="shared" si="80"/>
        <v>6</v>
      </c>
      <c r="O320" s="19">
        <f t="shared" si="81"/>
        <v>6</v>
      </c>
      <c r="Q320" s="2" t="str">
        <f t="shared" si="82"/>
        <v>04</v>
      </c>
      <c r="R320" s="21" t="str">
        <f t="shared" si="83"/>
        <v>2.2.04b</v>
      </c>
      <c r="S320" s="2" t="str">
        <f t="shared" si="84"/>
        <v/>
      </c>
      <c r="T320" s="2" t="str">
        <f t="shared" si="86"/>
        <v/>
      </c>
      <c r="U320" s="19" t="str">
        <f t="shared" si="72"/>
        <v/>
      </c>
    </row>
    <row r="321" spans="1:21" x14ac:dyDescent="0.2">
      <c r="A321" s="2">
        <v>320</v>
      </c>
      <c r="B321" s="21" t="str">
        <f t="shared" si="85"/>
        <v>2.2.05</v>
      </c>
      <c r="C321" s="2">
        <v>2</v>
      </c>
      <c r="D321" s="2">
        <v>2</v>
      </c>
      <c r="E321" s="2">
        <v>5</v>
      </c>
      <c r="F321" s="2" t="s">
        <v>84</v>
      </c>
      <c r="G321" s="2" t="s">
        <v>409</v>
      </c>
      <c r="H321" s="2">
        <v>4</v>
      </c>
      <c r="I321" s="19" t="str">
        <f t="shared" si="75"/>
        <v/>
      </c>
      <c r="J321" s="2" t="str">
        <f t="shared" si="76"/>
        <v/>
      </c>
      <c r="K321" s="2" t="str">
        <f t="shared" si="77"/>
        <v/>
      </c>
      <c r="L321" s="2" t="str">
        <f t="shared" si="78"/>
        <v/>
      </c>
      <c r="M321" s="2">
        <f t="shared" si="79"/>
        <v>5</v>
      </c>
      <c r="N321" s="2" t="str">
        <f t="shared" si="80"/>
        <v/>
      </c>
      <c r="O321" s="19">
        <f t="shared" si="81"/>
        <v>5</v>
      </c>
      <c r="Q321" s="2" t="str">
        <f t="shared" si="82"/>
        <v>05</v>
      </c>
      <c r="R321" s="21" t="str">
        <f t="shared" si="83"/>
        <v>2.2.05</v>
      </c>
      <c r="S321" s="2" t="str">
        <f t="shared" si="84"/>
        <v/>
      </c>
      <c r="T321" s="2" t="str">
        <f t="shared" si="86"/>
        <v/>
      </c>
      <c r="U321" s="19" t="str">
        <f t="shared" si="72"/>
        <v/>
      </c>
    </row>
    <row r="322" spans="1:21" x14ac:dyDescent="0.2">
      <c r="A322" s="2">
        <v>321</v>
      </c>
      <c r="B322" s="21" t="str">
        <f t="shared" si="85"/>
        <v>2.2.06</v>
      </c>
      <c r="C322" s="2">
        <v>2</v>
      </c>
      <c r="D322" s="2">
        <v>2</v>
      </c>
      <c r="E322" s="2">
        <v>6</v>
      </c>
      <c r="F322" s="2" t="s">
        <v>84</v>
      </c>
      <c r="G322" s="2" t="s">
        <v>410</v>
      </c>
      <c r="H322" s="2">
        <v>5</v>
      </c>
      <c r="I322" s="19" t="str">
        <f t="shared" si="75"/>
        <v/>
      </c>
      <c r="J322" s="2" t="str">
        <f t="shared" si="76"/>
        <v/>
      </c>
      <c r="K322" s="2" t="str">
        <f t="shared" si="77"/>
        <v/>
      </c>
      <c r="L322" s="2" t="str">
        <f t="shared" si="78"/>
        <v/>
      </c>
      <c r="M322" s="2">
        <f t="shared" si="79"/>
        <v>5</v>
      </c>
      <c r="N322" s="2" t="str">
        <f t="shared" si="80"/>
        <v/>
      </c>
      <c r="O322" s="19">
        <f t="shared" si="81"/>
        <v>5</v>
      </c>
      <c r="Q322" s="2" t="str">
        <f t="shared" si="82"/>
        <v>06</v>
      </c>
      <c r="R322" s="21" t="str">
        <f t="shared" si="83"/>
        <v>2.2.06</v>
      </c>
      <c r="S322" s="2" t="str">
        <f t="shared" si="84"/>
        <v/>
      </c>
      <c r="T322" s="2" t="str">
        <f t="shared" si="86"/>
        <v/>
      </c>
      <c r="U322" s="19" t="str">
        <f t="shared" si="72"/>
        <v/>
      </c>
    </row>
    <row r="323" spans="1:21" x14ac:dyDescent="0.2">
      <c r="A323" s="2">
        <v>322</v>
      </c>
      <c r="B323" s="21" t="str">
        <f t="shared" si="85"/>
        <v>2.2.07</v>
      </c>
      <c r="C323" s="2">
        <v>2</v>
      </c>
      <c r="D323" s="2">
        <v>2</v>
      </c>
      <c r="E323" s="2">
        <v>7</v>
      </c>
      <c r="F323" s="2" t="s">
        <v>84</v>
      </c>
      <c r="G323" s="2" t="s">
        <v>411</v>
      </c>
      <c r="H323" s="2" t="s">
        <v>89</v>
      </c>
      <c r="I323" s="19" t="str">
        <f t="shared" si="75"/>
        <v/>
      </c>
      <c r="J323" s="2" t="str">
        <f t="shared" si="76"/>
        <v/>
      </c>
      <c r="K323" s="2" t="str">
        <f t="shared" si="77"/>
        <v/>
      </c>
      <c r="L323" s="2">
        <f t="shared" si="78"/>
        <v>4</v>
      </c>
      <c r="M323" s="2" t="str">
        <f t="shared" si="79"/>
        <v/>
      </c>
      <c r="N323" s="2" t="str">
        <f t="shared" si="80"/>
        <v/>
      </c>
      <c r="O323" s="19">
        <f t="shared" si="81"/>
        <v>4</v>
      </c>
      <c r="Q323" s="2" t="str">
        <f t="shared" si="82"/>
        <v>07</v>
      </c>
      <c r="R323" s="21" t="str">
        <f t="shared" si="83"/>
        <v>2.2.07</v>
      </c>
      <c r="S323" s="2" t="str">
        <f t="shared" si="84"/>
        <v/>
      </c>
      <c r="T323" s="2" t="str">
        <f t="shared" si="86"/>
        <v/>
      </c>
      <c r="U323" s="19" t="str">
        <f t="shared" ref="U323:U386" si="87">IF(O323&lt;4,IF(LEN(H323)=0,"",1),IF(O323=4,IF(H323="N/A","",1),IF(AND(O323&gt;4,O323&lt;7),IF(AND(H323&gt;0,H323&lt;6),"",1),1)))</f>
        <v/>
      </c>
    </row>
    <row r="324" spans="1:21" x14ac:dyDescent="0.2">
      <c r="A324" s="2">
        <v>323</v>
      </c>
      <c r="B324" s="21" t="str">
        <f t="shared" si="85"/>
        <v>2.2.07a</v>
      </c>
      <c r="C324" s="2">
        <v>2</v>
      </c>
      <c r="D324" s="2">
        <v>2</v>
      </c>
      <c r="E324" s="2">
        <v>7</v>
      </c>
      <c r="F324" s="2" t="s">
        <v>90</v>
      </c>
      <c r="G324" s="2" t="s">
        <v>412</v>
      </c>
      <c r="H324" s="2">
        <v>5</v>
      </c>
      <c r="I324" s="19" t="str">
        <f t="shared" si="75"/>
        <v/>
      </c>
      <c r="J324" s="2" t="str">
        <f t="shared" si="76"/>
        <v/>
      </c>
      <c r="K324" s="2" t="str">
        <f t="shared" si="77"/>
        <v/>
      </c>
      <c r="L324" s="2" t="str">
        <f t="shared" si="78"/>
        <v/>
      </c>
      <c r="M324" s="2" t="str">
        <f t="shared" si="79"/>
        <v/>
      </c>
      <c r="N324" s="2">
        <f t="shared" si="80"/>
        <v>6</v>
      </c>
      <c r="O324" s="19">
        <f t="shared" si="81"/>
        <v>6</v>
      </c>
      <c r="Q324" s="2" t="str">
        <f t="shared" si="82"/>
        <v>07</v>
      </c>
      <c r="R324" s="21" t="str">
        <f t="shared" si="83"/>
        <v>2.2.07a</v>
      </c>
      <c r="S324" s="2" t="str">
        <f t="shared" si="84"/>
        <v/>
      </c>
      <c r="T324" s="2" t="str">
        <f t="shared" si="86"/>
        <v/>
      </c>
      <c r="U324" s="19" t="str">
        <f t="shared" si="87"/>
        <v/>
      </c>
    </row>
    <row r="325" spans="1:21" x14ac:dyDescent="0.2">
      <c r="A325" s="2">
        <v>324</v>
      </c>
      <c r="B325" s="21" t="str">
        <f t="shared" si="85"/>
        <v>2.2.07b</v>
      </c>
      <c r="C325" s="2">
        <v>2</v>
      </c>
      <c r="D325" s="2">
        <v>2</v>
      </c>
      <c r="E325" s="2">
        <v>7</v>
      </c>
      <c r="F325" s="2" t="s">
        <v>92</v>
      </c>
      <c r="G325" s="2" t="s">
        <v>413</v>
      </c>
      <c r="H325" s="2">
        <v>5</v>
      </c>
      <c r="I325" s="19" t="str">
        <f t="shared" si="75"/>
        <v/>
      </c>
      <c r="J325" s="2" t="str">
        <f t="shared" si="76"/>
        <v/>
      </c>
      <c r="K325" s="2" t="str">
        <f t="shared" si="77"/>
        <v/>
      </c>
      <c r="L325" s="2" t="str">
        <f t="shared" si="78"/>
        <v/>
      </c>
      <c r="M325" s="2" t="str">
        <f t="shared" si="79"/>
        <v/>
      </c>
      <c r="N325" s="2">
        <f t="shared" si="80"/>
        <v>6</v>
      </c>
      <c r="O325" s="19">
        <f t="shared" si="81"/>
        <v>6</v>
      </c>
      <c r="Q325" s="2" t="str">
        <f t="shared" si="82"/>
        <v>07</v>
      </c>
      <c r="R325" s="21" t="str">
        <f t="shared" si="83"/>
        <v>2.2.07b</v>
      </c>
      <c r="S325" s="2" t="str">
        <f t="shared" si="84"/>
        <v/>
      </c>
      <c r="T325" s="2" t="str">
        <f t="shared" si="86"/>
        <v/>
      </c>
      <c r="U325" s="19" t="str">
        <f t="shared" si="87"/>
        <v/>
      </c>
    </row>
    <row r="326" spans="1:21" x14ac:dyDescent="0.2">
      <c r="A326" s="2">
        <v>325</v>
      </c>
      <c r="B326" s="21" t="str">
        <f t="shared" si="85"/>
        <v>2.2.07c</v>
      </c>
      <c r="C326" s="2">
        <v>2</v>
      </c>
      <c r="D326" s="2">
        <v>2</v>
      </c>
      <c r="E326" s="2">
        <v>7</v>
      </c>
      <c r="F326" s="2" t="s">
        <v>94</v>
      </c>
      <c r="G326" s="2" t="s">
        <v>414</v>
      </c>
      <c r="H326" s="2">
        <v>5</v>
      </c>
      <c r="I326" s="19" t="str">
        <f t="shared" si="75"/>
        <v/>
      </c>
      <c r="J326" s="2" t="str">
        <f t="shared" si="76"/>
        <v/>
      </c>
      <c r="K326" s="2" t="str">
        <f t="shared" si="77"/>
        <v/>
      </c>
      <c r="L326" s="2" t="str">
        <f t="shared" si="78"/>
        <v/>
      </c>
      <c r="M326" s="2" t="str">
        <f t="shared" si="79"/>
        <v/>
      </c>
      <c r="N326" s="2">
        <f t="shared" si="80"/>
        <v>6</v>
      </c>
      <c r="O326" s="19">
        <f t="shared" si="81"/>
        <v>6</v>
      </c>
      <c r="Q326" s="2" t="str">
        <f t="shared" si="82"/>
        <v>07</v>
      </c>
      <c r="R326" s="21" t="str">
        <f t="shared" si="83"/>
        <v>2.2.07c</v>
      </c>
      <c r="S326" s="2" t="str">
        <f t="shared" si="84"/>
        <v/>
      </c>
      <c r="T326" s="2" t="str">
        <f t="shared" si="86"/>
        <v/>
      </c>
      <c r="U326" s="19" t="str">
        <f t="shared" si="87"/>
        <v/>
      </c>
    </row>
    <row r="327" spans="1:21" x14ac:dyDescent="0.2">
      <c r="A327" s="2">
        <v>326</v>
      </c>
      <c r="B327" s="21" t="str">
        <f t="shared" si="85"/>
        <v/>
      </c>
      <c r="C327" s="2" t="s">
        <v>84</v>
      </c>
      <c r="D327" s="2" t="s">
        <v>84</v>
      </c>
      <c r="E327" s="2" t="s">
        <v>84</v>
      </c>
      <c r="F327" s="2" t="s">
        <v>84</v>
      </c>
      <c r="G327" s="2" t="s">
        <v>415</v>
      </c>
      <c r="H327" s="2" t="s">
        <v>84</v>
      </c>
      <c r="I327" s="19" t="str">
        <f t="shared" si="75"/>
        <v/>
      </c>
      <c r="J327" s="2" t="str">
        <f t="shared" si="76"/>
        <v/>
      </c>
      <c r="K327" s="2">
        <f t="shared" si="77"/>
        <v>3</v>
      </c>
      <c r="L327" s="2" t="str">
        <f t="shared" si="78"/>
        <v/>
      </c>
      <c r="M327" s="2" t="str">
        <f t="shared" si="79"/>
        <v/>
      </c>
      <c r="N327" s="2" t="str">
        <f t="shared" si="80"/>
        <v/>
      </c>
      <c r="O327" s="19">
        <f t="shared" si="81"/>
        <v>3</v>
      </c>
      <c r="Q327" s="2" t="str">
        <f t="shared" si="82"/>
        <v/>
      </c>
      <c r="R327" s="21" t="str">
        <f t="shared" si="83"/>
        <v/>
      </c>
      <c r="S327" s="2" t="str">
        <f t="shared" si="84"/>
        <v/>
      </c>
      <c r="T327" s="2">
        <f t="shared" si="86"/>
        <v>1</v>
      </c>
      <c r="U327" s="19" t="str">
        <f t="shared" si="87"/>
        <v/>
      </c>
    </row>
    <row r="328" spans="1:21" x14ac:dyDescent="0.2">
      <c r="A328" s="2">
        <v>327</v>
      </c>
      <c r="B328" s="21" t="str">
        <f t="shared" si="85"/>
        <v>2.2.08</v>
      </c>
      <c r="C328" s="2">
        <v>2</v>
      </c>
      <c r="D328" s="2">
        <v>2</v>
      </c>
      <c r="E328" s="2">
        <v>8</v>
      </c>
      <c r="F328" s="2" t="s">
        <v>84</v>
      </c>
      <c r="G328" s="2" t="s">
        <v>416</v>
      </c>
      <c r="H328" s="2">
        <v>2</v>
      </c>
      <c r="I328" s="19" t="str">
        <f t="shared" si="75"/>
        <v/>
      </c>
      <c r="J328" s="2" t="str">
        <f t="shared" si="76"/>
        <v/>
      </c>
      <c r="K328" s="2" t="str">
        <f t="shared" si="77"/>
        <v/>
      </c>
      <c r="L328" s="2" t="str">
        <f t="shared" si="78"/>
        <v/>
      </c>
      <c r="M328" s="2">
        <f t="shared" si="79"/>
        <v>5</v>
      </c>
      <c r="N328" s="2" t="str">
        <f t="shared" si="80"/>
        <v/>
      </c>
      <c r="O328" s="19">
        <f t="shared" si="81"/>
        <v>5</v>
      </c>
      <c r="Q328" s="2" t="str">
        <f t="shared" si="82"/>
        <v>08</v>
      </c>
      <c r="R328" s="21" t="str">
        <f t="shared" si="83"/>
        <v>2.2.08</v>
      </c>
      <c r="S328" s="2" t="str">
        <f t="shared" si="84"/>
        <v/>
      </c>
      <c r="T328" s="2" t="str">
        <f t="shared" si="86"/>
        <v/>
      </c>
      <c r="U328" s="19" t="str">
        <f t="shared" si="87"/>
        <v/>
      </c>
    </row>
    <row r="329" spans="1:21" x14ac:dyDescent="0.2">
      <c r="A329" s="2">
        <v>328</v>
      </c>
      <c r="B329" s="21" t="str">
        <f t="shared" si="85"/>
        <v>2.2.09</v>
      </c>
      <c r="C329" s="2">
        <v>2</v>
      </c>
      <c r="D329" s="2">
        <v>2</v>
      </c>
      <c r="E329" s="2">
        <v>9</v>
      </c>
      <c r="F329" s="2" t="s">
        <v>84</v>
      </c>
      <c r="G329" s="2" t="s">
        <v>417</v>
      </c>
      <c r="H329" s="2" t="s">
        <v>89</v>
      </c>
      <c r="I329" s="19" t="str">
        <f t="shared" si="75"/>
        <v/>
      </c>
      <c r="J329" s="2" t="str">
        <f t="shared" si="76"/>
        <v/>
      </c>
      <c r="K329" s="2" t="str">
        <f t="shared" si="77"/>
        <v/>
      </c>
      <c r="L329" s="2">
        <f t="shared" si="78"/>
        <v>4</v>
      </c>
      <c r="M329" s="2" t="str">
        <f t="shared" si="79"/>
        <v/>
      </c>
      <c r="N329" s="2" t="str">
        <f t="shared" si="80"/>
        <v/>
      </c>
      <c r="O329" s="19">
        <f t="shared" si="81"/>
        <v>4</v>
      </c>
      <c r="Q329" s="2" t="str">
        <f t="shared" si="82"/>
        <v>09</v>
      </c>
      <c r="R329" s="21" t="str">
        <f t="shared" si="83"/>
        <v>2.2.09</v>
      </c>
      <c r="S329" s="2" t="str">
        <f t="shared" si="84"/>
        <v/>
      </c>
      <c r="T329" s="2" t="str">
        <f t="shared" si="86"/>
        <v/>
      </c>
      <c r="U329" s="19" t="str">
        <f t="shared" si="87"/>
        <v/>
      </c>
    </row>
    <row r="330" spans="1:21" x14ac:dyDescent="0.2">
      <c r="A330" s="2">
        <v>329</v>
      </c>
      <c r="B330" s="21" t="str">
        <f t="shared" si="85"/>
        <v>2.2.09a</v>
      </c>
      <c r="C330" s="2">
        <v>2</v>
      </c>
      <c r="D330" s="2">
        <v>2</v>
      </c>
      <c r="E330" s="2">
        <v>9</v>
      </c>
      <c r="F330" s="2" t="s">
        <v>90</v>
      </c>
      <c r="G330" s="2" t="s">
        <v>418</v>
      </c>
      <c r="H330" s="2">
        <v>3</v>
      </c>
      <c r="I330" s="19" t="str">
        <f t="shared" si="75"/>
        <v/>
      </c>
      <c r="J330" s="2" t="str">
        <f t="shared" si="76"/>
        <v/>
      </c>
      <c r="K330" s="2" t="str">
        <f t="shared" si="77"/>
        <v/>
      </c>
      <c r="L330" s="2" t="str">
        <f t="shared" si="78"/>
        <v/>
      </c>
      <c r="M330" s="2" t="str">
        <f t="shared" si="79"/>
        <v/>
      </c>
      <c r="N330" s="2">
        <f t="shared" si="80"/>
        <v>6</v>
      </c>
      <c r="O330" s="19">
        <f t="shared" si="81"/>
        <v>6</v>
      </c>
      <c r="Q330" s="2" t="str">
        <f t="shared" si="82"/>
        <v>09</v>
      </c>
      <c r="R330" s="21" t="str">
        <f t="shared" si="83"/>
        <v>2.2.09a</v>
      </c>
      <c r="S330" s="2" t="str">
        <f t="shared" si="84"/>
        <v/>
      </c>
      <c r="T330" s="2" t="str">
        <f t="shared" si="86"/>
        <v/>
      </c>
      <c r="U330" s="19" t="str">
        <f t="shared" si="87"/>
        <v/>
      </c>
    </row>
    <row r="331" spans="1:21" x14ac:dyDescent="0.2">
      <c r="A331" s="2">
        <v>330</v>
      </c>
      <c r="B331" s="21" t="str">
        <f t="shared" si="85"/>
        <v>2.2.09b</v>
      </c>
      <c r="C331" s="2">
        <v>2</v>
      </c>
      <c r="D331" s="2">
        <v>2</v>
      </c>
      <c r="E331" s="2">
        <v>9</v>
      </c>
      <c r="F331" s="2" t="s">
        <v>92</v>
      </c>
      <c r="G331" s="2" t="s">
        <v>419</v>
      </c>
      <c r="H331" s="2">
        <v>3</v>
      </c>
      <c r="I331" s="19" t="str">
        <f t="shared" si="75"/>
        <v/>
      </c>
      <c r="J331" s="2" t="str">
        <f t="shared" si="76"/>
        <v/>
      </c>
      <c r="K331" s="2" t="str">
        <f t="shared" si="77"/>
        <v/>
      </c>
      <c r="L331" s="2" t="str">
        <f t="shared" si="78"/>
        <v/>
      </c>
      <c r="M331" s="2" t="str">
        <f t="shared" si="79"/>
        <v/>
      </c>
      <c r="N331" s="2">
        <f t="shared" si="80"/>
        <v>6</v>
      </c>
      <c r="O331" s="19">
        <f t="shared" si="81"/>
        <v>6</v>
      </c>
      <c r="Q331" s="2" t="str">
        <f t="shared" si="82"/>
        <v>09</v>
      </c>
      <c r="R331" s="21" t="str">
        <f t="shared" si="83"/>
        <v>2.2.09b</v>
      </c>
      <c r="S331" s="2" t="str">
        <f t="shared" si="84"/>
        <v/>
      </c>
      <c r="T331" s="2" t="str">
        <f t="shared" si="86"/>
        <v/>
      </c>
      <c r="U331" s="19" t="str">
        <f t="shared" si="87"/>
        <v/>
      </c>
    </row>
    <row r="332" spans="1:21" x14ac:dyDescent="0.2">
      <c r="A332" s="2">
        <v>331</v>
      </c>
      <c r="B332" s="21" t="str">
        <f t="shared" si="85"/>
        <v>2.2.09c</v>
      </c>
      <c r="C332" s="2">
        <v>2</v>
      </c>
      <c r="D332" s="2">
        <v>2</v>
      </c>
      <c r="E332" s="2">
        <v>9</v>
      </c>
      <c r="F332" s="2" t="s">
        <v>94</v>
      </c>
      <c r="G332" s="2" t="s">
        <v>420</v>
      </c>
      <c r="H332" s="2">
        <v>3</v>
      </c>
      <c r="I332" s="19" t="str">
        <f t="shared" si="75"/>
        <v/>
      </c>
      <c r="J332" s="2" t="str">
        <f t="shared" si="76"/>
        <v/>
      </c>
      <c r="K332" s="2" t="str">
        <f t="shared" si="77"/>
        <v/>
      </c>
      <c r="L332" s="2" t="str">
        <f t="shared" si="78"/>
        <v/>
      </c>
      <c r="M332" s="2" t="str">
        <f t="shared" si="79"/>
        <v/>
      </c>
      <c r="N332" s="2">
        <f t="shared" si="80"/>
        <v>6</v>
      </c>
      <c r="O332" s="19">
        <f t="shared" si="81"/>
        <v>6</v>
      </c>
      <c r="Q332" s="2" t="str">
        <f t="shared" si="82"/>
        <v>09</v>
      </c>
      <c r="R332" s="21" t="str">
        <f t="shared" si="83"/>
        <v>2.2.09c</v>
      </c>
      <c r="S332" s="2" t="str">
        <f t="shared" si="84"/>
        <v/>
      </c>
      <c r="T332" s="2" t="str">
        <f t="shared" si="86"/>
        <v/>
      </c>
      <c r="U332" s="19" t="str">
        <f t="shared" si="87"/>
        <v/>
      </c>
    </row>
    <row r="333" spans="1:21" x14ac:dyDescent="0.2">
      <c r="A333" s="2">
        <v>332</v>
      </c>
      <c r="B333" s="21" t="str">
        <f t="shared" si="85"/>
        <v/>
      </c>
      <c r="C333" s="2" t="s">
        <v>84</v>
      </c>
      <c r="D333" s="2" t="s">
        <v>84</v>
      </c>
      <c r="E333" s="2" t="s">
        <v>84</v>
      </c>
      <c r="F333" s="2" t="s">
        <v>84</v>
      </c>
      <c r="G333" s="2" t="s">
        <v>421</v>
      </c>
      <c r="H333" s="2" t="s">
        <v>84</v>
      </c>
      <c r="I333" s="19" t="str">
        <f t="shared" si="75"/>
        <v/>
      </c>
      <c r="J333" s="2" t="str">
        <f t="shared" si="76"/>
        <v/>
      </c>
      <c r="K333" s="2">
        <f t="shared" si="77"/>
        <v>3</v>
      </c>
      <c r="L333" s="2" t="str">
        <f t="shared" si="78"/>
        <v/>
      </c>
      <c r="M333" s="2" t="str">
        <f t="shared" si="79"/>
        <v/>
      </c>
      <c r="N333" s="2" t="str">
        <f t="shared" si="80"/>
        <v/>
      </c>
      <c r="O333" s="19">
        <f t="shared" si="81"/>
        <v>3</v>
      </c>
      <c r="Q333" s="2" t="str">
        <f t="shared" si="82"/>
        <v/>
      </c>
      <c r="R333" s="21" t="str">
        <f t="shared" si="83"/>
        <v/>
      </c>
      <c r="S333" s="2" t="str">
        <f t="shared" si="84"/>
        <v/>
      </c>
      <c r="T333" s="2">
        <f t="shared" si="86"/>
        <v>1</v>
      </c>
      <c r="U333" s="19" t="str">
        <f t="shared" si="87"/>
        <v/>
      </c>
    </row>
    <row r="334" spans="1:21" x14ac:dyDescent="0.2">
      <c r="A334" s="2">
        <v>333</v>
      </c>
      <c r="B334" s="21" t="str">
        <f t="shared" si="85"/>
        <v>2.2.10</v>
      </c>
      <c r="C334" s="2">
        <v>2</v>
      </c>
      <c r="D334" s="2">
        <v>2</v>
      </c>
      <c r="E334" s="2">
        <v>10</v>
      </c>
      <c r="F334" s="2" t="s">
        <v>84</v>
      </c>
      <c r="G334" s="2" t="s">
        <v>422</v>
      </c>
      <c r="H334" s="2">
        <v>2</v>
      </c>
      <c r="I334" s="19" t="str">
        <f t="shared" si="75"/>
        <v/>
      </c>
      <c r="J334" s="2" t="str">
        <f t="shared" si="76"/>
        <v/>
      </c>
      <c r="K334" s="2" t="str">
        <f t="shared" si="77"/>
        <v/>
      </c>
      <c r="L334" s="2" t="str">
        <f t="shared" si="78"/>
        <v/>
      </c>
      <c r="M334" s="2">
        <f t="shared" si="79"/>
        <v>5</v>
      </c>
      <c r="N334" s="2" t="str">
        <f t="shared" si="80"/>
        <v/>
      </c>
      <c r="O334" s="19">
        <f t="shared" si="81"/>
        <v>5</v>
      </c>
      <c r="Q334" s="2" t="str">
        <f t="shared" si="82"/>
        <v>10</v>
      </c>
      <c r="R334" s="21" t="str">
        <f t="shared" si="83"/>
        <v>2.2.10</v>
      </c>
      <c r="S334" s="2" t="str">
        <f t="shared" si="84"/>
        <v/>
      </c>
      <c r="T334" s="2" t="str">
        <f t="shared" si="86"/>
        <v/>
      </c>
      <c r="U334" s="19" t="str">
        <f t="shared" si="87"/>
        <v/>
      </c>
    </row>
    <row r="335" spans="1:21" x14ac:dyDescent="0.2">
      <c r="A335" s="2">
        <v>334</v>
      </c>
      <c r="B335" s="21" t="str">
        <f t="shared" si="85"/>
        <v>2.2.11</v>
      </c>
      <c r="C335" s="2">
        <v>2</v>
      </c>
      <c r="D335" s="2">
        <v>2</v>
      </c>
      <c r="E335" s="2">
        <v>11</v>
      </c>
      <c r="F335" s="2" t="s">
        <v>84</v>
      </c>
      <c r="G335" s="2" t="s">
        <v>423</v>
      </c>
      <c r="H335" s="2" t="s">
        <v>89</v>
      </c>
      <c r="I335" s="19" t="str">
        <f t="shared" si="75"/>
        <v/>
      </c>
      <c r="J335" s="2" t="str">
        <f t="shared" si="76"/>
        <v/>
      </c>
      <c r="K335" s="2" t="str">
        <f t="shared" si="77"/>
        <v/>
      </c>
      <c r="L335" s="2">
        <f t="shared" si="78"/>
        <v>4</v>
      </c>
      <c r="M335" s="2" t="str">
        <f t="shared" si="79"/>
        <v/>
      </c>
      <c r="N335" s="2" t="str">
        <f t="shared" si="80"/>
        <v/>
      </c>
      <c r="O335" s="19">
        <f t="shared" si="81"/>
        <v>4</v>
      </c>
      <c r="Q335" s="2" t="str">
        <f t="shared" si="82"/>
        <v>11</v>
      </c>
      <c r="R335" s="21" t="str">
        <f t="shared" si="83"/>
        <v>2.2.11</v>
      </c>
      <c r="S335" s="2" t="str">
        <f t="shared" si="84"/>
        <v/>
      </c>
      <c r="T335" s="2" t="str">
        <f t="shared" si="86"/>
        <v/>
      </c>
      <c r="U335" s="19" t="str">
        <f t="shared" si="87"/>
        <v/>
      </c>
    </row>
    <row r="336" spans="1:21" x14ac:dyDescent="0.2">
      <c r="A336" s="2">
        <v>335</v>
      </c>
      <c r="B336" s="21" t="str">
        <f t="shared" si="85"/>
        <v>2.2.11a</v>
      </c>
      <c r="C336" s="2">
        <v>2</v>
      </c>
      <c r="D336" s="2">
        <v>2</v>
      </c>
      <c r="E336" s="2">
        <v>11</v>
      </c>
      <c r="F336" s="2" t="s">
        <v>90</v>
      </c>
      <c r="G336" s="2" t="s">
        <v>424</v>
      </c>
      <c r="H336" s="2">
        <v>2</v>
      </c>
      <c r="I336" s="19" t="str">
        <f t="shared" si="75"/>
        <v/>
      </c>
      <c r="J336" s="2" t="str">
        <f t="shared" si="76"/>
        <v/>
      </c>
      <c r="K336" s="2" t="str">
        <f t="shared" si="77"/>
        <v/>
      </c>
      <c r="L336" s="2" t="str">
        <f t="shared" si="78"/>
        <v/>
      </c>
      <c r="M336" s="2" t="str">
        <f t="shared" si="79"/>
        <v/>
      </c>
      <c r="N336" s="2">
        <f t="shared" si="80"/>
        <v>6</v>
      </c>
      <c r="O336" s="19">
        <f t="shared" si="81"/>
        <v>6</v>
      </c>
      <c r="Q336" s="2" t="str">
        <f t="shared" si="82"/>
        <v>11</v>
      </c>
      <c r="R336" s="21" t="str">
        <f t="shared" si="83"/>
        <v>2.2.11a</v>
      </c>
      <c r="S336" s="2" t="str">
        <f t="shared" si="84"/>
        <v/>
      </c>
      <c r="T336" s="2" t="str">
        <f t="shared" si="86"/>
        <v/>
      </c>
      <c r="U336" s="19" t="str">
        <f t="shared" si="87"/>
        <v/>
      </c>
    </row>
    <row r="337" spans="1:21" x14ac:dyDescent="0.2">
      <c r="A337" s="2">
        <v>336</v>
      </c>
      <c r="B337" s="21" t="str">
        <f t="shared" si="85"/>
        <v>2.2.11b</v>
      </c>
      <c r="C337" s="2">
        <v>2</v>
      </c>
      <c r="D337" s="2">
        <v>2</v>
      </c>
      <c r="E337" s="2">
        <v>11</v>
      </c>
      <c r="F337" s="2" t="s">
        <v>92</v>
      </c>
      <c r="G337" s="2" t="s">
        <v>425</v>
      </c>
      <c r="H337" s="2">
        <v>3</v>
      </c>
      <c r="I337" s="19" t="str">
        <f t="shared" si="75"/>
        <v/>
      </c>
      <c r="J337" s="2" t="str">
        <f t="shared" si="76"/>
        <v/>
      </c>
      <c r="K337" s="2" t="str">
        <f t="shared" si="77"/>
        <v/>
      </c>
      <c r="L337" s="2" t="str">
        <f t="shared" si="78"/>
        <v/>
      </c>
      <c r="M337" s="2" t="str">
        <f t="shared" si="79"/>
        <v/>
      </c>
      <c r="N337" s="2">
        <f t="shared" si="80"/>
        <v>6</v>
      </c>
      <c r="O337" s="19">
        <f t="shared" si="81"/>
        <v>6</v>
      </c>
      <c r="Q337" s="2" t="str">
        <f t="shared" si="82"/>
        <v>11</v>
      </c>
      <c r="R337" s="21" t="str">
        <f t="shared" si="83"/>
        <v>2.2.11b</v>
      </c>
      <c r="S337" s="2" t="str">
        <f t="shared" si="84"/>
        <v/>
      </c>
      <c r="T337" s="2" t="str">
        <f t="shared" si="86"/>
        <v/>
      </c>
      <c r="U337" s="19" t="str">
        <f t="shared" si="87"/>
        <v/>
      </c>
    </row>
    <row r="338" spans="1:21" x14ac:dyDescent="0.2">
      <c r="A338" s="2">
        <v>337</v>
      </c>
      <c r="B338" s="21" t="str">
        <f t="shared" si="85"/>
        <v>2.2.11c</v>
      </c>
      <c r="C338" s="2">
        <v>2</v>
      </c>
      <c r="D338" s="2">
        <v>2</v>
      </c>
      <c r="E338" s="2">
        <v>11</v>
      </c>
      <c r="F338" s="2" t="s">
        <v>94</v>
      </c>
      <c r="G338" s="2" t="s">
        <v>426</v>
      </c>
      <c r="H338" s="2">
        <v>3</v>
      </c>
      <c r="I338" s="19" t="str">
        <f t="shared" si="75"/>
        <v/>
      </c>
      <c r="J338" s="2" t="str">
        <f t="shared" si="76"/>
        <v/>
      </c>
      <c r="K338" s="2" t="str">
        <f t="shared" si="77"/>
        <v/>
      </c>
      <c r="L338" s="2" t="str">
        <f t="shared" si="78"/>
        <v/>
      </c>
      <c r="M338" s="2" t="str">
        <f t="shared" si="79"/>
        <v/>
      </c>
      <c r="N338" s="2">
        <f t="shared" si="80"/>
        <v>6</v>
      </c>
      <c r="O338" s="19">
        <f t="shared" si="81"/>
        <v>6</v>
      </c>
      <c r="Q338" s="2" t="str">
        <f t="shared" si="82"/>
        <v>11</v>
      </c>
      <c r="R338" s="21" t="str">
        <f t="shared" si="83"/>
        <v>2.2.11c</v>
      </c>
      <c r="S338" s="2" t="str">
        <f t="shared" si="84"/>
        <v/>
      </c>
      <c r="T338" s="2" t="str">
        <f t="shared" si="86"/>
        <v/>
      </c>
      <c r="U338" s="19" t="str">
        <f t="shared" si="87"/>
        <v/>
      </c>
    </row>
    <row r="339" spans="1:21" x14ac:dyDescent="0.2">
      <c r="A339" s="2">
        <v>338</v>
      </c>
      <c r="B339" s="21" t="str">
        <f t="shared" si="85"/>
        <v>2.2.12</v>
      </c>
      <c r="C339" s="2">
        <v>2</v>
      </c>
      <c r="D339" s="2">
        <v>2</v>
      </c>
      <c r="E339" s="2">
        <v>12</v>
      </c>
      <c r="F339" s="2" t="s">
        <v>84</v>
      </c>
      <c r="G339" s="2" t="s">
        <v>427</v>
      </c>
      <c r="H339" s="2" t="s">
        <v>89</v>
      </c>
      <c r="I339" s="19" t="str">
        <f t="shared" si="75"/>
        <v/>
      </c>
      <c r="J339" s="2" t="str">
        <f t="shared" si="76"/>
        <v/>
      </c>
      <c r="K339" s="2" t="str">
        <f t="shared" si="77"/>
        <v/>
      </c>
      <c r="L339" s="2">
        <f t="shared" si="78"/>
        <v>4</v>
      </c>
      <c r="M339" s="2" t="str">
        <f t="shared" si="79"/>
        <v/>
      </c>
      <c r="N339" s="2" t="str">
        <f t="shared" si="80"/>
        <v/>
      </c>
      <c r="O339" s="19">
        <f t="shared" si="81"/>
        <v>4</v>
      </c>
      <c r="Q339" s="2" t="str">
        <f t="shared" si="82"/>
        <v>12</v>
      </c>
      <c r="R339" s="21" t="str">
        <f t="shared" si="83"/>
        <v>2.2.12</v>
      </c>
      <c r="S339" s="2" t="str">
        <f t="shared" si="84"/>
        <v/>
      </c>
      <c r="T339" s="2" t="str">
        <f t="shared" si="86"/>
        <v/>
      </c>
      <c r="U339" s="19" t="str">
        <f t="shared" si="87"/>
        <v/>
      </c>
    </row>
    <row r="340" spans="1:21" x14ac:dyDescent="0.2">
      <c r="A340" s="2">
        <v>339</v>
      </c>
      <c r="B340" s="21" t="str">
        <f t="shared" si="85"/>
        <v>2.2.12a</v>
      </c>
      <c r="C340" s="2">
        <v>2</v>
      </c>
      <c r="D340" s="2">
        <v>2</v>
      </c>
      <c r="E340" s="2">
        <v>12</v>
      </c>
      <c r="F340" s="2" t="s">
        <v>90</v>
      </c>
      <c r="G340" s="2" t="s">
        <v>428</v>
      </c>
      <c r="H340" s="2">
        <v>4</v>
      </c>
      <c r="I340" s="19" t="str">
        <f t="shared" si="75"/>
        <v/>
      </c>
      <c r="J340" s="2" t="str">
        <f t="shared" si="76"/>
        <v/>
      </c>
      <c r="K340" s="2" t="str">
        <f t="shared" si="77"/>
        <v/>
      </c>
      <c r="L340" s="2" t="str">
        <f t="shared" si="78"/>
        <v/>
      </c>
      <c r="M340" s="2" t="str">
        <f t="shared" si="79"/>
        <v/>
      </c>
      <c r="N340" s="2">
        <f t="shared" si="80"/>
        <v>6</v>
      </c>
      <c r="O340" s="19">
        <f t="shared" si="81"/>
        <v>6</v>
      </c>
      <c r="Q340" s="2" t="str">
        <f t="shared" si="82"/>
        <v>12</v>
      </c>
      <c r="R340" s="21" t="str">
        <f t="shared" si="83"/>
        <v>2.2.12a</v>
      </c>
      <c r="S340" s="2" t="str">
        <f t="shared" si="84"/>
        <v/>
      </c>
      <c r="T340" s="2" t="str">
        <f t="shared" si="86"/>
        <v/>
      </c>
      <c r="U340" s="19" t="str">
        <f t="shared" si="87"/>
        <v/>
      </c>
    </row>
    <row r="341" spans="1:21" x14ac:dyDescent="0.2">
      <c r="A341" s="2">
        <v>340</v>
      </c>
      <c r="B341" s="21" t="str">
        <f t="shared" si="85"/>
        <v>2.2.12b</v>
      </c>
      <c r="C341" s="2">
        <v>2</v>
      </c>
      <c r="D341" s="2">
        <v>2</v>
      </c>
      <c r="E341" s="2">
        <v>12</v>
      </c>
      <c r="F341" s="2" t="s">
        <v>92</v>
      </c>
      <c r="G341" s="2" t="s">
        <v>429</v>
      </c>
      <c r="H341" s="2">
        <v>4</v>
      </c>
      <c r="I341" s="19" t="str">
        <f t="shared" si="75"/>
        <v/>
      </c>
      <c r="J341" s="2" t="str">
        <f t="shared" si="76"/>
        <v/>
      </c>
      <c r="K341" s="2" t="str">
        <f t="shared" si="77"/>
        <v/>
      </c>
      <c r="L341" s="2" t="str">
        <f t="shared" si="78"/>
        <v/>
      </c>
      <c r="M341" s="2" t="str">
        <f t="shared" si="79"/>
        <v/>
      </c>
      <c r="N341" s="2">
        <f t="shared" si="80"/>
        <v>6</v>
      </c>
      <c r="O341" s="19">
        <f t="shared" si="81"/>
        <v>6</v>
      </c>
      <c r="Q341" s="2" t="str">
        <f t="shared" si="82"/>
        <v>12</v>
      </c>
      <c r="R341" s="21" t="str">
        <f t="shared" si="83"/>
        <v>2.2.12b</v>
      </c>
      <c r="S341" s="2" t="str">
        <f t="shared" si="84"/>
        <v/>
      </c>
      <c r="T341" s="2" t="str">
        <f t="shared" si="86"/>
        <v/>
      </c>
      <c r="U341" s="19" t="str">
        <f t="shared" si="87"/>
        <v/>
      </c>
    </row>
    <row r="342" spans="1:21" x14ac:dyDescent="0.2">
      <c r="A342" s="2">
        <v>341</v>
      </c>
      <c r="B342" s="21" t="str">
        <f t="shared" si="85"/>
        <v>2.2.13</v>
      </c>
      <c r="C342" s="2">
        <v>2</v>
      </c>
      <c r="D342" s="2">
        <v>2</v>
      </c>
      <c r="E342" s="2">
        <v>13</v>
      </c>
      <c r="F342" s="2" t="s">
        <v>84</v>
      </c>
      <c r="G342" s="2" t="s">
        <v>430</v>
      </c>
      <c r="H342" s="2">
        <v>4</v>
      </c>
      <c r="I342" s="19" t="str">
        <f t="shared" si="75"/>
        <v/>
      </c>
      <c r="J342" s="2" t="str">
        <f t="shared" si="76"/>
        <v/>
      </c>
      <c r="K342" s="2" t="str">
        <f t="shared" si="77"/>
        <v/>
      </c>
      <c r="L342" s="2" t="str">
        <f t="shared" si="78"/>
        <v/>
      </c>
      <c r="M342" s="2">
        <f t="shared" si="79"/>
        <v>5</v>
      </c>
      <c r="N342" s="2" t="str">
        <f t="shared" si="80"/>
        <v/>
      </c>
      <c r="O342" s="19">
        <f t="shared" si="81"/>
        <v>5</v>
      </c>
      <c r="Q342" s="2" t="str">
        <f t="shared" si="82"/>
        <v>13</v>
      </c>
      <c r="R342" s="21" t="str">
        <f t="shared" si="83"/>
        <v>2.2.13</v>
      </c>
      <c r="S342" s="2" t="str">
        <f t="shared" si="84"/>
        <v/>
      </c>
      <c r="T342" s="2" t="str">
        <f t="shared" si="86"/>
        <v/>
      </c>
      <c r="U342" s="19" t="str">
        <f t="shared" si="87"/>
        <v/>
      </c>
    </row>
    <row r="343" spans="1:21" x14ac:dyDescent="0.2">
      <c r="A343" s="2">
        <v>342</v>
      </c>
      <c r="B343" s="21" t="str">
        <f t="shared" si="85"/>
        <v>2.2.14</v>
      </c>
      <c r="C343" s="2">
        <v>2</v>
      </c>
      <c r="D343" s="2">
        <v>2</v>
      </c>
      <c r="E343" s="2">
        <v>14</v>
      </c>
      <c r="F343" s="2" t="s">
        <v>84</v>
      </c>
      <c r="G343" s="2" t="s">
        <v>431</v>
      </c>
      <c r="H343" s="2">
        <v>4</v>
      </c>
      <c r="I343" s="19" t="str">
        <f t="shared" si="75"/>
        <v/>
      </c>
      <c r="J343" s="2" t="str">
        <f t="shared" si="76"/>
        <v/>
      </c>
      <c r="K343" s="2" t="str">
        <f t="shared" si="77"/>
        <v/>
      </c>
      <c r="L343" s="2" t="str">
        <f t="shared" si="78"/>
        <v/>
      </c>
      <c r="M343" s="2">
        <f t="shared" si="79"/>
        <v>5</v>
      </c>
      <c r="N343" s="2" t="str">
        <f t="shared" si="80"/>
        <v/>
      </c>
      <c r="O343" s="19">
        <f t="shared" si="81"/>
        <v>5</v>
      </c>
      <c r="Q343" s="2" t="str">
        <f t="shared" si="82"/>
        <v>14</v>
      </c>
      <c r="R343" s="21" t="str">
        <f t="shared" si="83"/>
        <v>2.2.14</v>
      </c>
      <c r="S343" s="2" t="str">
        <f t="shared" si="84"/>
        <v/>
      </c>
      <c r="T343" s="2" t="str">
        <f t="shared" si="86"/>
        <v/>
      </c>
      <c r="U343" s="19" t="str">
        <f t="shared" si="87"/>
        <v/>
      </c>
    </row>
    <row r="344" spans="1:21" x14ac:dyDescent="0.2">
      <c r="A344" s="2">
        <v>343</v>
      </c>
      <c r="B344" s="21" t="str">
        <f t="shared" si="85"/>
        <v>2.2.15</v>
      </c>
      <c r="C344" s="2">
        <v>2</v>
      </c>
      <c r="D344" s="2">
        <v>2</v>
      </c>
      <c r="E344" s="2">
        <v>15</v>
      </c>
      <c r="F344" s="2" t="s">
        <v>84</v>
      </c>
      <c r="G344" s="2" t="s">
        <v>432</v>
      </c>
      <c r="H344" s="2" t="s">
        <v>89</v>
      </c>
      <c r="I344" s="19" t="str">
        <f t="shared" si="75"/>
        <v/>
      </c>
      <c r="J344" s="2" t="str">
        <f t="shared" si="76"/>
        <v/>
      </c>
      <c r="K344" s="2" t="str">
        <f t="shared" si="77"/>
        <v/>
      </c>
      <c r="L344" s="2">
        <f t="shared" si="78"/>
        <v>4</v>
      </c>
      <c r="M344" s="2" t="str">
        <f t="shared" si="79"/>
        <v/>
      </c>
      <c r="N344" s="2" t="str">
        <f t="shared" si="80"/>
        <v/>
      </c>
      <c r="O344" s="19">
        <f t="shared" si="81"/>
        <v>4</v>
      </c>
      <c r="Q344" s="2" t="str">
        <f t="shared" si="82"/>
        <v>15</v>
      </c>
      <c r="R344" s="21" t="str">
        <f t="shared" si="83"/>
        <v>2.2.15</v>
      </c>
      <c r="S344" s="2" t="str">
        <f t="shared" si="84"/>
        <v/>
      </c>
      <c r="T344" s="2" t="str">
        <f t="shared" si="86"/>
        <v/>
      </c>
      <c r="U344" s="19" t="str">
        <f t="shared" si="87"/>
        <v/>
      </c>
    </row>
    <row r="345" spans="1:21" x14ac:dyDescent="0.2">
      <c r="A345" s="2">
        <v>344</v>
      </c>
      <c r="B345" s="21" t="str">
        <f t="shared" si="85"/>
        <v>2.2.15a</v>
      </c>
      <c r="C345" s="2">
        <v>2</v>
      </c>
      <c r="D345" s="2">
        <v>2</v>
      </c>
      <c r="E345" s="2">
        <v>15</v>
      </c>
      <c r="F345" s="2" t="s">
        <v>90</v>
      </c>
      <c r="G345" s="2" t="s">
        <v>433</v>
      </c>
      <c r="H345" s="2">
        <v>3</v>
      </c>
      <c r="I345" s="19" t="str">
        <f t="shared" si="75"/>
        <v/>
      </c>
      <c r="J345" s="2" t="str">
        <f t="shared" si="76"/>
        <v/>
      </c>
      <c r="K345" s="2" t="str">
        <f t="shared" si="77"/>
        <v/>
      </c>
      <c r="L345" s="2" t="str">
        <f t="shared" si="78"/>
        <v/>
      </c>
      <c r="M345" s="2" t="str">
        <f t="shared" si="79"/>
        <v/>
      </c>
      <c r="N345" s="2">
        <f t="shared" si="80"/>
        <v>6</v>
      </c>
      <c r="O345" s="19">
        <f t="shared" si="81"/>
        <v>6</v>
      </c>
      <c r="Q345" s="2" t="str">
        <f t="shared" si="82"/>
        <v>15</v>
      </c>
      <c r="R345" s="21" t="str">
        <f t="shared" si="83"/>
        <v>2.2.15a</v>
      </c>
      <c r="S345" s="2" t="str">
        <f t="shared" si="84"/>
        <v/>
      </c>
      <c r="T345" s="2" t="str">
        <f t="shared" si="86"/>
        <v/>
      </c>
      <c r="U345" s="19" t="str">
        <f t="shared" si="87"/>
        <v/>
      </c>
    </row>
    <row r="346" spans="1:21" x14ac:dyDescent="0.2">
      <c r="A346" s="2">
        <v>345</v>
      </c>
      <c r="B346" s="21" t="str">
        <f t="shared" si="85"/>
        <v>2.2.15b</v>
      </c>
      <c r="C346" s="2">
        <v>2</v>
      </c>
      <c r="D346" s="2">
        <v>2</v>
      </c>
      <c r="E346" s="2">
        <v>15</v>
      </c>
      <c r="F346" s="2" t="s">
        <v>92</v>
      </c>
      <c r="G346" s="2" t="s">
        <v>434</v>
      </c>
      <c r="H346" s="2">
        <v>3</v>
      </c>
      <c r="I346" s="19" t="str">
        <f t="shared" si="75"/>
        <v/>
      </c>
      <c r="J346" s="2" t="str">
        <f t="shared" si="76"/>
        <v/>
      </c>
      <c r="K346" s="2" t="str">
        <f t="shared" si="77"/>
        <v/>
      </c>
      <c r="L346" s="2" t="str">
        <f t="shared" si="78"/>
        <v/>
      </c>
      <c r="M346" s="2" t="str">
        <f t="shared" si="79"/>
        <v/>
      </c>
      <c r="N346" s="2">
        <f t="shared" si="80"/>
        <v>6</v>
      </c>
      <c r="O346" s="19">
        <f t="shared" si="81"/>
        <v>6</v>
      </c>
      <c r="Q346" s="2" t="str">
        <f t="shared" si="82"/>
        <v>15</v>
      </c>
      <c r="R346" s="21" t="str">
        <f t="shared" si="83"/>
        <v>2.2.15b</v>
      </c>
      <c r="S346" s="2" t="str">
        <f t="shared" si="84"/>
        <v/>
      </c>
      <c r="T346" s="2" t="str">
        <f t="shared" si="86"/>
        <v/>
      </c>
      <c r="U346" s="19" t="str">
        <f t="shared" si="87"/>
        <v/>
      </c>
    </row>
    <row r="347" spans="1:21" x14ac:dyDescent="0.2">
      <c r="A347" s="2">
        <v>346</v>
      </c>
      <c r="B347" s="21" t="str">
        <f t="shared" si="85"/>
        <v>2.2.15c</v>
      </c>
      <c r="C347" s="2">
        <v>2</v>
      </c>
      <c r="D347" s="2">
        <v>2</v>
      </c>
      <c r="E347" s="2">
        <v>15</v>
      </c>
      <c r="F347" s="2" t="s">
        <v>94</v>
      </c>
      <c r="G347" s="2" t="s">
        <v>435</v>
      </c>
      <c r="H347" s="2">
        <v>5</v>
      </c>
      <c r="I347" s="19" t="str">
        <f t="shared" si="75"/>
        <v/>
      </c>
      <c r="J347" s="2" t="str">
        <f t="shared" si="76"/>
        <v/>
      </c>
      <c r="K347" s="2" t="str">
        <f t="shared" si="77"/>
        <v/>
      </c>
      <c r="L347" s="2" t="str">
        <f t="shared" si="78"/>
        <v/>
      </c>
      <c r="M347" s="2" t="str">
        <f t="shared" si="79"/>
        <v/>
      </c>
      <c r="N347" s="2">
        <f t="shared" si="80"/>
        <v>6</v>
      </c>
      <c r="O347" s="19">
        <f t="shared" si="81"/>
        <v>6</v>
      </c>
      <c r="Q347" s="2" t="str">
        <f t="shared" si="82"/>
        <v>15</v>
      </c>
      <c r="R347" s="21" t="str">
        <f t="shared" si="83"/>
        <v>2.2.15c</v>
      </c>
      <c r="S347" s="2" t="str">
        <f t="shared" si="84"/>
        <v/>
      </c>
      <c r="T347" s="2" t="str">
        <f t="shared" si="86"/>
        <v/>
      </c>
      <c r="U347" s="19" t="str">
        <f t="shared" si="87"/>
        <v/>
      </c>
    </row>
    <row r="348" spans="1:21" x14ac:dyDescent="0.2">
      <c r="A348" s="2">
        <v>347</v>
      </c>
      <c r="B348" s="21" t="str">
        <f t="shared" si="85"/>
        <v/>
      </c>
      <c r="C348" s="2" t="s">
        <v>84</v>
      </c>
      <c r="D348" s="2" t="s">
        <v>84</v>
      </c>
      <c r="E348" s="2" t="s">
        <v>84</v>
      </c>
      <c r="F348" s="2" t="s">
        <v>84</v>
      </c>
      <c r="G348" s="2" t="s">
        <v>436</v>
      </c>
      <c r="H348" s="2" t="s">
        <v>84</v>
      </c>
      <c r="I348" s="19" t="str">
        <f t="shared" si="75"/>
        <v/>
      </c>
      <c r="J348" s="2" t="str">
        <f t="shared" si="76"/>
        <v/>
      </c>
      <c r="K348" s="2">
        <f t="shared" si="77"/>
        <v>3</v>
      </c>
      <c r="L348" s="2" t="str">
        <f t="shared" si="78"/>
        <v/>
      </c>
      <c r="M348" s="2" t="str">
        <f t="shared" si="79"/>
        <v/>
      </c>
      <c r="N348" s="2" t="str">
        <f t="shared" si="80"/>
        <v/>
      </c>
      <c r="O348" s="19">
        <f t="shared" si="81"/>
        <v>3</v>
      </c>
      <c r="Q348" s="2" t="str">
        <f t="shared" si="82"/>
        <v/>
      </c>
      <c r="R348" s="21" t="str">
        <f t="shared" si="83"/>
        <v/>
      </c>
      <c r="S348" s="2" t="str">
        <f t="shared" si="84"/>
        <v/>
      </c>
      <c r="T348" s="2">
        <f t="shared" si="86"/>
        <v>1</v>
      </c>
      <c r="U348" s="19" t="str">
        <f t="shared" si="87"/>
        <v/>
      </c>
    </row>
    <row r="349" spans="1:21" x14ac:dyDescent="0.2">
      <c r="A349" s="2">
        <v>348</v>
      </c>
      <c r="B349" s="21" t="str">
        <f t="shared" si="85"/>
        <v>2.2.16</v>
      </c>
      <c r="C349" s="2">
        <v>2</v>
      </c>
      <c r="D349" s="2">
        <v>2</v>
      </c>
      <c r="E349" s="2">
        <v>16</v>
      </c>
      <c r="F349" s="2" t="s">
        <v>84</v>
      </c>
      <c r="G349" s="2" t="s">
        <v>437</v>
      </c>
      <c r="H349" s="2">
        <v>3</v>
      </c>
      <c r="I349" s="19" t="str">
        <f t="shared" si="75"/>
        <v/>
      </c>
      <c r="J349" s="2" t="str">
        <f t="shared" si="76"/>
        <v/>
      </c>
      <c r="K349" s="2" t="str">
        <f t="shared" si="77"/>
        <v/>
      </c>
      <c r="L349" s="2" t="str">
        <f t="shared" si="78"/>
        <v/>
      </c>
      <c r="M349" s="2">
        <f t="shared" si="79"/>
        <v>5</v>
      </c>
      <c r="N349" s="2" t="str">
        <f t="shared" si="80"/>
        <v/>
      </c>
      <c r="O349" s="19">
        <f t="shared" si="81"/>
        <v>5</v>
      </c>
      <c r="Q349" s="2" t="str">
        <f t="shared" si="82"/>
        <v>16</v>
      </c>
      <c r="R349" s="21" t="str">
        <f t="shared" si="83"/>
        <v>2.2.16</v>
      </c>
      <c r="S349" s="2" t="str">
        <f t="shared" si="84"/>
        <v/>
      </c>
      <c r="T349" s="2" t="str">
        <f t="shared" si="86"/>
        <v/>
      </c>
      <c r="U349" s="19" t="str">
        <f t="shared" si="87"/>
        <v/>
      </c>
    </row>
    <row r="350" spans="1:21" x14ac:dyDescent="0.2">
      <c r="A350" s="2">
        <v>349</v>
      </c>
      <c r="B350" s="21" t="str">
        <f t="shared" si="85"/>
        <v>2.2.17</v>
      </c>
      <c r="C350" s="2">
        <v>2</v>
      </c>
      <c r="D350" s="2">
        <v>2</v>
      </c>
      <c r="E350" s="2">
        <v>17</v>
      </c>
      <c r="F350" s="2" t="s">
        <v>84</v>
      </c>
      <c r="G350" s="2" t="s">
        <v>438</v>
      </c>
      <c r="H350" s="2" t="s">
        <v>89</v>
      </c>
      <c r="I350" s="19" t="str">
        <f t="shared" si="75"/>
        <v/>
      </c>
      <c r="J350" s="2" t="str">
        <f t="shared" si="76"/>
        <v/>
      </c>
      <c r="K350" s="2" t="str">
        <f t="shared" si="77"/>
        <v/>
      </c>
      <c r="L350" s="2">
        <f t="shared" si="78"/>
        <v>4</v>
      </c>
      <c r="M350" s="2" t="str">
        <f t="shared" si="79"/>
        <v/>
      </c>
      <c r="N350" s="2" t="str">
        <f t="shared" si="80"/>
        <v/>
      </c>
      <c r="O350" s="19">
        <f t="shared" si="81"/>
        <v>4</v>
      </c>
      <c r="Q350" s="2" t="str">
        <f t="shared" si="82"/>
        <v>17</v>
      </c>
      <c r="R350" s="21" t="str">
        <f t="shared" si="83"/>
        <v>2.2.17</v>
      </c>
      <c r="S350" s="2" t="str">
        <f t="shared" si="84"/>
        <v/>
      </c>
      <c r="T350" s="2" t="str">
        <f t="shared" si="86"/>
        <v/>
      </c>
      <c r="U350" s="19" t="str">
        <f t="shared" si="87"/>
        <v/>
      </c>
    </row>
    <row r="351" spans="1:21" x14ac:dyDescent="0.2">
      <c r="A351" s="2">
        <v>350</v>
      </c>
      <c r="B351" s="21" t="str">
        <f t="shared" si="85"/>
        <v>2.2.17a</v>
      </c>
      <c r="C351" s="2">
        <v>2</v>
      </c>
      <c r="D351" s="2">
        <v>2</v>
      </c>
      <c r="E351" s="2">
        <v>17</v>
      </c>
      <c r="F351" s="2" t="s">
        <v>90</v>
      </c>
      <c r="G351" s="2" t="s">
        <v>439</v>
      </c>
      <c r="H351" s="2">
        <v>3</v>
      </c>
      <c r="I351" s="19" t="str">
        <f t="shared" si="75"/>
        <v/>
      </c>
      <c r="J351" s="2" t="str">
        <f t="shared" si="76"/>
        <v/>
      </c>
      <c r="K351" s="2" t="str">
        <f t="shared" si="77"/>
        <v/>
      </c>
      <c r="L351" s="2" t="str">
        <f t="shared" si="78"/>
        <v/>
      </c>
      <c r="M351" s="2" t="str">
        <f t="shared" si="79"/>
        <v/>
      </c>
      <c r="N351" s="2">
        <f t="shared" si="80"/>
        <v>6</v>
      </c>
      <c r="O351" s="19">
        <f t="shared" si="81"/>
        <v>6</v>
      </c>
      <c r="Q351" s="2" t="str">
        <f t="shared" si="82"/>
        <v>17</v>
      </c>
      <c r="R351" s="21" t="str">
        <f t="shared" si="83"/>
        <v>2.2.17a</v>
      </c>
      <c r="S351" s="2" t="str">
        <f t="shared" si="84"/>
        <v/>
      </c>
      <c r="T351" s="2" t="str">
        <f t="shared" si="86"/>
        <v/>
      </c>
      <c r="U351" s="19" t="str">
        <f t="shared" si="87"/>
        <v/>
      </c>
    </row>
    <row r="352" spans="1:21" x14ac:dyDescent="0.2">
      <c r="A352" s="2">
        <v>351</v>
      </c>
      <c r="B352" s="21" t="str">
        <f t="shared" si="85"/>
        <v>2.2.17b</v>
      </c>
      <c r="C352" s="2">
        <v>2</v>
      </c>
      <c r="D352" s="2">
        <v>2</v>
      </c>
      <c r="E352" s="2">
        <v>17</v>
      </c>
      <c r="F352" s="2" t="s">
        <v>92</v>
      </c>
      <c r="G352" s="2" t="s">
        <v>440</v>
      </c>
      <c r="H352" s="2">
        <v>5</v>
      </c>
      <c r="I352" s="19" t="str">
        <f t="shared" si="75"/>
        <v/>
      </c>
      <c r="J352" s="2" t="str">
        <f t="shared" si="76"/>
        <v/>
      </c>
      <c r="K352" s="2" t="str">
        <f t="shared" si="77"/>
        <v/>
      </c>
      <c r="L352" s="2" t="str">
        <f t="shared" si="78"/>
        <v/>
      </c>
      <c r="M352" s="2" t="str">
        <f t="shared" si="79"/>
        <v/>
      </c>
      <c r="N352" s="2">
        <f t="shared" si="80"/>
        <v>6</v>
      </c>
      <c r="O352" s="19">
        <f t="shared" si="81"/>
        <v>6</v>
      </c>
      <c r="Q352" s="2" t="str">
        <f t="shared" si="82"/>
        <v>17</v>
      </c>
      <c r="R352" s="21" t="str">
        <f t="shared" si="83"/>
        <v>2.2.17b</v>
      </c>
      <c r="S352" s="2" t="str">
        <f t="shared" si="84"/>
        <v/>
      </c>
      <c r="T352" s="2" t="str">
        <f t="shared" si="86"/>
        <v/>
      </c>
      <c r="U352" s="19" t="str">
        <f t="shared" si="87"/>
        <v/>
      </c>
    </row>
    <row r="353" spans="1:21" x14ac:dyDescent="0.2">
      <c r="A353" s="2">
        <v>352</v>
      </c>
      <c r="B353" s="21" t="str">
        <f t="shared" si="85"/>
        <v>2.2.18</v>
      </c>
      <c r="C353" s="2">
        <v>2</v>
      </c>
      <c r="D353" s="2">
        <v>2</v>
      </c>
      <c r="E353" s="2">
        <v>18</v>
      </c>
      <c r="F353" s="2" t="s">
        <v>84</v>
      </c>
      <c r="G353" s="2" t="s">
        <v>441</v>
      </c>
      <c r="H353" s="2" t="s">
        <v>89</v>
      </c>
      <c r="I353" s="19" t="str">
        <f t="shared" si="75"/>
        <v/>
      </c>
      <c r="J353" s="2" t="str">
        <f t="shared" si="76"/>
        <v/>
      </c>
      <c r="K353" s="2" t="str">
        <f t="shared" si="77"/>
        <v/>
      </c>
      <c r="L353" s="2">
        <f t="shared" si="78"/>
        <v>4</v>
      </c>
      <c r="M353" s="2" t="str">
        <f t="shared" si="79"/>
        <v/>
      </c>
      <c r="N353" s="2" t="str">
        <f t="shared" si="80"/>
        <v/>
      </c>
      <c r="O353" s="19">
        <f t="shared" si="81"/>
        <v>4</v>
      </c>
      <c r="Q353" s="2" t="str">
        <f t="shared" si="82"/>
        <v>18</v>
      </c>
      <c r="R353" s="21" t="str">
        <f t="shared" si="83"/>
        <v>2.2.18</v>
      </c>
      <c r="S353" s="2" t="str">
        <f t="shared" si="84"/>
        <v/>
      </c>
      <c r="T353" s="2" t="str">
        <f t="shared" si="86"/>
        <v/>
      </c>
      <c r="U353" s="19" t="str">
        <f t="shared" si="87"/>
        <v/>
      </c>
    </row>
    <row r="354" spans="1:21" x14ac:dyDescent="0.2">
      <c r="A354" s="2">
        <v>353</v>
      </c>
      <c r="B354" s="21" t="str">
        <f t="shared" si="85"/>
        <v>2.2.18a</v>
      </c>
      <c r="C354" s="2">
        <v>2</v>
      </c>
      <c r="D354" s="2">
        <v>2</v>
      </c>
      <c r="E354" s="2">
        <v>18</v>
      </c>
      <c r="F354" s="2" t="s">
        <v>90</v>
      </c>
      <c r="G354" s="2" t="s">
        <v>442</v>
      </c>
      <c r="H354" s="2">
        <v>2</v>
      </c>
      <c r="I354" s="19" t="str">
        <f t="shared" si="75"/>
        <v/>
      </c>
      <c r="J354" s="2" t="str">
        <f t="shared" si="76"/>
        <v/>
      </c>
      <c r="K354" s="2" t="str">
        <f t="shared" si="77"/>
        <v/>
      </c>
      <c r="L354" s="2" t="str">
        <f t="shared" si="78"/>
        <v/>
      </c>
      <c r="M354" s="2" t="str">
        <f t="shared" si="79"/>
        <v/>
      </c>
      <c r="N354" s="2">
        <f t="shared" si="80"/>
        <v>6</v>
      </c>
      <c r="O354" s="19">
        <f t="shared" si="81"/>
        <v>6</v>
      </c>
      <c r="Q354" s="2" t="str">
        <f t="shared" si="82"/>
        <v>18</v>
      </c>
      <c r="R354" s="21" t="str">
        <f t="shared" si="83"/>
        <v>2.2.18a</v>
      </c>
      <c r="S354" s="2" t="str">
        <f t="shared" si="84"/>
        <v/>
      </c>
      <c r="T354" s="2" t="str">
        <f t="shared" si="86"/>
        <v/>
      </c>
      <c r="U354" s="19" t="str">
        <f t="shared" si="87"/>
        <v/>
      </c>
    </row>
    <row r="355" spans="1:21" x14ac:dyDescent="0.2">
      <c r="A355" s="2">
        <v>354</v>
      </c>
      <c r="B355" s="21" t="str">
        <f t="shared" si="85"/>
        <v>2.2.18b</v>
      </c>
      <c r="C355" s="2">
        <v>2</v>
      </c>
      <c r="D355" s="2">
        <v>2</v>
      </c>
      <c r="E355" s="2">
        <v>18</v>
      </c>
      <c r="F355" s="2" t="s">
        <v>92</v>
      </c>
      <c r="G355" s="2" t="s">
        <v>443</v>
      </c>
      <c r="H355" s="2">
        <v>4</v>
      </c>
      <c r="I355" s="19" t="str">
        <f t="shared" si="75"/>
        <v/>
      </c>
      <c r="J355" s="2" t="str">
        <f t="shared" si="76"/>
        <v/>
      </c>
      <c r="K355" s="2" t="str">
        <f t="shared" si="77"/>
        <v/>
      </c>
      <c r="L355" s="2" t="str">
        <f t="shared" si="78"/>
        <v/>
      </c>
      <c r="M355" s="2" t="str">
        <f t="shared" si="79"/>
        <v/>
      </c>
      <c r="N355" s="2">
        <f t="shared" si="80"/>
        <v>6</v>
      </c>
      <c r="O355" s="19">
        <f t="shared" si="81"/>
        <v>6</v>
      </c>
      <c r="Q355" s="2" t="str">
        <f t="shared" si="82"/>
        <v>18</v>
      </c>
      <c r="R355" s="21" t="str">
        <f t="shared" si="83"/>
        <v>2.2.18b</v>
      </c>
      <c r="S355" s="2" t="str">
        <f t="shared" si="84"/>
        <v/>
      </c>
      <c r="T355" s="2" t="str">
        <f t="shared" si="86"/>
        <v/>
      </c>
      <c r="U355" s="19" t="str">
        <f t="shared" si="87"/>
        <v/>
      </c>
    </row>
    <row r="356" spans="1:21" x14ac:dyDescent="0.2">
      <c r="A356" s="2">
        <v>355</v>
      </c>
      <c r="B356" s="21" t="str">
        <f t="shared" si="85"/>
        <v>2.2.18c</v>
      </c>
      <c r="C356" s="2">
        <v>2</v>
      </c>
      <c r="D356" s="2">
        <v>2</v>
      </c>
      <c r="E356" s="2">
        <v>18</v>
      </c>
      <c r="F356" s="2" t="s">
        <v>94</v>
      </c>
      <c r="G356" s="2" t="s">
        <v>444</v>
      </c>
      <c r="H356" s="2">
        <v>4</v>
      </c>
      <c r="I356" s="19" t="str">
        <f t="shared" si="75"/>
        <v/>
      </c>
      <c r="J356" s="2" t="str">
        <f t="shared" si="76"/>
        <v/>
      </c>
      <c r="K356" s="2" t="str">
        <f t="shared" si="77"/>
        <v/>
      </c>
      <c r="L356" s="2" t="str">
        <f t="shared" si="78"/>
        <v/>
      </c>
      <c r="M356" s="2" t="str">
        <f t="shared" si="79"/>
        <v/>
      </c>
      <c r="N356" s="2">
        <f t="shared" si="80"/>
        <v>6</v>
      </c>
      <c r="O356" s="19">
        <f t="shared" si="81"/>
        <v>6</v>
      </c>
      <c r="Q356" s="2" t="str">
        <f t="shared" si="82"/>
        <v>18</v>
      </c>
      <c r="R356" s="21" t="str">
        <f t="shared" si="83"/>
        <v>2.2.18c</v>
      </c>
      <c r="S356" s="2" t="str">
        <f t="shared" si="84"/>
        <v/>
      </c>
      <c r="T356" s="2" t="str">
        <f t="shared" si="86"/>
        <v/>
      </c>
      <c r="U356" s="19" t="str">
        <f t="shared" si="87"/>
        <v/>
      </c>
    </row>
    <row r="357" spans="1:21" x14ac:dyDescent="0.2">
      <c r="A357" s="2">
        <v>356</v>
      </c>
      <c r="B357" s="21" t="str">
        <f t="shared" si="85"/>
        <v>2.2.18d</v>
      </c>
      <c r="C357" s="2">
        <v>2</v>
      </c>
      <c r="D357" s="2">
        <v>2</v>
      </c>
      <c r="E357" s="2">
        <v>18</v>
      </c>
      <c r="F357" s="2" t="s">
        <v>112</v>
      </c>
      <c r="G357" s="2" t="s">
        <v>445</v>
      </c>
      <c r="H357" s="2">
        <v>5</v>
      </c>
      <c r="I357" s="19" t="str">
        <f t="shared" si="75"/>
        <v/>
      </c>
      <c r="J357" s="2" t="str">
        <f t="shared" si="76"/>
        <v/>
      </c>
      <c r="K357" s="2" t="str">
        <f t="shared" si="77"/>
        <v/>
      </c>
      <c r="L357" s="2" t="str">
        <f t="shared" si="78"/>
        <v/>
      </c>
      <c r="M357" s="2" t="str">
        <f t="shared" si="79"/>
        <v/>
      </c>
      <c r="N357" s="2">
        <f t="shared" si="80"/>
        <v>6</v>
      </c>
      <c r="O357" s="19">
        <f t="shared" si="81"/>
        <v>6</v>
      </c>
      <c r="Q357" s="2" t="str">
        <f t="shared" si="82"/>
        <v>18</v>
      </c>
      <c r="R357" s="21" t="str">
        <f t="shared" si="83"/>
        <v>2.2.18d</v>
      </c>
      <c r="S357" s="2" t="str">
        <f t="shared" si="84"/>
        <v/>
      </c>
      <c r="T357" s="2" t="str">
        <f t="shared" si="86"/>
        <v/>
      </c>
      <c r="U357" s="19" t="str">
        <f t="shared" si="87"/>
        <v/>
      </c>
    </row>
    <row r="358" spans="1:21" x14ac:dyDescent="0.2">
      <c r="A358" s="2">
        <v>357</v>
      </c>
      <c r="B358" s="21" t="str">
        <f t="shared" si="85"/>
        <v>2.2.19</v>
      </c>
      <c r="C358" s="2">
        <v>2</v>
      </c>
      <c r="D358" s="2">
        <v>2</v>
      </c>
      <c r="E358" s="2">
        <v>19</v>
      </c>
      <c r="F358" s="2" t="s">
        <v>84</v>
      </c>
      <c r="G358" s="2" t="s">
        <v>446</v>
      </c>
      <c r="H358" s="2" t="s">
        <v>89</v>
      </c>
      <c r="I358" s="19" t="str">
        <f t="shared" si="75"/>
        <v/>
      </c>
      <c r="J358" s="2" t="str">
        <f t="shared" si="76"/>
        <v/>
      </c>
      <c r="K358" s="2" t="str">
        <f t="shared" si="77"/>
        <v/>
      </c>
      <c r="L358" s="2">
        <f t="shared" si="78"/>
        <v>4</v>
      </c>
      <c r="M358" s="2" t="str">
        <f t="shared" si="79"/>
        <v/>
      </c>
      <c r="N358" s="2" t="str">
        <f t="shared" si="80"/>
        <v/>
      </c>
      <c r="O358" s="19">
        <f t="shared" si="81"/>
        <v>4</v>
      </c>
      <c r="Q358" s="2" t="str">
        <f t="shared" si="82"/>
        <v>19</v>
      </c>
      <c r="R358" s="21" t="str">
        <f t="shared" si="83"/>
        <v>2.2.19</v>
      </c>
      <c r="S358" s="2" t="str">
        <f t="shared" si="84"/>
        <v/>
      </c>
      <c r="T358" s="2" t="str">
        <f t="shared" si="86"/>
        <v/>
      </c>
      <c r="U358" s="19" t="str">
        <f t="shared" si="87"/>
        <v/>
      </c>
    </row>
    <row r="359" spans="1:21" x14ac:dyDescent="0.2">
      <c r="A359" s="2">
        <v>358</v>
      </c>
      <c r="B359" s="21" t="str">
        <f t="shared" si="85"/>
        <v>2.2.19a</v>
      </c>
      <c r="C359" s="2">
        <v>2</v>
      </c>
      <c r="D359" s="2">
        <v>2</v>
      </c>
      <c r="E359" s="2">
        <v>19</v>
      </c>
      <c r="F359" s="2" t="s">
        <v>90</v>
      </c>
      <c r="G359" s="2" t="s">
        <v>447</v>
      </c>
      <c r="H359" s="2">
        <v>4</v>
      </c>
      <c r="I359" s="19" t="str">
        <f t="shared" si="75"/>
        <v/>
      </c>
      <c r="J359" s="2" t="str">
        <f t="shared" si="76"/>
        <v/>
      </c>
      <c r="K359" s="2" t="str">
        <f t="shared" si="77"/>
        <v/>
      </c>
      <c r="L359" s="2" t="str">
        <f t="shared" si="78"/>
        <v/>
      </c>
      <c r="M359" s="2" t="str">
        <f t="shared" si="79"/>
        <v/>
      </c>
      <c r="N359" s="2">
        <f t="shared" si="80"/>
        <v>6</v>
      </c>
      <c r="O359" s="19">
        <f t="shared" si="81"/>
        <v>6</v>
      </c>
      <c r="Q359" s="2" t="str">
        <f t="shared" si="82"/>
        <v>19</v>
      </c>
      <c r="R359" s="21" t="str">
        <f t="shared" si="83"/>
        <v>2.2.19a</v>
      </c>
      <c r="S359" s="2" t="str">
        <f t="shared" si="84"/>
        <v/>
      </c>
      <c r="T359" s="2" t="str">
        <f t="shared" si="86"/>
        <v/>
      </c>
      <c r="U359" s="19" t="str">
        <f t="shared" si="87"/>
        <v/>
      </c>
    </row>
    <row r="360" spans="1:21" x14ac:dyDescent="0.2">
      <c r="A360" s="2">
        <v>359</v>
      </c>
      <c r="B360" s="21" t="str">
        <f t="shared" si="85"/>
        <v>2.2.19b</v>
      </c>
      <c r="C360" s="2">
        <v>2</v>
      </c>
      <c r="D360" s="2">
        <v>2</v>
      </c>
      <c r="E360" s="2">
        <v>19</v>
      </c>
      <c r="F360" s="2" t="s">
        <v>92</v>
      </c>
      <c r="G360" s="2" t="s">
        <v>448</v>
      </c>
      <c r="H360" s="2">
        <v>4</v>
      </c>
      <c r="I360" s="19" t="str">
        <f t="shared" si="75"/>
        <v/>
      </c>
      <c r="J360" s="2" t="str">
        <f t="shared" si="76"/>
        <v/>
      </c>
      <c r="K360" s="2" t="str">
        <f t="shared" si="77"/>
        <v/>
      </c>
      <c r="L360" s="2" t="str">
        <f t="shared" si="78"/>
        <v/>
      </c>
      <c r="M360" s="2" t="str">
        <f t="shared" si="79"/>
        <v/>
      </c>
      <c r="N360" s="2">
        <f t="shared" si="80"/>
        <v>6</v>
      </c>
      <c r="O360" s="19">
        <f t="shared" si="81"/>
        <v>6</v>
      </c>
      <c r="Q360" s="2" t="str">
        <f t="shared" si="82"/>
        <v>19</v>
      </c>
      <c r="R360" s="21" t="str">
        <f t="shared" si="83"/>
        <v>2.2.19b</v>
      </c>
      <c r="S360" s="2" t="str">
        <f t="shared" si="84"/>
        <v/>
      </c>
      <c r="T360" s="2" t="str">
        <f t="shared" si="86"/>
        <v/>
      </c>
      <c r="U360" s="19" t="str">
        <f t="shared" si="87"/>
        <v/>
      </c>
    </row>
    <row r="361" spans="1:21" x14ac:dyDescent="0.2">
      <c r="A361" s="2">
        <v>360</v>
      </c>
      <c r="B361" s="21" t="str">
        <f t="shared" si="85"/>
        <v>2.2.19c</v>
      </c>
      <c r="C361" s="2">
        <v>2</v>
      </c>
      <c r="D361" s="2">
        <v>2</v>
      </c>
      <c r="E361" s="2">
        <v>19</v>
      </c>
      <c r="F361" s="2" t="s">
        <v>94</v>
      </c>
      <c r="G361" s="2" t="s">
        <v>449</v>
      </c>
      <c r="H361" s="2">
        <v>4</v>
      </c>
      <c r="I361" s="19" t="str">
        <f t="shared" si="75"/>
        <v/>
      </c>
      <c r="J361" s="2" t="str">
        <f t="shared" si="76"/>
        <v/>
      </c>
      <c r="K361" s="2" t="str">
        <f t="shared" si="77"/>
        <v/>
      </c>
      <c r="L361" s="2" t="str">
        <f t="shared" si="78"/>
        <v/>
      </c>
      <c r="M361" s="2" t="str">
        <f t="shared" si="79"/>
        <v/>
      </c>
      <c r="N361" s="2">
        <f t="shared" si="80"/>
        <v>6</v>
      </c>
      <c r="O361" s="19">
        <f t="shared" si="81"/>
        <v>6</v>
      </c>
      <c r="Q361" s="2" t="str">
        <f t="shared" si="82"/>
        <v>19</v>
      </c>
      <c r="R361" s="21" t="str">
        <f t="shared" si="83"/>
        <v>2.2.19c</v>
      </c>
      <c r="S361" s="2" t="str">
        <f t="shared" si="84"/>
        <v/>
      </c>
      <c r="T361" s="2" t="str">
        <f t="shared" si="86"/>
        <v/>
      </c>
      <c r="U361" s="19" t="str">
        <f t="shared" si="87"/>
        <v/>
      </c>
    </row>
    <row r="362" spans="1:21" x14ac:dyDescent="0.2">
      <c r="A362" s="2">
        <v>361</v>
      </c>
      <c r="B362" s="21" t="str">
        <f t="shared" si="85"/>
        <v>2.2.19d</v>
      </c>
      <c r="C362" s="2">
        <v>2</v>
      </c>
      <c r="D362" s="2">
        <v>2</v>
      </c>
      <c r="E362" s="2">
        <v>19</v>
      </c>
      <c r="F362" s="2" t="s">
        <v>112</v>
      </c>
      <c r="G362" s="2" t="s">
        <v>450</v>
      </c>
      <c r="H362" s="2">
        <v>4</v>
      </c>
      <c r="I362" s="19" t="str">
        <f t="shared" si="75"/>
        <v/>
      </c>
      <c r="J362" s="2" t="str">
        <f t="shared" si="76"/>
        <v/>
      </c>
      <c r="K362" s="2" t="str">
        <f t="shared" si="77"/>
        <v/>
      </c>
      <c r="L362" s="2" t="str">
        <f t="shared" si="78"/>
        <v/>
      </c>
      <c r="M362" s="2" t="str">
        <f t="shared" si="79"/>
        <v/>
      </c>
      <c r="N362" s="2">
        <f t="shared" si="80"/>
        <v>6</v>
      </c>
      <c r="O362" s="19">
        <f t="shared" si="81"/>
        <v>6</v>
      </c>
      <c r="Q362" s="2" t="str">
        <f t="shared" si="82"/>
        <v>19</v>
      </c>
      <c r="R362" s="21" t="str">
        <f t="shared" si="83"/>
        <v>2.2.19d</v>
      </c>
      <c r="S362" s="2" t="str">
        <f t="shared" si="84"/>
        <v/>
      </c>
      <c r="T362" s="2" t="str">
        <f t="shared" si="86"/>
        <v/>
      </c>
      <c r="U362" s="19" t="str">
        <f t="shared" si="87"/>
        <v/>
      </c>
    </row>
    <row r="363" spans="1:21" x14ac:dyDescent="0.2">
      <c r="A363" s="2">
        <v>362</v>
      </c>
      <c r="B363" s="21" t="str">
        <f t="shared" si="85"/>
        <v>2.2.20</v>
      </c>
      <c r="C363" s="2">
        <v>2</v>
      </c>
      <c r="D363" s="2">
        <v>2</v>
      </c>
      <c r="E363" s="2">
        <v>20</v>
      </c>
      <c r="F363" s="2" t="s">
        <v>84</v>
      </c>
      <c r="G363" s="2" t="s">
        <v>451</v>
      </c>
      <c r="H363" s="2" t="s">
        <v>89</v>
      </c>
      <c r="I363" s="19" t="str">
        <f t="shared" si="75"/>
        <v/>
      </c>
      <c r="J363" s="2" t="str">
        <f t="shared" si="76"/>
        <v/>
      </c>
      <c r="K363" s="2" t="str">
        <f t="shared" si="77"/>
        <v/>
      </c>
      <c r="L363" s="2">
        <f t="shared" si="78"/>
        <v>4</v>
      </c>
      <c r="M363" s="2" t="str">
        <f t="shared" si="79"/>
        <v/>
      </c>
      <c r="N363" s="2" t="str">
        <f t="shared" si="80"/>
        <v/>
      </c>
      <c r="O363" s="19">
        <f t="shared" si="81"/>
        <v>4</v>
      </c>
      <c r="Q363" s="2" t="str">
        <f t="shared" si="82"/>
        <v>20</v>
      </c>
      <c r="R363" s="21" t="str">
        <f t="shared" si="83"/>
        <v>2.2.20</v>
      </c>
      <c r="S363" s="2" t="str">
        <f t="shared" si="84"/>
        <v/>
      </c>
      <c r="T363" s="2" t="str">
        <f t="shared" si="86"/>
        <v/>
      </c>
      <c r="U363" s="19" t="str">
        <f t="shared" si="87"/>
        <v/>
      </c>
    </row>
    <row r="364" spans="1:21" x14ac:dyDescent="0.2">
      <c r="A364" s="2">
        <v>363</v>
      </c>
      <c r="B364" s="21" t="str">
        <f t="shared" si="85"/>
        <v>2.2.20a</v>
      </c>
      <c r="C364" s="2">
        <v>2</v>
      </c>
      <c r="D364" s="2">
        <v>2</v>
      </c>
      <c r="E364" s="2">
        <v>20</v>
      </c>
      <c r="F364" s="2" t="s">
        <v>90</v>
      </c>
      <c r="G364" s="2" t="s">
        <v>452</v>
      </c>
      <c r="H364" s="2">
        <v>3</v>
      </c>
      <c r="I364" s="19" t="str">
        <f t="shared" si="75"/>
        <v/>
      </c>
      <c r="J364" s="2" t="str">
        <f t="shared" si="76"/>
        <v/>
      </c>
      <c r="K364" s="2" t="str">
        <f t="shared" si="77"/>
        <v/>
      </c>
      <c r="L364" s="2" t="str">
        <f t="shared" si="78"/>
        <v/>
      </c>
      <c r="M364" s="2" t="str">
        <f t="shared" si="79"/>
        <v/>
      </c>
      <c r="N364" s="2">
        <f t="shared" si="80"/>
        <v>6</v>
      </c>
      <c r="O364" s="19">
        <f t="shared" si="81"/>
        <v>6</v>
      </c>
      <c r="Q364" s="2" t="str">
        <f t="shared" si="82"/>
        <v>20</v>
      </c>
      <c r="R364" s="21" t="str">
        <f t="shared" si="83"/>
        <v>2.2.20a</v>
      </c>
      <c r="S364" s="2" t="str">
        <f t="shared" si="84"/>
        <v/>
      </c>
      <c r="T364" s="2" t="str">
        <f t="shared" si="86"/>
        <v/>
      </c>
      <c r="U364" s="19" t="str">
        <f t="shared" si="87"/>
        <v/>
      </c>
    </row>
    <row r="365" spans="1:21" x14ac:dyDescent="0.2">
      <c r="A365" s="2">
        <v>364</v>
      </c>
      <c r="B365" s="21" t="str">
        <f t="shared" si="85"/>
        <v>2.2.20b</v>
      </c>
      <c r="C365" s="2">
        <v>2</v>
      </c>
      <c r="D365" s="2">
        <v>2</v>
      </c>
      <c r="E365" s="2">
        <v>20</v>
      </c>
      <c r="F365" s="2" t="s">
        <v>92</v>
      </c>
      <c r="G365" s="2" t="s">
        <v>453</v>
      </c>
      <c r="H365" s="2">
        <v>3</v>
      </c>
      <c r="I365" s="19" t="str">
        <f t="shared" si="75"/>
        <v/>
      </c>
      <c r="J365" s="2" t="str">
        <f t="shared" si="76"/>
        <v/>
      </c>
      <c r="K365" s="2" t="str">
        <f t="shared" si="77"/>
        <v/>
      </c>
      <c r="L365" s="2" t="str">
        <f t="shared" si="78"/>
        <v/>
      </c>
      <c r="M365" s="2" t="str">
        <f t="shared" si="79"/>
        <v/>
      </c>
      <c r="N365" s="2">
        <f t="shared" si="80"/>
        <v>6</v>
      </c>
      <c r="O365" s="19">
        <f t="shared" si="81"/>
        <v>6</v>
      </c>
      <c r="Q365" s="2" t="str">
        <f t="shared" si="82"/>
        <v>20</v>
      </c>
      <c r="R365" s="21" t="str">
        <f t="shared" si="83"/>
        <v>2.2.20b</v>
      </c>
      <c r="S365" s="2" t="str">
        <f t="shared" si="84"/>
        <v/>
      </c>
      <c r="T365" s="2" t="str">
        <f t="shared" si="86"/>
        <v/>
      </c>
      <c r="U365" s="19" t="str">
        <f t="shared" si="87"/>
        <v/>
      </c>
    </row>
    <row r="366" spans="1:21" x14ac:dyDescent="0.2">
      <c r="A366" s="2">
        <v>365</v>
      </c>
      <c r="B366" s="21" t="str">
        <f t="shared" si="85"/>
        <v/>
      </c>
      <c r="C366" s="2" t="s">
        <v>84</v>
      </c>
      <c r="D366" s="2" t="s">
        <v>84</v>
      </c>
      <c r="E366" s="2" t="s">
        <v>84</v>
      </c>
      <c r="F366" s="2" t="s">
        <v>84</v>
      </c>
      <c r="G366" s="2" t="s">
        <v>454</v>
      </c>
      <c r="H366" s="2" t="s">
        <v>84</v>
      </c>
      <c r="I366" s="19" t="str">
        <f t="shared" si="75"/>
        <v/>
      </c>
      <c r="J366" s="2" t="str">
        <f t="shared" si="76"/>
        <v/>
      </c>
      <c r="K366" s="2">
        <f t="shared" si="77"/>
        <v>3</v>
      </c>
      <c r="L366" s="2" t="str">
        <f t="shared" si="78"/>
        <v/>
      </c>
      <c r="M366" s="2" t="str">
        <f t="shared" si="79"/>
        <v/>
      </c>
      <c r="N366" s="2" t="str">
        <f t="shared" si="80"/>
        <v/>
      </c>
      <c r="O366" s="19">
        <f t="shared" si="81"/>
        <v>3</v>
      </c>
      <c r="Q366" s="2" t="str">
        <f t="shared" si="82"/>
        <v/>
      </c>
      <c r="R366" s="21" t="str">
        <f t="shared" si="83"/>
        <v/>
      </c>
      <c r="S366" s="2" t="str">
        <f t="shared" si="84"/>
        <v/>
      </c>
      <c r="T366" s="2">
        <f t="shared" si="86"/>
        <v>1</v>
      </c>
      <c r="U366" s="19" t="str">
        <f t="shared" si="87"/>
        <v/>
      </c>
    </row>
    <row r="367" spans="1:21" x14ac:dyDescent="0.2">
      <c r="A367" s="2">
        <v>366</v>
      </c>
      <c r="B367" s="21" t="str">
        <f t="shared" si="85"/>
        <v>2.2.21</v>
      </c>
      <c r="C367" s="2">
        <v>2</v>
      </c>
      <c r="D367" s="2">
        <v>2</v>
      </c>
      <c r="E367" s="2">
        <v>21</v>
      </c>
      <c r="F367" s="2" t="s">
        <v>84</v>
      </c>
      <c r="G367" s="2" t="s">
        <v>455</v>
      </c>
      <c r="H367" s="2">
        <v>5</v>
      </c>
      <c r="I367" s="19" t="str">
        <f t="shared" si="75"/>
        <v/>
      </c>
      <c r="J367" s="2" t="str">
        <f t="shared" si="76"/>
        <v/>
      </c>
      <c r="K367" s="2" t="str">
        <f t="shared" si="77"/>
        <v/>
      </c>
      <c r="L367" s="2" t="str">
        <f t="shared" si="78"/>
        <v/>
      </c>
      <c r="M367" s="2">
        <f t="shared" si="79"/>
        <v>5</v>
      </c>
      <c r="N367" s="2" t="str">
        <f t="shared" si="80"/>
        <v/>
      </c>
      <c r="O367" s="19">
        <f t="shared" si="81"/>
        <v>5</v>
      </c>
      <c r="Q367" s="2" t="str">
        <f t="shared" si="82"/>
        <v>21</v>
      </c>
      <c r="R367" s="21" t="str">
        <f t="shared" si="83"/>
        <v>2.2.21</v>
      </c>
      <c r="S367" s="2" t="str">
        <f t="shared" si="84"/>
        <v/>
      </c>
      <c r="T367" s="2" t="str">
        <f t="shared" si="86"/>
        <v/>
      </c>
      <c r="U367" s="19" t="str">
        <f t="shared" si="87"/>
        <v/>
      </c>
    </row>
    <row r="368" spans="1:21" x14ac:dyDescent="0.2">
      <c r="A368" s="2">
        <v>367</v>
      </c>
      <c r="B368" s="21" t="str">
        <f t="shared" si="85"/>
        <v>2.2.22</v>
      </c>
      <c r="C368" s="2">
        <v>2</v>
      </c>
      <c r="D368" s="2">
        <v>2</v>
      </c>
      <c r="E368" s="2">
        <v>22</v>
      </c>
      <c r="F368" s="2" t="s">
        <v>84</v>
      </c>
      <c r="G368" s="2" t="s">
        <v>456</v>
      </c>
      <c r="H368" s="2" t="s">
        <v>89</v>
      </c>
      <c r="I368" s="19" t="str">
        <f t="shared" si="75"/>
        <v/>
      </c>
      <c r="J368" s="2" t="str">
        <f t="shared" si="76"/>
        <v/>
      </c>
      <c r="K368" s="2" t="str">
        <f t="shared" si="77"/>
        <v/>
      </c>
      <c r="L368" s="2">
        <f t="shared" si="78"/>
        <v>4</v>
      </c>
      <c r="M368" s="2" t="str">
        <f t="shared" si="79"/>
        <v/>
      </c>
      <c r="N368" s="2" t="str">
        <f t="shared" si="80"/>
        <v/>
      </c>
      <c r="O368" s="19">
        <f t="shared" si="81"/>
        <v>4</v>
      </c>
      <c r="Q368" s="2" t="str">
        <f t="shared" si="82"/>
        <v>22</v>
      </c>
      <c r="R368" s="21" t="str">
        <f t="shared" si="83"/>
        <v>2.2.22</v>
      </c>
      <c r="S368" s="2" t="str">
        <f t="shared" si="84"/>
        <v/>
      </c>
      <c r="T368" s="2" t="str">
        <f t="shared" si="86"/>
        <v/>
      </c>
      <c r="U368" s="19" t="str">
        <f t="shared" si="87"/>
        <v/>
      </c>
    </row>
    <row r="369" spans="1:21" x14ac:dyDescent="0.2">
      <c r="A369" s="2">
        <v>368</v>
      </c>
      <c r="B369" s="21" t="str">
        <f t="shared" si="85"/>
        <v>2.2.22a</v>
      </c>
      <c r="C369" s="2">
        <v>2</v>
      </c>
      <c r="D369" s="2">
        <v>2</v>
      </c>
      <c r="E369" s="2">
        <v>22</v>
      </c>
      <c r="F369" s="2" t="s">
        <v>90</v>
      </c>
      <c r="G369" s="2" t="s">
        <v>457</v>
      </c>
      <c r="H369" s="2">
        <v>5</v>
      </c>
      <c r="I369" s="19" t="str">
        <f t="shared" si="75"/>
        <v/>
      </c>
      <c r="J369" s="2" t="str">
        <f t="shared" si="76"/>
        <v/>
      </c>
      <c r="K369" s="2" t="str">
        <f t="shared" si="77"/>
        <v/>
      </c>
      <c r="L369" s="2" t="str">
        <f t="shared" si="78"/>
        <v/>
      </c>
      <c r="M369" s="2" t="str">
        <f t="shared" si="79"/>
        <v/>
      </c>
      <c r="N369" s="2">
        <f t="shared" si="80"/>
        <v>6</v>
      </c>
      <c r="O369" s="19">
        <f t="shared" si="81"/>
        <v>6</v>
      </c>
      <c r="Q369" s="2" t="str">
        <f t="shared" si="82"/>
        <v>22</v>
      </c>
      <c r="R369" s="21" t="str">
        <f t="shared" si="83"/>
        <v>2.2.22a</v>
      </c>
      <c r="S369" s="2" t="str">
        <f t="shared" si="84"/>
        <v/>
      </c>
      <c r="T369" s="2" t="str">
        <f t="shared" si="86"/>
        <v/>
      </c>
      <c r="U369" s="19" t="str">
        <f t="shared" si="87"/>
        <v/>
      </c>
    </row>
    <row r="370" spans="1:21" x14ac:dyDescent="0.2">
      <c r="A370" s="2">
        <v>369</v>
      </c>
      <c r="B370" s="21" t="str">
        <f t="shared" si="85"/>
        <v>2.2.22b</v>
      </c>
      <c r="C370" s="2">
        <v>2</v>
      </c>
      <c r="D370" s="2">
        <v>2</v>
      </c>
      <c r="E370" s="2">
        <v>22</v>
      </c>
      <c r="F370" s="2" t="s">
        <v>92</v>
      </c>
      <c r="G370" s="2" t="s">
        <v>458</v>
      </c>
      <c r="H370" s="2">
        <v>5</v>
      </c>
      <c r="I370" s="19" t="str">
        <f t="shared" si="75"/>
        <v/>
      </c>
      <c r="J370" s="2" t="str">
        <f t="shared" si="76"/>
        <v/>
      </c>
      <c r="K370" s="2" t="str">
        <f t="shared" si="77"/>
        <v/>
      </c>
      <c r="L370" s="2" t="str">
        <f t="shared" si="78"/>
        <v/>
      </c>
      <c r="M370" s="2" t="str">
        <f t="shared" si="79"/>
        <v/>
      </c>
      <c r="N370" s="2">
        <f t="shared" si="80"/>
        <v>6</v>
      </c>
      <c r="O370" s="19">
        <f t="shared" si="81"/>
        <v>6</v>
      </c>
      <c r="Q370" s="2" t="str">
        <f t="shared" si="82"/>
        <v>22</v>
      </c>
      <c r="R370" s="21" t="str">
        <f t="shared" si="83"/>
        <v>2.2.22b</v>
      </c>
      <c r="S370" s="2" t="str">
        <f t="shared" si="84"/>
        <v/>
      </c>
      <c r="T370" s="2" t="str">
        <f t="shared" si="86"/>
        <v/>
      </c>
      <c r="U370" s="19" t="str">
        <f t="shared" si="87"/>
        <v/>
      </c>
    </row>
    <row r="371" spans="1:21" x14ac:dyDescent="0.2">
      <c r="A371" s="2">
        <v>370</v>
      </c>
      <c r="B371" s="21" t="str">
        <f t="shared" si="85"/>
        <v>2.3</v>
      </c>
      <c r="C371" s="2">
        <v>2</v>
      </c>
      <c r="D371" s="2">
        <v>3</v>
      </c>
      <c r="E371" s="2" t="s">
        <v>84</v>
      </c>
      <c r="F371" s="2" t="s">
        <v>84</v>
      </c>
      <c r="G371" s="2" t="s">
        <v>459</v>
      </c>
      <c r="H371" s="2" t="s">
        <v>84</v>
      </c>
      <c r="I371" s="19" t="str">
        <f t="shared" si="75"/>
        <v/>
      </c>
      <c r="J371" s="2">
        <f t="shared" si="76"/>
        <v>2</v>
      </c>
      <c r="K371" s="2" t="str">
        <f t="shared" si="77"/>
        <v/>
      </c>
      <c r="L371" s="2" t="str">
        <f t="shared" si="78"/>
        <v/>
      </c>
      <c r="M371" s="2" t="str">
        <f t="shared" si="79"/>
        <v/>
      </c>
      <c r="N371" s="2" t="str">
        <f t="shared" si="80"/>
        <v/>
      </c>
      <c r="O371" s="19">
        <f t="shared" si="81"/>
        <v>2</v>
      </c>
      <c r="Q371" s="2" t="str">
        <f t="shared" si="82"/>
        <v/>
      </c>
      <c r="R371" s="21" t="str">
        <f t="shared" si="83"/>
        <v>2.3</v>
      </c>
      <c r="S371" s="2" t="str">
        <f t="shared" ref="S371" si="88">IF(O371=O370,IF(NOT(R371&gt;R370),1,""),"")</f>
        <v/>
      </c>
      <c r="T371" s="2" t="str">
        <f t="shared" ref="T371" si="89">IF(NOT(R371&gt;R370),1,"")</f>
        <v/>
      </c>
      <c r="U371" s="19" t="str">
        <f t="shared" si="87"/>
        <v/>
      </c>
    </row>
    <row r="372" spans="1:21" x14ac:dyDescent="0.2">
      <c r="A372" s="2">
        <v>371</v>
      </c>
      <c r="B372" s="21" t="str">
        <f t="shared" si="85"/>
        <v/>
      </c>
      <c r="C372" s="2" t="s">
        <v>84</v>
      </c>
      <c r="D372" s="2" t="s">
        <v>84</v>
      </c>
      <c r="E372" s="2" t="s">
        <v>84</v>
      </c>
      <c r="F372" s="2" t="s">
        <v>84</v>
      </c>
      <c r="G372" s="2" t="s">
        <v>460</v>
      </c>
      <c r="H372" s="2" t="s">
        <v>84</v>
      </c>
      <c r="I372" s="19" t="str">
        <f t="shared" si="75"/>
        <v/>
      </c>
      <c r="J372" s="2" t="str">
        <f t="shared" si="76"/>
        <v/>
      </c>
      <c r="K372" s="2">
        <f t="shared" si="77"/>
        <v>3</v>
      </c>
      <c r="L372" s="2" t="str">
        <f t="shared" si="78"/>
        <v/>
      </c>
      <c r="M372" s="2" t="str">
        <f t="shared" si="79"/>
        <v/>
      </c>
      <c r="N372" s="2" t="str">
        <f t="shared" si="80"/>
        <v/>
      </c>
      <c r="O372" s="19">
        <f t="shared" si="81"/>
        <v>3</v>
      </c>
      <c r="Q372" s="2" t="str">
        <f t="shared" si="82"/>
        <v/>
      </c>
      <c r="R372" s="21" t="str">
        <f t="shared" si="83"/>
        <v/>
      </c>
      <c r="S372" s="2" t="str">
        <f t="shared" si="84"/>
        <v/>
      </c>
      <c r="T372" s="2">
        <f t="shared" si="86"/>
        <v>1</v>
      </c>
      <c r="U372" s="19" t="str">
        <f t="shared" si="87"/>
        <v/>
      </c>
    </row>
    <row r="373" spans="1:21" x14ac:dyDescent="0.2">
      <c r="A373" s="2">
        <v>372</v>
      </c>
      <c r="B373" s="21" t="str">
        <f t="shared" si="85"/>
        <v>2.3.01</v>
      </c>
      <c r="C373" s="2">
        <v>2</v>
      </c>
      <c r="D373" s="2">
        <v>3</v>
      </c>
      <c r="E373" s="2">
        <v>1</v>
      </c>
      <c r="F373" s="2" t="s">
        <v>84</v>
      </c>
      <c r="G373" s="2" t="s">
        <v>461</v>
      </c>
      <c r="H373" s="2">
        <v>1</v>
      </c>
      <c r="I373" s="19" t="str">
        <f t="shared" si="75"/>
        <v/>
      </c>
      <c r="J373" s="2" t="str">
        <f t="shared" si="76"/>
        <v/>
      </c>
      <c r="K373" s="2" t="str">
        <f t="shared" si="77"/>
        <v/>
      </c>
      <c r="L373" s="2" t="str">
        <f t="shared" si="78"/>
        <v/>
      </c>
      <c r="M373" s="2">
        <f t="shared" si="79"/>
        <v>5</v>
      </c>
      <c r="N373" s="2" t="str">
        <f t="shared" si="80"/>
        <v/>
      </c>
      <c r="O373" s="19">
        <f t="shared" si="81"/>
        <v>5</v>
      </c>
      <c r="Q373" s="2" t="str">
        <f t="shared" si="82"/>
        <v>01</v>
      </c>
      <c r="R373" s="21" t="str">
        <f t="shared" si="83"/>
        <v>2.3.01</v>
      </c>
      <c r="S373" s="2" t="str">
        <f t="shared" si="84"/>
        <v/>
      </c>
      <c r="T373" s="2" t="str">
        <f t="shared" si="86"/>
        <v/>
      </c>
      <c r="U373" s="19" t="str">
        <f t="shared" si="87"/>
        <v/>
      </c>
    </row>
    <row r="374" spans="1:21" x14ac:dyDescent="0.2">
      <c r="A374" s="2">
        <v>373</v>
      </c>
      <c r="B374" s="21" t="str">
        <f t="shared" si="85"/>
        <v>2.3.02</v>
      </c>
      <c r="C374" s="2">
        <v>2</v>
      </c>
      <c r="D374" s="2">
        <v>3</v>
      </c>
      <c r="E374" s="2">
        <v>2</v>
      </c>
      <c r="F374" s="2" t="s">
        <v>84</v>
      </c>
      <c r="G374" s="2" t="s">
        <v>462</v>
      </c>
      <c r="H374" s="2" t="s">
        <v>89</v>
      </c>
      <c r="I374" s="19" t="str">
        <f t="shared" si="75"/>
        <v/>
      </c>
      <c r="J374" s="2" t="str">
        <f t="shared" si="76"/>
        <v/>
      </c>
      <c r="K374" s="2" t="str">
        <f t="shared" si="77"/>
        <v/>
      </c>
      <c r="L374" s="2">
        <f t="shared" si="78"/>
        <v>4</v>
      </c>
      <c r="M374" s="2" t="str">
        <f t="shared" si="79"/>
        <v/>
      </c>
      <c r="N374" s="2" t="str">
        <f t="shared" si="80"/>
        <v/>
      </c>
      <c r="O374" s="19">
        <f t="shared" si="81"/>
        <v>4</v>
      </c>
      <c r="Q374" s="2" t="str">
        <f t="shared" si="82"/>
        <v>02</v>
      </c>
      <c r="R374" s="21" t="str">
        <f t="shared" si="83"/>
        <v>2.3.02</v>
      </c>
      <c r="S374" s="2" t="str">
        <f t="shared" si="84"/>
        <v/>
      </c>
      <c r="T374" s="2" t="str">
        <f t="shared" si="86"/>
        <v/>
      </c>
      <c r="U374" s="19" t="str">
        <f t="shared" si="87"/>
        <v/>
      </c>
    </row>
    <row r="375" spans="1:21" x14ac:dyDescent="0.2">
      <c r="A375" s="2">
        <v>374</v>
      </c>
      <c r="B375" s="21" t="str">
        <f t="shared" si="85"/>
        <v>2.3.02a</v>
      </c>
      <c r="C375" s="2">
        <v>2</v>
      </c>
      <c r="D375" s="2">
        <v>3</v>
      </c>
      <c r="E375" s="2">
        <v>2</v>
      </c>
      <c r="F375" s="2" t="s">
        <v>90</v>
      </c>
      <c r="G375" s="2" t="s">
        <v>463</v>
      </c>
      <c r="H375" s="2">
        <v>3</v>
      </c>
      <c r="I375" s="19" t="str">
        <f t="shared" si="75"/>
        <v/>
      </c>
      <c r="J375" s="2" t="str">
        <f t="shared" si="76"/>
        <v/>
      </c>
      <c r="K375" s="2" t="str">
        <f t="shared" si="77"/>
        <v/>
      </c>
      <c r="L375" s="2" t="str">
        <f t="shared" si="78"/>
        <v/>
      </c>
      <c r="M375" s="2" t="str">
        <f t="shared" si="79"/>
        <v/>
      </c>
      <c r="N375" s="2">
        <f t="shared" si="80"/>
        <v>6</v>
      </c>
      <c r="O375" s="19">
        <f t="shared" si="81"/>
        <v>6</v>
      </c>
      <c r="Q375" s="2" t="str">
        <f t="shared" si="82"/>
        <v>02</v>
      </c>
      <c r="R375" s="21" t="str">
        <f t="shared" si="83"/>
        <v>2.3.02a</v>
      </c>
      <c r="S375" s="2" t="str">
        <f t="shared" si="84"/>
        <v/>
      </c>
      <c r="T375" s="2" t="str">
        <f t="shared" si="86"/>
        <v/>
      </c>
      <c r="U375" s="19" t="str">
        <f t="shared" si="87"/>
        <v/>
      </c>
    </row>
    <row r="376" spans="1:21" x14ac:dyDescent="0.2">
      <c r="A376" s="2">
        <v>375</v>
      </c>
      <c r="B376" s="21" t="str">
        <f t="shared" si="85"/>
        <v>2.3.02b</v>
      </c>
      <c r="C376" s="2">
        <v>2</v>
      </c>
      <c r="D376" s="2">
        <v>3</v>
      </c>
      <c r="E376" s="2">
        <v>2</v>
      </c>
      <c r="F376" s="2" t="s">
        <v>92</v>
      </c>
      <c r="G376" s="2" t="s">
        <v>464</v>
      </c>
      <c r="H376" s="2">
        <v>2</v>
      </c>
      <c r="I376" s="19" t="str">
        <f t="shared" si="75"/>
        <v/>
      </c>
      <c r="J376" s="2" t="str">
        <f t="shared" si="76"/>
        <v/>
      </c>
      <c r="K376" s="2" t="str">
        <f t="shared" si="77"/>
        <v/>
      </c>
      <c r="L376" s="2" t="str">
        <f t="shared" si="78"/>
        <v/>
      </c>
      <c r="M376" s="2" t="str">
        <f t="shared" si="79"/>
        <v/>
      </c>
      <c r="N376" s="2">
        <f t="shared" si="80"/>
        <v>6</v>
      </c>
      <c r="O376" s="19">
        <f t="shared" si="81"/>
        <v>6</v>
      </c>
      <c r="Q376" s="2" t="str">
        <f t="shared" si="82"/>
        <v>02</v>
      </c>
      <c r="R376" s="21" t="str">
        <f t="shared" si="83"/>
        <v>2.3.02b</v>
      </c>
      <c r="S376" s="2" t="str">
        <f t="shared" si="84"/>
        <v/>
      </c>
      <c r="T376" s="2" t="str">
        <f t="shared" si="86"/>
        <v/>
      </c>
      <c r="U376" s="19" t="str">
        <f t="shared" si="87"/>
        <v/>
      </c>
    </row>
    <row r="377" spans="1:21" x14ac:dyDescent="0.2">
      <c r="A377" s="2">
        <v>376</v>
      </c>
      <c r="B377" s="21" t="str">
        <f t="shared" si="85"/>
        <v>2.3.02c</v>
      </c>
      <c r="C377" s="2">
        <v>2</v>
      </c>
      <c r="D377" s="2">
        <v>3</v>
      </c>
      <c r="E377" s="2">
        <v>2</v>
      </c>
      <c r="F377" s="2" t="s">
        <v>94</v>
      </c>
      <c r="G377" s="2" t="s">
        <v>465</v>
      </c>
      <c r="H377" s="2">
        <v>3</v>
      </c>
      <c r="I377" s="19" t="str">
        <f t="shared" si="75"/>
        <v/>
      </c>
      <c r="J377" s="2" t="str">
        <f t="shared" si="76"/>
        <v/>
      </c>
      <c r="K377" s="2" t="str">
        <f t="shared" si="77"/>
        <v/>
      </c>
      <c r="L377" s="2" t="str">
        <f t="shared" si="78"/>
        <v/>
      </c>
      <c r="M377" s="2" t="str">
        <f t="shared" si="79"/>
        <v/>
      </c>
      <c r="N377" s="2">
        <f t="shared" si="80"/>
        <v>6</v>
      </c>
      <c r="O377" s="19">
        <f t="shared" si="81"/>
        <v>6</v>
      </c>
      <c r="Q377" s="2" t="str">
        <f t="shared" si="82"/>
        <v>02</v>
      </c>
      <c r="R377" s="21" t="str">
        <f t="shared" si="83"/>
        <v>2.3.02c</v>
      </c>
      <c r="S377" s="2" t="str">
        <f t="shared" si="84"/>
        <v/>
      </c>
      <c r="T377" s="2" t="str">
        <f t="shared" si="86"/>
        <v/>
      </c>
      <c r="U377" s="19" t="str">
        <f t="shared" si="87"/>
        <v/>
      </c>
    </row>
    <row r="378" spans="1:21" x14ac:dyDescent="0.2">
      <c r="A378" s="2">
        <v>377</v>
      </c>
      <c r="B378" s="21" t="str">
        <f t="shared" si="85"/>
        <v>2.3.02d</v>
      </c>
      <c r="C378" s="2">
        <v>2</v>
      </c>
      <c r="D378" s="2">
        <v>3</v>
      </c>
      <c r="E378" s="2">
        <v>2</v>
      </c>
      <c r="F378" s="2" t="s">
        <v>112</v>
      </c>
      <c r="G378" s="2" t="s">
        <v>466</v>
      </c>
      <c r="H378" s="2">
        <v>3</v>
      </c>
      <c r="I378" s="19" t="str">
        <f t="shared" si="75"/>
        <v/>
      </c>
      <c r="J378" s="2" t="str">
        <f t="shared" si="76"/>
        <v/>
      </c>
      <c r="K378" s="2" t="str">
        <f t="shared" si="77"/>
        <v/>
      </c>
      <c r="L378" s="2" t="str">
        <f t="shared" si="78"/>
        <v/>
      </c>
      <c r="M378" s="2" t="str">
        <f t="shared" si="79"/>
        <v/>
      </c>
      <c r="N378" s="2">
        <f t="shared" si="80"/>
        <v>6</v>
      </c>
      <c r="O378" s="19">
        <f t="shared" si="81"/>
        <v>6</v>
      </c>
      <c r="Q378" s="2" t="str">
        <f t="shared" si="82"/>
        <v>02</v>
      </c>
      <c r="R378" s="21" t="str">
        <f t="shared" si="83"/>
        <v>2.3.02d</v>
      </c>
      <c r="S378" s="2" t="str">
        <f t="shared" si="84"/>
        <v/>
      </c>
      <c r="T378" s="2" t="str">
        <f t="shared" si="86"/>
        <v/>
      </c>
      <c r="U378" s="19" t="str">
        <f t="shared" si="87"/>
        <v/>
      </c>
    </row>
    <row r="379" spans="1:21" x14ac:dyDescent="0.2">
      <c r="A379" s="2">
        <v>378</v>
      </c>
      <c r="B379" s="21" t="str">
        <f t="shared" si="85"/>
        <v>2.3.03</v>
      </c>
      <c r="C379" s="2">
        <v>2</v>
      </c>
      <c r="D379" s="2">
        <v>3</v>
      </c>
      <c r="E379" s="2">
        <v>3</v>
      </c>
      <c r="F379" s="2" t="s">
        <v>84</v>
      </c>
      <c r="G379" s="2" t="s">
        <v>467</v>
      </c>
      <c r="H379" s="2" t="s">
        <v>89</v>
      </c>
      <c r="I379" s="19" t="str">
        <f t="shared" si="75"/>
        <v/>
      </c>
      <c r="J379" s="2" t="str">
        <f t="shared" si="76"/>
        <v/>
      </c>
      <c r="K379" s="2" t="str">
        <f t="shared" si="77"/>
        <v/>
      </c>
      <c r="L379" s="2">
        <f t="shared" si="78"/>
        <v>4</v>
      </c>
      <c r="M379" s="2" t="str">
        <f t="shared" si="79"/>
        <v/>
      </c>
      <c r="N379" s="2" t="str">
        <f t="shared" si="80"/>
        <v/>
      </c>
      <c r="O379" s="19">
        <f t="shared" si="81"/>
        <v>4</v>
      </c>
      <c r="Q379" s="2" t="str">
        <f t="shared" si="82"/>
        <v>03</v>
      </c>
      <c r="R379" s="21" t="str">
        <f t="shared" si="83"/>
        <v>2.3.03</v>
      </c>
      <c r="S379" s="2" t="str">
        <f t="shared" si="84"/>
        <v/>
      </c>
      <c r="T379" s="2" t="str">
        <f t="shared" si="86"/>
        <v/>
      </c>
      <c r="U379" s="19" t="str">
        <f t="shared" si="87"/>
        <v/>
      </c>
    </row>
    <row r="380" spans="1:21" x14ac:dyDescent="0.2">
      <c r="A380" s="2">
        <v>379</v>
      </c>
      <c r="B380" s="21" t="str">
        <f t="shared" si="85"/>
        <v>2.3.03a</v>
      </c>
      <c r="C380" s="2">
        <v>2</v>
      </c>
      <c r="D380" s="2">
        <v>3</v>
      </c>
      <c r="E380" s="2">
        <v>3</v>
      </c>
      <c r="F380" s="2" t="s">
        <v>90</v>
      </c>
      <c r="G380" s="2" t="s">
        <v>468</v>
      </c>
      <c r="H380" s="2">
        <v>2</v>
      </c>
      <c r="I380" s="19" t="str">
        <f t="shared" ref="I380:I443" si="90">IF(AND(LEN(C380)=1,LEN(D380)=0),1,"")</f>
        <v/>
      </c>
      <c r="J380" s="2" t="str">
        <f t="shared" ref="J380:J443" si="91">IF(AND(LEN(C380)=1,LEN(D380)=1,LEN(E380)=0,LEN(F380)=0),2,"")</f>
        <v/>
      </c>
      <c r="K380" s="2" t="str">
        <f t="shared" ref="K380:K443" si="92">IF(AND(LEN(C380)=0,LEN(E380)=0),3,"")</f>
        <v/>
      </c>
      <c r="L380" s="2" t="str">
        <f t="shared" ref="L380:L443" si="93">IF(AND(LEN(C380)&gt;0,LEN(D380&gt;0),LEN(E380)&gt;0,LEN(F380)=0,H380="N/A"),4,"")</f>
        <v/>
      </c>
      <c r="M380" s="2" t="str">
        <f t="shared" ref="M380:M443" si="94">IF(AND(LEN(C380)&gt;0,LEN(D380&gt;0),LEN(E380)&gt;0,LEN(F380)=0,H380&gt;0,H380&lt;6),5,"")</f>
        <v/>
      </c>
      <c r="N380" s="2">
        <f t="shared" ref="N380:N443" si="95">IF(AND(LEN(C380)&gt;0,LEN(D380&gt;0),LEN(E380)&gt;0,LEN(F380)&gt;0,H380&gt;0,H380&lt;6),6,"")</f>
        <v>6</v>
      </c>
      <c r="O380" s="19">
        <f t="shared" ref="O380:O443" si="96">SUM(I380:N380)</f>
        <v>6</v>
      </c>
      <c r="Q380" s="2" t="str">
        <f t="shared" ref="Q380:Q443" si="97">IF(LEN(E380)&gt;0,TEXT(E380,"00"),"")</f>
        <v>03</v>
      </c>
      <c r="R380" s="21" t="str">
        <f t="shared" ref="R380:R443" si="98">IF(O380=1,C380,IF(O380=2,C380&amp;"."&amp;D380,IF(O380=3,"",IF(O380=4,C380&amp;"."&amp;D380&amp;"."&amp;Q380,IF(O380=5,C380&amp;"."&amp;D380&amp;"."&amp;Q380,IF(O380=6,C380&amp;"."&amp;D380&amp;"."&amp;Q380&amp;F380,""))))))</f>
        <v>2.3.03a</v>
      </c>
      <c r="S380" s="2" t="str">
        <f t="shared" ref="S380:S443" si="99">IF(O380=O379,IF(NOT(R380&gt;R379),1,""),"")</f>
        <v/>
      </c>
      <c r="T380" s="2" t="str">
        <f t="shared" si="86"/>
        <v/>
      </c>
      <c r="U380" s="19" t="str">
        <f t="shared" si="87"/>
        <v/>
      </c>
    </row>
    <row r="381" spans="1:21" x14ac:dyDescent="0.2">
      <c r="A381" s="2">
        <v>380</v>
      </c>
      <c r="B381" s="21" t="str">
        <f t="shared" ref="B381:B444" si="100">R381</f>
        <v>2.3.03b</v>
      </c>
      <c r="C381" s="2">
        <v>2</v>
      </c>
      <c r="D381" s="2">
        <v>3</v>
      </c>
      <c r="E381" s="2">
        <v>3</v>
      </c>
      <c r="F381" s="2" t="s">
        <v>92</v>
      </c>
      <c r="G381" s="2" t="s">
        <v>469</v>
      </c>
      <c r="H381" s="2">
        <v>2</v>
      </c>
      <c r="I381" s="19" t="str">
        <f t="shared" si="90"/>
        <v/>
      </c>
      <c r="J381" s="2" t="str">
        <f t="shared" si="91"/>
        <v/>
      </c>
      <c r="K381" s="2" t="str">
        <f t="shared" si="92"/>
        <v/>
      </c>
      <c r="L381" s="2" t="str">
        <f t="shared" si="93"/>
        <v/>
      </c>
      <c r="M381" s="2" t="str">
        <f t="shared" si="94"/>
        <v/>
      </c>
      <c r="N381" s="2">
        <f t="shared" si="95"/>
        <v>6</v>
      </c>
      <c r="O381" s="19">
        <f t="shared" si="96"/>
        <v>6</v>
      </c>
      <c r="Q381" s="2" t="str">
        <f t="shared" si="97"/>
        <v>03</v>
      </c>
      <c r="R381" s="21" t="str">
        <f t="shared" si="98"/>
        <v>2.3.03b</v>
      </c>
      <c r="S381" s="2" t="str">
        <f t="shared" si="99"/>
        <v/>
      </c>
      <c r="T381" s="2" t="str">
        <f t="shared" ref="T381:T444" si="101">IF(NOT(R381&gt;R380),1,"")</f>
        <v/>
      </c>
      <c r="U381" s="19" t="str">
        <f t="shared" si="87"/>
        <v/>
      </c>
    </row>
    <row r="382" spans="1:21" x14ac:dyDescent="0.2">
      <c r="A382" s="2">
        <v>381</v>
      </c>
      <c r="B382" s="21" t="str">
        <f t="shared" si="100"/>
        <v>2.3.03c</v>
      </c>
      <c r="C382" s="2">
        <v>2</v>
      </c>
      <c r="D382" s="2">
        <v>3</v>
      </c>
      <c r="E382" s="2">
        <v>3</v>
      </c>
      <c r="F382" s="2" t="s">
        <v>94</v>
      </c>
      <c r="G382" s="2" t="s">
        <v>470</v>
      </c>
      <c r="H382" s="2">
        <v>2</v>
      </c>
      <c r="I382" s="19" t="str">
        <f t="shared" si="90"/>
        <v/>
      </c>
      <c r="J382" s="2" t="str">
        <f t="shared" si="91"/>
        <v/>
      </c>
      <c r="K382" s="2" t="str">
        <f t="shared" si="92"/>
        <v/>
      </c>
      <c r="L382" s="2" t="str">
        <f t="shared" si="93"/>
        <v/>
      </c>
      <c r="M382" s="2" t="str">
        <f t="shared" si="94"/>
        <v/>
      </c>
      <c r="N382" s="2">
        <f t="shared" si="95"/>
        <v>6</v>
      </c>
      <c r="O382" s="19">
        <f t="shared" si="96"/>
        <v>6</v>
      </c>
      <c r="Q382" s="2" t="str">
        <f t="shared" si="97"/>
        <v>03</v>
      </c>
      <c r="R382" s="21" t="str">
        <f t="shared" si="98"/>
        <v>2.3.03c</v>
      </c>
      <c r="S382" s="2" t="str">
        <f t="shared" si="99"/>
        <v/>
      </c>
      <c r="T382" s="2" t="str">
        <f t="shared" si="101"/>
        <v/>
      </c>
      <c r="U382" s="19" t="str">
        <f t="shared" si="87"/>
        <v/>
      </c>
    </row>
    <row r="383" spans="1:21" x14ac:dyDescent="0.2">
      <c r="A383" s="2">
        <v>382</v>
      </c>
      <c r="B383" s="21" t="str">
        <f t="shared" si="100"/>
        <v>2.3.03d</v>
      </c>
      <c r="C383" s="2">
        <v>2</v>
      </c>
      <c r="D383" s="2">
        <v>3</v>
      </c>
      <c r="E383" s="2">
        <v>3</v>
      </c>
      <c r="F383" s="2" t="s">
        <v>112</v>
      </c>
      <c r="G383" s="2" t="s">
        <v>471</v>
      </c>
      <c r="H383" s="2">
        <v>2</v>
      </c>
      <c r="I383" s="19" t="str">
        <f t="shared" si="90"/>
        <v/>
      </c>
      <c r="J383" s="2" t="str">
        <f t="shared" si="91"/>
        <v/>
      </c>
      <c r="K383" s="2" t="str">
        <f t="shared" si="92"/>
        <v/>
      </c>
      <c r="L383" s="2" t="str">
        <f t="shared" si="93"/>
        <v/>
      </c>
      <c r="M383" s="2" t="str">
        <f t="shared" si="94"/>
        <v/>
      </c>
      <c r="N383" s="2">
        <f t="shared" si="95"/>
        <v>6</v>
      </c>
      <c r="O383" s="19">
        <f t="shared" si="96"/>
        <v>6</v>
      </c>
      <c r="Q383" s="2" t="str">
        <f t="shared" si="97"/>
        <v>03</v>
      </c>
      <c r="R383" s="21" t="str">
        <f t="shared" si="98"/>
        <v>2.3.03d</v>
      </c>
      <c r="S383" s="2" t="str">
        <f t="shared" si="99"/>
        <v/>
      </c>
      <c r="T383" s="2" t="str">
        <f t="shared" si="101"/>
        <v/>
      </c>
      <c r="U383" s="19" t="str">
        <f t="shared" si="87"/>
        <v/>
      </c>
    </row>
    <row r="384" spans="1:21" x14ac:dyDescent="0.2">
      <c r="A384" s="2">
        <v>383</v>
      </c>
      <c r="B384" s="21" t="str">
        <f t="shared" si="100"/>
        <v>2.3.04</v>
      </c>
      <c r="C384" s="2">
        <v>2</v>
      </c>
      <c r="D384" s="2">
        <v>3</v>
      </c>
      <c r="E384" s="2">
        <v>4</v>
      </c>
      <c r="F384" s="2" t="s">
        <v>84</v>
      </c>
      <c r="G384" s="2" t="s">
        <v>472</v>
      </c>
      <c r="H384" s="2">
        <v>3</v>
      </c>
      <c r="I384" s="19" t="str">
        <f t="shared" si="90"/>
        <v/>
      </c>
      <c r="J384" s="2" t="str">
        <f t="shared" si="91"/>
        <v/>
      </c>
      <c r="K384" s="2" t="str">
        <f t="shared" si="92"/>
        <v/>
      </c>
      <c r="L384" s="2" t="str">
        <f t="shared" si="93"/>
        <v/>
      </c>
      <c r="M384" s="2">
        <f t="shared" si="94"/>
        <v>5</v>
      </c>
      <c r="N384" s="2" t="str">
        <f t="shared" si="95"/>
        <v/>
      </c>
      <c r="O384" s="19">
        <f t="shared" si="96"/>
        <v>5</v>
      </c>
      <c r="Q384" s="2" t="str">
        <f t="shared" si="97"/>
        <v>04</v>
      </c>
      <c r="R384" s="21" t="str">
        <f t="shared" si="98"/>
        <v>2.3.04</v>
      </c>
      <c r="S384" s="2" t="str">
        <f t="shared" si="99"/>
        <v/>
      </c>
      <c r="T384" s="2" t="str">
        <f t="shared" si="101"/>
        <v/>
      </c>
      <c r="U384" s="19" t="str">
        <f t="shared" si="87"/>
        <v/>
      </c>
    </row>
    <row r="385" spans="1:21" x14ac:dyDescent="0.2">
      <c r="A385" s="2">
        <v>384</v>
      </c>
      <c r="B385" s="21" t="str">
        <f t="shared" si="100"/>
        <v>2.3.05</v>
      </c>
      <c r="C385" s="2">
        <v>2</v>
      </c>
      <c r="D385" s="2">
        <v>3</v>
      </c>
      <c r="E385" s="2">
        <v>5</v>
      </c>
      <c r="F385" s="2" t="s">
        <v>84</v>
      </c>
      <c r="G385" s="2" t="s">
        <v>473</v>
      </c>
      <c r="H385" s="2">
        <v>3</v>
      </c>
      <c r="I385" s="19" t="str">
        <f t="shared" si="90"/>
        <v/>
      </c>
      <c r="J385" s="2" t="str">
        <f t="shared" si="91"/>
        <v/>
      </c>
      <c r="K385" s="2" t="str">
        <f t="shared" si="92"/>
        <v/>
      </c>
      <c r="L385" s="2" t="str">
        <f t="shared" si="93"/>
        <v/>
      </c>
      <c r="M385" s="2">
        <f t="shared" si="94"/>
        <v>5</v>
      </c>
      <c r="N385" s="2" t="str">
        <f t="shared" si="95"/>
        <v/>
      </c>
      <c r="O385" s="19">
        <f t="shared" si="96"/>
        <v>5</v>
      </c>
      <c r="Q385" s="2" t="str">
        <f t="shared" si="97"/>
        <v>05</v>
      </c>
      <c r="R385" s="21" t="str">
        <f t="shared" si="98"/>
        <v>2.3.05</v>
      </c>
      <c r="S385" s="2" t="str">
        <f t="shared" si="99"/>
        <v/>
      </c>
      <c r="T385" s="2" t="str">
        <f t="shared" si="101"/>
        <v/>
      </c>
      <c r="U385" s="19" t="str">
        <f t="shared" si="87"/>
        <v/>
      </c>
    </row>
    <row r="386" spans="1:21" x14ac:dyDescent="0.2">
      <c r="A386" s="2">
        <v>385</v>
      </c>
      <c r="B386" s="21" t="str">
        <f t="shared" si="100"/>
        <v>2.3.06</v>
      </c>
      <c r="C386" s="2">
        <v>2</v>
      </c>
      <c r="D386" s="2">
        <v>3</v>
      </c>
      <c r="E386" s="2">
        <v>6</v>
      </c>
      <c r="F386" s="2" t="s">
        <v>84</v>
      </c>
      <c r="G386" s="2" t="s">
        <v>474</v>
      </c>
      <c r="H386" s="2" t="s">
        <v>89</v>
      </c>
      <c r="I386" s="19" t="str">
        <f t="shared" si="90"/>
        <v/>
      </c>
      <c r="J386" s="2" t="str">
        <f t="shared" si="91"/>
        <v/>
      </c>
      <c r="K386" s="2" t="str">
        <f t="shared" si="92"/>
        <v/>
      </c>
      <c r="L386" s="2">
        <f t="shared" si="93"/>
        <v>4</v>
      </c>
      <c r="M386" s="2" t="str">
        <f t="shared" si="94"/>
        <v/>
      </c>
      <c r="N386" s="2" t="str">
        <f t="shared" si="95"/>
        <v/>
      </c>
      <c r="O386" s="19">
        <f t="shared" si="96"/>
        <v>4</v>
      </c>
      <c r="Q386" s="2" t="str">
        <f t="shared" si="97"/>
        <v>06</v>
      </c>
      <c r="R386" s="21" t="str">
        <f t="shared" si="98"/>
        <v>2.3.06</v>
      </c>
      <c r="S386" s="2" t="str">
        <f t="shared" si="99"/>
        <v/>
      </c>
      <c r="T386" s="2" t="str">
        <f t="shared" si="101"/>
        <v/>
      </c>
      <c r="U386" s="19" t="str">
        <f t="shared" si="87"/>
        <v/>
      </c>
    </row>
    <row r="387" spans="1:21" x14ac:dyDescent="0.2">
      <c r="A387" s="2">
        <v>386</v>
      </c>
      <c r="B387" s="21" t="str">
        <f t="shared" si="100"/>
        <v>2.3.06a</v>
      </c>
      <c r="C387" s="2">
        <v>2</v>
      </c>
      <c r="D387" s="2">
        <v>3</v>
      </c>
      <c r="E387" s="2">
        <v>6</v>
      </c>
      <c r="F387" s="2" t="s">
        <v>90</v>
      </c>
      <c r="G387" s="2" t="s">
        <v>475</v>
      </c>
      <c r="H387" s="2">
        <v>3</v>
      </c>
      <c r="I387" s="19" t="str">
        <f t="shared" si="90"/>
        <v/>
      </c>
      <c r="J387" s="2" t="str">
        <f t="shared" si="91"/>
        <v/>
      </c>
      <c r="K387" s="2" t="str">
        <f t="shared" si="92"/>
        <v/>
      </c>
      <c r="L387" s="2" t="str">
        <f t="shared" si="93"/>
        <v/>
      </c>
      <c r="M387" s="2" t="str">
        <f t="shared" si="94"/>
        <v/>
      </c>
      <c r="N387" s="2">
        <f t="shared" si="95"/>
        <v>6</v>
      </c>
      <c r="O387" s="19">
        <f t="shared" si="96"/>
        <v>6</v>
      </c>
      <c r="Q387" s="2" t="str">
        <f t="shared" si="97"/>
        <v>06</v>
      </c>
      <c r="R387" s="21" t="str">
        <f t="shared" si="98"/>
        <v>2.3.06a</v>
      </c>
      <c r="S387" s="2" t="str">
        <f t="shared" si="99"/>
        <v/>
      </c>
      <c r="T387" s="2" t="str">
        <f t="shared" si="101"/>
        <v/>
      </c>
      <c r="U387" s="19" t="str">
        <f t="shared" ref="U387:U450" si="102">IF(O387&lt;4,IF(LEN(H387)=0,"",1),IF(O387=4,IF(H387="N/A","",1),IF(AND(O387&gt;4,O387&lt;7),IF(AND(H387&gt;0,H387&lt;6),"",1),1)))</f>
        <v/>
      </c>
    </row>
    <row r="388" spans="1:21" x14ac:dyDescent="0.2">
      <c r="A388" s="2">
        <v>387</v>
      </c>
      <c r="B388" s="21" t="str">
        <f t="shared" si="100"/>
        <v>2.3.06b</v>
      </c>
      <c r="C388" s="2">
        <v>2</v>
      </c>
      <c r="D388" s="2">
        <v>3</v>
      </c>
      <c r="E388" s="2">
        <v>6</v>
      </c>
      <c r="F388" s="2" t="s">
        <v>92</v>
      </c>
      <c r="G388" s="2" t="s">
        <v>476</v>
      </c>
      <c r="H388" s="2">
        <v>3</v>
      </c>
      <c r="I388" s="19" t="str">
        <f t="shared" si="90"/>
        <v/>
      </c>
      <c r="J388" s="2" t="str">
        <f t="shared" si="91"/>
        <v/>
      </c>
      <c r="K388" s="2" t="str">
        <f t="shared" si="92"/>
        <v/>
      </c>
      <c r="L388" s="2" t="str">
        <f t="shared" si="93"/>
        <v/>
      </c>
      <c r="M388" s="2" t="str">
        <f t="shared" si="94"/>
        <v/>
      </c>
      <c r="N388" s="2">
        <f t="shared" si="95"/>
        <v>6</v>
      </c>
      <c r="O388" s="19">
        <f t="shared" si="96"/>
        <v>6</v>
      </c>
      <c r="Q388" s="2" t="str">
        <f t="shared" si="97"/>
        <v>06</v>
      </c>
      <c r="R388" s="21" t="str">
        <f t="shared" si="98"/>
        <v>2.3.06b</v>
      </c>
      <c r="S388" s="2" t="str">
        <f t="shared" si="99"/>
        <v/>
      </c>
      <c r="T388" s="2" t="str">
        <f t="shared" si="101"/>
        <v/>
      </c>
      <c r="U388" s="19" t="str">
        <f t="shared" si="102"/>
        <v/>
      </c>
    </row>
    <row r="389" spans="1:21" x14ac:dyDescent="0.2">
      <c r="A389" s="2">
        <v>388</v>
      </c>
      <c r="B389" s="21" t="str">
        <f t="shared" si="100"/>
        <v>2.3.06c</v>
      </c>
      <c r="C389" s="2">
        <v>2</v>
      </c>
      <c r="D389" s="2">
        <v>3</v>
      </c>
      <c r="E389" s="2">
        <v>6</v>
      </c>
      <c r="F389" s="2" t="s">
        <v>94</v>
      </c>
      <c r="G389" s="2" t="s">
        <v>477</v>
      </c>
      <c r="H389" s="2">
        <v>3</v>
      </c>
      <c r="I389" s="19" t="str">
        <f t="shared" si="90"/>
        <v/>
      </c>
      <c r="J389" s="2" t="str">
        <f t="shared" si="91"/>
        <v/>
      </c>
      <c r="K389" s="2" t="str">
        <f t="shared" si="92"/>
        <v/>
      </c>
      <c r="L389" s="2" t="str">
        <f t="shared" si="93"/>
        <v/>
      </c>
      <c r="M389" s="2" t="str">
        <f t="shared" si="94"/>
        <v/>
      </c>
      <c r="N389" s="2">
        <f t="shared" si="95"/>
        <v>6</v>
      </c>
      <c r="O389" s="19">
        <f t="shared" si="96"/>
        <v>6</v>
      </c>
      <c r="Q389" s="2" t="str">
        <f t="shared" si="97"/>
        <v>06</v>
      </c>
      <c r="R389" s="21" t="str">
        <f t="shared" si="98"/>
        <v>2.3.06c</v>
      </c>
      <c r="S389" s="2" t="str">
        <f t="shared" si="99"/>
        <v/>
      </c>
      <c r="T389" s="2" t="str">
        <f t="shared" si="101"/>
        <v/>
      </c>
      <c r="U389" s="19" t="str">
        <f t="shared" si="102"/>
        <v/>
      </c>
    </row>
    <row r="390" spans="1:21" x14ac:dyDescent="0.2">
      <c r="A390" s="2">
        <v>389</v>
      </c>
      <c r="B390" s="21" t="str">
        <f t="shared" si="100"/>
        <v>2.3.06d</v>
      </c>
      <c r="C390" s="2">
        <v>2</v>
      </c>
      <c r="D390" s="2">
        <v>3</v>
      </c>
      <c r="E390" s="2">
        <v>6</v>
      </c>
      <c r="F390" s="2" t="s">
        <v>112</v>
      </c>
      <c r="G390" s="2" t="s">
        <v>478</v>
      </c>
      <c r="H390" s="2">
        <v>3</v>
      </c>
      <c r="I390" s="19" t="str">
        <f t="shared" si="90"/>
        <v/>
      </c>
      <c r="J390" s="2" t="str">
        <f t="shared" si="91"/>
        <v/>
      </c>
      <c r="K390" s="2" t="str">
        <f t="shared" si="92"/>
        <v/>
      </c>
      <c r="L390" s="2" t="str">
        <f t="shared" si="93"/>
        <v/>
      </c>
      <c r="M390" s="2" t="str">
        <f t="shared" si="94"/>
        <v/>
      </c>
      <c r="N390" s="2">
        <f t="shared" si="95"/>
        <v>6</v>
      </c>
      <c r="O390" s="19">
        <f t="shared" si="96"/>
        <v>6</v>
      </c>
      <c r="Q390" s="2" t="str">
        <f t="shared" si="97"/>
        <v>06</v>
      </c>
      <c r="R390" s="21" t="str">
        <f t="shared" si="98"/>
        <v>2.3.06d</v>
      </c>
      <c r="S390" s="2" t="str">
        <f t="shared" si="99"/>
        <v/>
      </c>
      <c r="T390" s="2" t="str">
        <f t="shared" si="101"/>
        <v/>
      </c>
      <c r="U390" s="19" t="str">
        <f t="shared" si="102"/>
        <v/>
      </c>
    </row>
    <row r="391" spans="1:21" x14ac:dyDescent="0.2">
      <c r="A391" s="2">
        <v>390</v>
      </c>
      <c r="B391" s="21" t="str">
        <f t="shared" si="100"/>
        <v>2.3.06e</v>
      </c>
      <c r="C391" s="2">
        <v>2</v>
      </c>
      <c r="D391" s="2">
        <v>3</v>
      </c>
      <c r="E391" s="2">
        <v>6</v>
      </c>
      <c r="F391" s="2" t="s">
        <v>114</v>
      </c>
      <c r="G391" s="2" t="s">
        <v>479</v>
      </c>
      <c r="H391" s="2">
        <v>4</v>
      </c>
      <c r="I391" s="19" t="str">
        <f t="shared" si="90"/>
        <v/>
      </c>
      <c r="J391" s="2" t="str">
        <f t="shared" si="91"/>
        <v/>
      </c>
      <c r="K391" s="2" t="str">
        <f t="shared" si="92"/>
        <v/>
      </c>
      <c r="L391" s="2" t="str">
        <f t="shared" si="93"/>
        <v/>
      </c>
      <c r="M391" s="2" t="str">
        <f t="shared" si="94"/>
        <v/>
      </c>
      <c r="N391" s="2">
        <f t="shared" si="95"/>
        <v>6</v>
      </c>
      <c r="O391" s="19">
        <f t="shared" si="96"/>
        <v>6</v>
      </c>
      <c r="Q391" s="2" t="str">
        <f t="shared" si="97"/>
        <v>06</v>
      </c>
      <c r="R391" s="21" t="str">
        <f t="shared" si="98"/>
        <v>2.3.06e</v>
      </c>
      <c r="S391" s="2" t="str">
        <f t="shared" si="99"/>
        <v/>
      </c>
      <c r="T391" s="2" t="str">
        <f t="shared" si="101"/>
        <v/>
      </c>
      <c r="U391" s="19" t="str">
        <f t="shared" si="102"/>
        <v/>
      </c>
    </row>
    <row r="392" spans="1:21" x14ac:dyDescent="0.2">
      <c r="A392" s="2">
        <v>391</v>
      </c>
      <c r="B392" s="21" t="str">
        <f t="shared" si="100"/>
        <v>2.3.06f</v>
      </c>
      <c r="C392" s="2">
        <v>2</v>
      </c>
      <c r="D392" s="2">
        <v>3</v>
      </c>
      <c r="E392" s="2">
        <v>6</v>
      </c>
      <c r="F392" s="2" t="s">
        <v>129</v>
      </c>
      <c r="G392" s="2" t="s">
        <v>480</v>
      </c>
      <c r="H392" s="2">
        <v>3</v>
      </c>
      <c r="I392" s="19" t="str">
        <f t="shared" si="90"/>
        <v/>
      </c>
      <c r="J392" s="2" t="str">
        <f t="shared" si="91"/>
        <v/>
      </c>
      <c r="K392" s="2" t="str">
        <f t="shared" si="92"/>
        <v/>
      </c>
      <c r="L392" s="2" t="str">
        <f t="shared" si="93"/>
        <v/>
      </c>
      <c r="M392" s="2" t="str">
        <f t="shared" si="94"/>
        <v/>
      </c>
      <c r="N392" s="2">
        <f t="shared" si="95"/>
        <v>6</v>
      </c>
      <c r="O392" s="19">
        <f t="shared" si="96"/>
        <v>6</v>
      </c>
      <c r="Q392" s="2" t="str">
        <f t="shared" si="97"/>
        <v>06</v>
      </c>
      <c r="R392" s="21" t="str">
        <f t="shared" si="98"/>
        <v>2.3.06f</v>
      </c>
      <c r="S392" s="2" t="str">
        <f t="shared" si="99"/>
        <v/>
      </c>
      <c r="T392" s="2" t="str">
        <f t="shared" si="101"/>
        <v/>
      </c>
      <c r="U392" s="19" t="str">
        <f t="shared" si="102"/>
        <v/>
      </c>
    </row>
    <row r="393" spans="1:21" x14ac:dyDescent="0.2">
      <c r="A393" s="2">
        <v>392</v>
      </c>
      <c r="B393" s="21" t="str">
        <f t="shared" si="100"/>
        <v>2.3.06g</v>
      </c>
      <c r="C393" s="2">
        <v>2</v>
      </c>
      <c r="D393" s="2">
        <v>3</v>
      </c>
      <c r="E393" s="2">
        <v>6</v>
      </c>
      <c r="F393" s="2" t="s">
        <v>206</v>
      </c>
      <c r="G393" s="2" t="s">
        <v>481</v>
      </c>
      <c r="H393" s="2">
        <v>3</v>
      </c>
      <c r="I393" s="19" t="str">
        <f t="shared" si="90"/>
        <v/>
      </c>
      <c r="J393" s="2" t="str">
        <f t="shared" si="91"/>
        <v/>
      </c>
      <c r="K393" s="2" t="str">
        <f t="shared" si="92"/>
        <v/>
      </c>
      <c r="L393" s="2" t="str">
        <f t="shared" si="93"/>
        <v/>
      </c>
      <c r="M393" s="2" t="str">
        <f t="shared" si="94"/>
        <v/>
      </c>
      <c r="N393" s="2">
        <f t="shared" si="95"/>
        <v>6</v>
      </c>
      <c r="O393" s="19">
        <f t="shared" si="96"/>
        <v>6</v>
      </c>
      <c r="Q393" s="2" t="str">
        <f t="shared" si="97"/>
        <v>06</v>
      </c>
      <c r="R393" s="21" t="str">
        <f t="shared" si="98"/>
        <v>2.3.06g</v>
      </c>
      <c r="S393" s="2" t="str">
        <f t="shared" si="99"/>
        <v/>
      </c>
      <c r="T393" s="2" t="str">
        <f t="shared" si="101"/>
        <v/>
      </c>
      <c r="U393" s="19" t="str">
        <f t="shared" si="102"/>
        <v/>
      </c>
    </row>
    <row r="394" spans="1:21" x14ac:dyDescent="0.2">
      <c r="A394" s="2">
        <v>393</v>
      </c>
      <c r="B394" s="21" t="str">
        <f t="shared" si="100"/>
        <v>2.3.07</v>
      </c>
      <c r="C394" s="2">
        <v>2</v>
      </c>
      <c r="D394" s="2">
        <v>3</v>
      </c>
      <c r="E394" s="2">
        <v>7</v>
      </c>
      <c r="F394" s="2" t="s">
        <v>84</v>
      </c>
      <c r="G394" s="2" t="s">
        <v>482</v>
      </c>
      <c r="H394" s="2" t="s">
        <v>89</v>
      </c>
      <c r="I394" s="19" t="str">
        <f t="shared" si="90"/>
        <v/>
      </c>
      <c r="J394" s="2" t="str">
        <f t="shared" si="91"/>
        <v/>
      </c>
      <c r="K394" s="2" t="str">
        <f t="shared" si="92"/>
        <v/>
      </c>
      <c r="L394" s="2">
        <f t="shared" si="93"/>
        <v>4</v>
      </c>
      <c r="M394" s="2" t="str">
        <f t="shared" si="94"/>
        <v/>
      </c>
      <c r="N394" s="2" t="str">
        <f t="shared" si="95"/>
        <v/>
      </c>
      <c r="O394" s="19">
        <f t="shared" si="96"/>
        <v>4</v>
      </c>
      <c r="Q394" s="2" t="str">
        <f t="shared" si="97"/>
        <v>07</v>
      </c>
      <c r="R394" s="21" t="str">
        <f t="shared" si="98"/>
        <v>2.3.07</v>
      </c>
      <c r="S394" s="2" t="str">
        <f t="shared" si="99"/>
        <v/>
      </c>
      <c r="T394" s="2" t="str">
        <f t="shared" si="101"/>
        <v/>
      </c>
      <c r="U394" s="19" t="str">
        <f t="shared" si="102"/>
        <v/>
      </c>
    </row>
    <row r="395" spans="1:21" x14ac:dyDescent="0.2">
      <c r="A395" s="2">
        <v>394</v>
      </c>
      <c r="B395" s="21" t="str">
        <f t="shared" si="100"/>
        <v>2.3.07a</v>
      </c>
      <c r="C395" s="2">
        <v>2</v>
      </c>
      <c r="D395" s="2">
        <v>3</v>
      </c>
      <c r="E395" s="2">
        <v>7</v>
      </c>
      <c r="F395" s="2" t="s">
        <v>90</v>
      </c>
      <c r="G395" s="2" t="s">
        <v>483</v>
      </c>
      <c r="H395" s="2">
        <v>5</v>
      </c>
      <c r="I395" s="19" t="str">
        <f t="shared" si="90"/>
        <v/>
      </c>
      <c r="J395" s="2" t="str">
        <f t="shared" si="91"/>
        <v/>
      </c>
      <c r="K395" s="2" t="str">
        <f t="shared" si="92"/>
        <v/>
      </c>
      <c r="L395" s="2" t="str">
        <f t="shared" si="93"/>
        <v/>
      </c>
      <c r="M395" s="2" t="str">
        <f t="shared" si="94"/>
        <v/>
      </c>
      <c r="N395" s="2">
        <f t="shared" si="95"/>
        <v>6</v>
      </c>
      <c r="O395" s="19">
        <f t="shared" si="96"/>
        <v>6</v>
      </c>
      <c r="Q395" s="2" t="str">
        <f t="shared" si="97"/>
        <v>07</v>
      </c>
      <c r="R395" s="21" t="str">
        <f t="shared" si="98"/>
        <v>2.3.07a</v>
      </c>
      <c r="S395" s="2" t="str">
        <f t="shared" si="99"/>
        <v/>
      </c>
      <c r="T395" s="2" t="str">
        <f t="shared" si="101"/>
        <v/>
      </c>
      <c r="U395" s="19" t="str">
        <f t="shared" si="102"/>
        <v/>
      </c>
    </row>
    <row r="396" spans="1:21" x14ac:dyDescent="0.2">
      <c r="A396" s="2">
        <v>395</v>
      </c>
      <c r="B396" s="21" t="str">
        <f t="shared" si="100"/>
        <v>2.3.07b</v>
      </c>
      <c r="C396" s="2">
        <v>2</v>
      </c>
      <c r="D396" s="2">
        <v>3</v>
      </c>
      <c r="E396" s="2">
        <v>7</v>
      </c>
      <c r="F396" s="2" t="s">
        <v>92</v>
      </c>
      <c r="G396" s="2" t="s">
        <v>484</v>
      </c>
      <c r="H396" s="2">
        <v>5</v>
      </c>
      <c r="I396" s="19" t="str">
        <f t="shared" si="90"/>
        <v/>
      </c>
      <c r="J396" s="2" t="str">
        <f t="shared" si="91"/>
        <v/>
      </c>
      <c r="K396" s="2" t="str">
        <f t="shared" si="92"/>
        <v/>
      </c>
      <c r="L396" s="2" t="str">
        <f t="shared" si="93"/>
        <v/>
      </c>
      <c r="M396" s="2" t="str">
        <f t="shared" si="94"/>
        <v/>
      </c>
      <c r="N396" s="2">
        <f t="shared" si="95"/>
        <v>6</v>
      </c>
      <c r="O396" s="19">
        <f t="shared" si="96"/>
        <v>6</v>
      </c>
      <c r="Q396" s="2" t="str">
        <f t="shared" si="97"/>
        <v>07</v>
      </c>
      <c r="R396" s="21" t="str">
        <f t="shared" si="98"/>
        <v>2.3.07b</v>
      </c>
      <c r="S396" s="2" t="str">
        <f t="shared" si="99"/>
        <v/>
      </c>
      <c r="T396" s="2" t="str">
        <f t="shared" si="101"/>
        <v/>
      </c>
      <c r="U396" s="19" t="str">
        <f t="shared" si="102"/>
        <v/>
      </c>
    </row>
    <row r="397" spans="1:21" x14ac:dyDescent="0.2">
      <c r="A397" s="2">
        <v>396</v>
      </c>
      <c r="B397" s="21" t="str">
        <f t="shared" si="100"/>
        <v>2.3.08</v>
      </c>
      <c r="C397" s="2">
        <v>2</v>
      </c>
      <c r="D397" s="2">
        <v>3</v>
      </c>
      <c r="E397" s="2">
        <v>8</v>
      </c>
      <c r="F397" s="2" t="s">
        <v>84</v>
      </c>
      <c r="G397" s="2" t="s">
        <v>485</v>
      </c>
      <c r="H397" s="2">
        <v>5</v>
      </c>
      <c r="I397" s="19" t="str">
        <f t="shared" si="90"/>
        <v/>
      </c>
      <c r="J397" s="2" t="str">
        <f t="shared" si="91"/>
        <v/>
      </c>
      <c r="K397" s="2" t="str">
        <f t="shared" si="92"/>
        <v/>
      </c>
      <c r="L397" s="2" t="str">
        <f t="shared" si="93"/>
        <v/>
      </c>
      <c r="M397" s="2">
        <f t="shared" si="94"/>
        <v>5</v>
      </c>
      <c r="N397" s="2" t="str">
        <f t="shared" si="95"/>
        <v/>
      </c>
      <c r="O397" s="19">
        <f t="shared" si="96"/>
        <v>5</v>
      </c>
      <c r="Q397" s="2" t="str">
        <f t="shared" si="97"/>
        <v>08</v>
      </c>
      <c r="R397" s="21" t="str">
        <f t="shared" si="98"/>
        <v>2.3.08</v>
      </c>
      <c r="S397" s="2" t="str">
        <f t="shared" si="99"/>
        <v/>
      </c>
      <c r="T397" s="2" t="str">
        <f t="shared" si="101"/>
        <v/>
      </c>
      <c r="U397" s="19" t="str">
        <f t="shared" si="102"/>
        <v/>
      </c>
    </row>
    <row r="398" spans="1:21" x14ac:dyDescent="0.2">
      <c r="A398" s="2">
        <v>397</v>
      </c>
      <c r="B398" s="21" t="str">
        <f t="shared" si="100"/>
        <v>2.3.09</v>
      </c>
      <c r="C398" s="2">
        <v>2</v>
      </c>
      <c r="D398" s="2">
        <v>3</v>
      </c>
      <c r="E398" s="2">
        <v>9</v>
      </c>
      <c r="F398" s="2" t="s">
        <v>84</v>
      </c>
      <c r="G398" s="2" t="s">
        <v>486</v>
      </c>
      <c r="H398" s="2" t="s">
        <v>89</v>
      </c>
      <c r="I398" s="19" t="str">
        <f t="shared" si="90"/>
        <v/>
      </c>
      <c r="J398" s="2" t="str">
        <f t="shared" si="91"/>
        <v/>
      </c>
      <c r="K398" s="2" t="str">
        <f t="shared" si="92"/>
        <v/>
      </c>
      <c r="L398" s="2">
        <f t="shared" si="93"/>
        <v>4</v>
      </c>
      <c r="M398" s="2" t="str">
        <f t="shared" si="94"/>
        <v/>
      </c>
      <c r="N398" s="2" t="str">
        <f t="shared" si="95"/>
        <v/>
      </c>
      <c r="O398" s="19">
        <f t="shared" si="96"/>
        <v>4</v>
      </c>
      <c r="Q398" s="2" t="str">
        <f t="shared" si="97"/>
        <v>09</v>
      </c>
      <c r="R398" s="21" t="str">
        <f t="shared" si="98"/>
        <v>2.3.09</v>
      </c>
      <c r="S398" s="2" t="str">
        <f t="shared" si="99"/>
        <v/>
      </c>
      <c r="T398" s="2" t="str">
        <f t="shared" si="101"/>
        <v/>
      </c>
      <c r="U398" s="19" t="str">
        <f t="shared" si="102"/>
        <v/>
      </c>
    </row>
    <row r="399" spans="1:21" x14ac:dyDescent="0.2">
      <c r="A399" s="2">
        <v>398</v>
      </c>
      <c r="B399" s="21" t="str">
        <f t="shared" si="100"/>
        <v>2.3.09a</v>
      </c>
      <c r="C399" s="2">
        <v>2</v>
      </c>
      <c r="D399" s="2">
        <v>3</v>
      </c>
      <c r="E399" s="2">
        <v>9</v>
      </c>
      <c r="F399" s="2" t="s">
        <v>90</v>
      </c>
      <c r="G399" s="2" t="s">
        <v>487</v>
      </c>
      <c r="H399" s="2">
        <v>4</v>
      </c>
      <c r="I399" s="19" t="str">
        <f t="shared" si="90"/>
        <v/>
      </c>
      <c r="J399" s="2" t="str">
        <f t="shared" si="91"/>
        <v/>
      </c>
      <c r="K399" s="2" t="str">
        <f t="shared" si="92"/>
        <v/>
      </c>
      <c r="L399" s="2" t="str">
        <f t="shared" si="93"/>
        <v/>
      </c>
      <c r="M399" s="2" t="str">
        <f t="shared" si="94"/>
        <v/>
      </c>
      <c r="N399" s="2">
        <f t="shared" si="95"/>
        <v>6</v>
      </c>
      <c r="O399" s="19">
        <f t="shared" si="96"/>
        <v>6</v>
      </c>
      <c r="Q399" s="2" t="str">
        <f t="shared" si="97"/>
        <v>09</v>
      </c>
      <c r="R399" s="21" t="str">
        <f t="shared" si="98"/>
        <v>2.3.09a</v>
      </c>
      <c r="S399" s="2" t="str">
        <f t="shared" si="99"/>
        <v/>
      </c>
      <c r="T399" s="2" t="str">
        <f t="shared" si="101"/>
        <v/>
      </c>
      <c r="U399" s="19" t="str">
        <f t="shared" si="102"/>
        <v/>
      </c>
    </row>
    <row r="400" spans="1:21" x14ac:dyDescent="0.2">
      <c r="A400" s="2">
        <v>399</v>
      </c>
      <c r="B400" s="21" t="str">
        <f t="shared" si="100"/>
        <v>2.3.09b</v>
      </c>
      <c r="C400" s="2">
        <v>2</v>
      </c>
      <c r="D400" s="2">
        <v>3</v>
      </c>
      <c r="E400" s="2">
        <v>9</v>
      </c>
      <c r="F400" s="2" t="s">
        <v>92</v>
      </c>
      <c r="G400" s="2" t="s">
        <v>488</v>
      </c>
      <c r="H400" s="2">
        <v>4</v>
      </c>
      <c r="I400" s="19" t="str">
        <f t="shared" si="90"/>
        <v/>
      </c>
      <c r="J400" s="2" t="str">
        <f t="shared" si="91"/>
        <v/>
      </c>
      <c r="K400" s="2" t="str">
        <f t="shared" si="92"/>
        <v/>
      </c>
      <c r="L400" s="2" t="str">
        <f t="shared" si="93"/>
        <v/>
      </c>
      <c r="M400" s="2" t="str">
        <f t="shared" si="94"/>
        <v/>
      </c>
      <c r="N400" s="2">
        <f t="shared" si="95"/>
        <v>6</v>
      </c>
      <c r="O400" s="19">
        <f t="shared" si="96"/>
        <v>6</v>
      </c>
      <c r="Q400" s="2" t="str">
        <f t="shared" si="97"/>
        <v>09</v>
      </c>
      <c r="R400" s="21" t="str">
        <f t="shared" si="98"/>
        <v>2.3.09b</v>
      </c>
      <c r="S400" s="2" t="str">
        <f t="shared" si="99"/>
        <v/>
      </c>
      <c r="T400" s="2" t="str">
        <f t="shared" si="101"/>
        <v/>
      </c>
      <c r="U400" s="19" t="str">
        <f t="shared" si="102"/>
        <v/>
      </c>
    </row>
    <row r="401" spans="1:21" x14ac:dyDescent="0.2">
      <c r="A401" s="2">
        <v>400</v>
      </c>
      <c r="B401" s="21" t="str">
        <f t="shared" si="100"/>
        <v>2.3.09c</v>
      </c>
      <c r="C401" s="2">
        <v>2</v>
      </c>
      <c r="D401" s="2">
        <v>3</v>
      </c>
      <c r="E401" s="2">
        <v>9</v>
      </c>
      <c r="F401" s="2" t="s">
        <v>94</v>
      </c>
      <c r="G401" s="2" t="s">
        <v>489</v>
      </c>
      <c r="H401" s="2">
        <v>4</v>
      </c>
      <c r="I401" s="19" t="str">
        <f t="shared" si="90"/>
        <v/>
      </c>
      <c r="J401" s="2" t="str">
        <f t="shared" si="91"/>
        <v/>
      </c>
      <c r="K401" s="2" t="str">
        <f t="shared" si="92"/>
        <v/>
      </c>
      <c r="L401" s="2" t="str">
        <f t="shared" si="93"/>
        <v/>
      </c>
      <c r="M401" s="2" t="str">
        <f t="shared" si="94"/>
        <v/>
      </c>
      <c r="N401" s="2">
        <f t="shared" si="95"/>
        <v>6</v>
      </c>
      <c r="O401" s="19">
        <f t="shared" si="96"/>
        <v>6</v>
      </c>
      <c r="Q401" s="2" t="str">
        <f t="shared" si="97"/>
        <v>09</v>
      </c>
      <c r="R401" s="21" t="str">
        <f t="shared" si="98"/>
        <v>2.3.09c</v>
      </c>
      <c r="S401" s="2" t="str">
        <f t="shared" si="99"/>
        <v/>
      </c>
      <c r="T401" s="2" t="str">
        <f t="shared" si="101"/>
        <v/>
      </c>
      <c r="U401" s="19" t="str">
        <f t="shared" si="102"/>
        <v/>
      </c>
    </row>
    <row r="402" spans="1:21" x14ac:dyDescent="0.2">
      <c r="A402" s="2">
        <v>401</v>
      </c>
      <c r="B402" s="21" t="str">
        <f t="shared" si="100"/>
        <v>2.3.09d</v>
      </c>
      <c r="C402" s="2">
        <v>2</v>
      </c>
      <c r="D402" s="2">
        <v>3</v>
      </c>
      <c r="E402" s="2">
        <v>9</v>
      </c>
      <c r="F402" s="2" t="s">
        <v>112</v>
      </c>
      <c r="G402" s="2" t="s">
        <v>490</v>
      </c>
      <c r="H402" s="2">
        <v>4</v>
      </c>
      <c r="I402" s="19" t="str">
        <f t="shared" si="90"/>
        <v/>
      </c>
      <c r="J402" s="2" t="str">
        <f t="shared" si="91"/>
        <v/>
      </c>
      <c r="K402" s="2" t="str">
        <f t="shared" si="92"/>
        <v/>
      </c>
      <c r="L402" s="2" t="str">
        <f t="shared" si="93"/>
        <v/>
      </c>
      <c r="M402" s="2" t="str">
        <f t="shared" si="94"/>
        <v/>
      </c>
      <c r="N402" s="2">
        <f t="shared" si="95"/>
        <v>6</v>
      </c>
      <c r="O402" s="19">
        <f t="shared" si="96"/>
        <v>6</v>
      </c>
      <c r="Q402" s="2" t="str">
        <f t="shared" si="97"/>
        <v>09</v>
      </c>
      <c r="R402" s="21" t="str">
        <f t="shared" si="98"/>
        <v>2.3.09d</v>
      </c>
      <c r="S402" s="2" t="str">
        <f t="shared" si="99"/>
        <v/>
      </c>
      <c r="T402" s="2" t="str">
        <f t="shared" si="101"/>
        <v/>
      </c>
      <c r="U402" s="19" t="str">
        <f t="shared" si="102"/>
        <v/>
      </c>
    </row>
    <row r="403" spans="1:21" x14ac:dyDescent="0.2">
      <c r="A403" s="2">
        <v>402</v>
      </c>
      <c r="B403" s="21" t="str">
        <f t="shared" si="100"/>
        <v>2.3.09e</v>
      </c>
      <c r="C403" s="2">
        <v>2</v>
      </c>
      <c r="D403" s="2">
        <v>3</v>
      </c>
      <c r="E403" s="2">
        <v>9</v>
      </c>
      <c r="F403" s="2" t="s">
        <v>114</v>
      </c>
      <c r="G403" s="2" t="s">
        <v>491</v>
      </c>
      <c r="H403" s="2">
        <v>5</v>
      </c>
      <c r="I403" s="19" t="str">
        <f t="shared" si="90"/>
        <v/>
      </c>
      <c r="J403" s="2" t="str">
        <f t="shared" si="91"/>
        <v/>
      </c>
      <c r="K403" s="2" t="str">
        <f t="shared" si="92"/>
        <v/>
      </c>
      <c r="L403" s="2" t="str">
        <f t="shared" si="93"/>
        <v/>
      </c>
      <c r="M403" s="2" t="str">
        <f t="shared" si="94"/>
        <v/>
      </c>
      <c r="N403" s="2">
        <f t="shared" si="95"/>
        <v>6</v>
      </c>
      <c r="O403" s="19">
        <f t="shared" si="96"/>
        <v>6</v>
      </c>
      <c r="Q403" s="2" t="str">
        <f t="shared" si="97"/>
        <v>09</v>
      </c>
      <c r="R403" s="21" t="str">
        <f t="shared" si="98"/>
        <v>2.3.09e</v>
      </c>
      <c r="S403" s="2" t="str">
        <f t="shared" si="99"/>
        <v/>
      </c>
      <c r="T403" s="2" t="str">
        <f t="shared" si="101"/>
        <v/>
      </c>
      <c r="U403" s="19" t="str">
        <f t="shared" si="102"/>
        <v/>
      </c>
    </row>
    <row r="404" spans="1:21" x14ac:dyDescent="0.2">
      <c r="A404" s="2">
        <v>403</v>
      </c>
      <c r="B404" s="21" t="str">
        <f t="shared" si="100"/>
        <v>2.3.09f</v>
      </c>
      <c r="C404" s="2">
        <v>2</v>
      </c>
      <c r="D404" s="2">
        <v>3</v>
      </c>
      <c r="E404" s="2">
        <v>9</v>
      </c>
      <c r="F404" s="2" t="s">
        <v>129</v>
      </c>
      <c r="G404" s="2" t="s">
        <v>492</v>
      </c>
      <c r="H404" s="2">
        <v>5</v>
      </c>
      <c r="I404" s="19" t="str">
        <f t="shared" si="90"/>
        <v/>
      </c>
      <c r="J404" s="2" t="str">
        <f t="shared" si="91"/>
        <v/>
      </c>
      <c r="K404" s="2" t="str">
        <f t="shared" si="92"/>
        <v/>
      </c>
      <c r="L404" s="2" t="str">
        <f t="shared" si="93"/>
        <v/>
      </c>
      <c r="M404" s="2" t="str">
        <f t="shared" si="94"/>
        <v/>
      </c>
      <c r="N404" s="2">
        <f t="shared" si="95"/>
        <v>6</v>
      </c>
      <c r="O404" s="19">
        <f t="shared" si="96"/>
        <v>6</v>
      </c>
      <c r="Q404" s="2" t="str">
        <f t="shared" si="97"/>
        <v>09</v>
      </c>
      <c r="R404" s="21" t="str">
        <f t="shared" si="98"/>
        <v>2.3.09f</v>
      </c>
      <c r="S404" s="2" t="str">
        <f t="shared" si="99"/>
        <v/>
      </c>
      <c r="T404" s="2" t="str">
        <f t="shared" si="101"/>
        <v/>
      </c>
      <c r="U404" s="19" t="str">
        <f t="shared" si="102"/>
        <v/>
      </c>
    </row>
    <row r="405" spans="1:21" x14ac:dyDescent="0.2">
      <c r="A405" s="2">
        <v>404</v>
      </c>
      <c r="B405" s="21" t="str">
        <f t="shared" si="100"/>
        <v>2.3.10</v>
      </c>
      <c r="C405" s="2">
        <v>2</v>
      </c>
      <c r="D405" s="2">
        <v>3</v>
      </c>
      <c r="E405" s="2">
        <v>10</v>
      </c>
      <c r="F405" s="2" t="s">
        <v>84</v>
      </c>
      <c r="G405" s="2" t="s">
        <v>493</v>
      </c>
      <c r="H405" s="2" t="s">
        <v>89</v>
      </c>
      <c r="I405" s="19" t="str">
        <f t="shared" si="90"/>
        <v/>
      </c>
      <c r="J405" s="2" t="str">
        <f t="shared" si="91"/>
        <v/>
      </c>
      <c r="K405" s="2" t="str">
        <f t="shared" si="92"/>
        <v/>
      </c>
      <c r="L405" s="2">
        <f t="shared" si="93"/>
        <v>4</v>
      </c>
      <c r="M405" s="2" t="str">
        <f t="shared" si="94"/>
        <v/>
      </c>
      <c r="N405" s="2" t="str">
        <f t="shared" si="95"/>
        <v/>
      </c>
      <c r="O405" s="19">
        <f t="shared" si="96"/>
        <v>4</v>
      </c>
      <c r="Q405" s="2" t="str">
        <f t="shared" si="97"/>
        <v>10</v>
      </c>
      <c r="R405" s="21" t="str">
        <f t="shared" si="98"/>
        <v>2.3.10</v>
      </c>
      <c r="S405" s="2" t="str">
        <f t="shared" si="99"/>
        <v/>
      </c>
      <c r="T405" s="2" t="str">
        <f t="shared" si="101"/>
        <v/>
      </c>
      <c r="U405" s="19" t="str">
        <f t="shared" si="102"/>
        <v/>
      </c>
    </row>
    <row r="406" spans="1:21" x14ac:dyDescent="0.2">
      <c r="A406" s="2">
        <v>405</v>
      </c>
      <c r="B406" s="21" t="str">
        <f t="shared" si="100"/>
        <v>2.3.10a</v>
      </c>
      <c r="C406" s="2">
        <v>2</v>
      </c>
      <c r="D406" s="2">
        <v>3</v>
      </c>
      <c r="E406" s="2">
        <v>10</v>
      </c>
      <c r="F406" s="2" t="s">
        <v>90</v>
      </c>
      <c r="G406" s="2" t="s">
        <v>494</v>
      </c>
      <c r="H406" s="2">
        <v>4</v>
      </c>
      <c r="I406" s="19" t="str">
        <f t="shared" si="90"/>
        <v/>
      </c>
      <c r="J406" s="2" t="str">
        <f t="shared" si="91"/>
        <v/>
      </c>
      <c r="K406" s="2" t="str">
        <f t="shared" si="92"/>
        <v/>
      </c>
      <c r="L406" s="2" t="str">
        <f t="shared" si="93"/>
        <v/>
      </c>
      <c r="M406" s="2" t="str">
        <f t="shared" si="94"/>
        <v/>
      </c>
      <c r="N406" s="2">
        <f t="shared" si="95"/>
        <v>6</v>
      </c>
      <c r="O406" s="19">
        <f t="shared" si="96"/>
        <v>6</v>
      </c>
      <c r="Q406" s="2" t="str">
        <f t="shared" si="97"/>
        <v>10</v>
      </c>
      <c r="R406" s="21" t="str">
        <f t="shared" si="98"/>
        <v>2.3.10a</v>
      </c>
      <c r="S406" s="2" t="str">
        <f t="shared" si="99"/>
        <v/>
      </c>
      <c r="T406" s="2" t="str">
        <f t="shared" si="101"/>
        <v/>
      </c>
      <c r="U406" s="19" t="str">
        <f t="shared" si="102"/>
        <v/>
      </c>
    </row>
    <row r="407" spans="1:21" x14ac:dyDescent="0.2">
      <c r="A407" s="2">
        <v>406</v>
      </c>
      <c r="B407" s="21" t="str">
        <f t="shared" si="100"/>
        <v>2.3.10b</v>
      </c>
      <c r="C407" s="2">
        <v>2</v>
      </c>
      <c r="D407" s="2">
        <v>3</v>
      </c>
      <c r="E407" s="2">
        <v>10</v>
      </c>
      <c r="F407" s="2" t="s">
        <v>92</v>
      </c>
      <c r="G407" s="2" t="s">
        <v>495</v>
      </c>
      <c r="H407" s="2">
        <v>4</v>
      </c>
      <c r="I407" s="19" t="str">
        <f t="shared" si="90"/>
        <v/>
      </c>
      <c r="J407" s="2" t="str">
        <f t="shared" si="91"/>
        <v/>
      </c>
      <c r="K407" s="2" t="str">
        <f t="shared" si="92"/>
        <v/>
      </c>
      <c r="L407" s="2" t="str">
        <f t="shared" si="93"/>
        <v/>
      </c>
      <c r="M407" s="2" t="str">
        <f t="shared" si="94"/>
        <v/>
      </c>
      <c r="N407" s="2">
        <f t="shared" si="95"/>
        <v>6</v>
      </c>
      <c r="O407" s="19">
        <f t="shared" si="96"/>
        <v>6</v>
      </c>
      <c r="Q407" s="2" t="str">
        <f t="shared" si="97"/>
        <v>10</v>
      </c>
      <c r="R407" s="21" t="str">
        <f t="shared" si="98"/>
        <v>2.3.10b</v>
      </c>
      <c r="S407" s="2" t="str">
        <f t="shared" si="99"/>
        <v/>
      </c>
      <c r="T407" s="2" t="str">
        <f t="shared" si="101"/>
        <v/>
      </c>
      <c r="U407" s="19" t="str">
        <f t="shared" si="102"/>
        <v/>
      </c>
    </row>
    <row r="408" spans="1:21" x14ac:dyDescent="0.2">
      <c r="A408" s="2">
        <v>407</v>
      </c>
      <c r="B408" s="21" t="str">
        <f t="shared" si="100"/>
        <v>2.3.10c</v>
      </c>
      <c r="C408" s="2">
        <v>2</v>
      </c>
      <c r="D408" s="2">
        <v>3</v>
      </c>
      <c r="E408" s="2">
        <v>10</v>
      </c>
      <c r="F408" s="2" t="s">
        <v>94</v>
      </c>
      <c r="G408" s="2" t="s">
        <v>496</v>
      </c>
      <c r="H408" s="2">
        <v>4</v>
      </c>
      <c r="I408" s="19" t="str">
        <f t="shared" si="90"/>
        <v/>
      </c>
      <c r="J408" s="2" t="str">
        <f t="shared" si="91"/>
        <v/>
      </c>
      <c r="K408" s="2" t="str">
        <f t="shared" si="92"/>
        <v/>
      </c>
      <c r="L408" s="2" t="str">
        <f t="shared" si="93"/>
        <v/>
      </c>
      <c r="M408" s="2" t="str">
        <f t="shared" si="94"/>
        <v/>
      </c>
      <c r="N408" s="2">
        <f t="shared" si="95"/>
        <v>6</v>
      </c>
      <c r="O408" s="19">
        <f t="shared" si="96"/>
        <v>6</v>
      </c>
      <c r="Q408" s="2" t="str">
        <f t="shared" si="97"/>
        <v>10</v>
      </c>
      <c r="R408" s="21" t="str">
        <f t="shared" si="98"/>
        <v>2.3.10c</v>
      </c>
      <c r="S408" s="2" t="str">
        <f t="shared" si="99"/>
        <v/>
      </c>
      <c r="T408" s="2" t="str">
        <f t="shared" si="101"/>
        <v/>
      </c>
      <c r="U408" s="19" t="str">
        <f t="shared" si="102"/>
        <v/>
      </c>
    </row>
    <row r="409" spans="1:21" x14ac:dyDescent="0.2">
      <c r="A409" s="2">
        <v>408</v>
      </c>
      <c r="B409" s="21" t="str">
        <f t="shared" si="100"/>
        <v>2.3.10d</v>
      </c>
      <c r="C409" s="2">
        <v>2</v>
      </c>
      <c r="D409" s="2">
        <v>3</v>
      </c>
      <c r="E409" s="2">
        <v>10</v>
      </c>
      <c r="F409" s="2" t="s">
        <v>112</v>
      </c>
      <c r="G409" s="2" t="s">
        <v>497</v>
      </c>
      <c r="H409" s="2">
        <v>4</v>
      </c>
      <c r="I409" s="19" t="str">
        <f t="shared" si="90"/>
        <v/>
      </c>
      <c r="J409" s="2" t="str">
        <f t="shared" si="91"/>
        <v/>
      </c>
      <c r="K409" s="2" t="str">
        <f t="shared" si="92"/>
        <v/>
      </c>
      <c r="L409" s="2" t="str">
        <f t="shared" si="93"/>
        <v/>
      </c>
      <c r="M409" s="2" t="str">
        <f t="shared" si="94"/>
        <v/>
      </c>
      <c r="N409" s="2">
        <f t="shared" si="95"/>
        <v>6</v>
      </c>
      <c r="O409" s="19">
        <f t="shared" si="96"/>
        <v>6</v>
      </c>
      <c r="Q409" s="2" t="str">
        <f t="shared" si="97"/>
        <v>10</v>
      </c>
      <c r="R409" s="21" t="str">
        <f t="shared" si="98"/>
        <v>2.3.10d</v>
      </c>
      <c r="S409" s="2" t="str">
        <f t="shared" si="99"/>
        <v/>
      </c>
      <c r="T409" s="2" t="str">
        <f t="shared" si="101"/>
        <v/>
      </c>
      <c r="U409" s="19" t="str">
        <f t="shared" si="102"/>
        <v/>
      </c>
    </row>
    <row r="410" spans="1:21" x14ac:dyDescent="0.2">
      <c r="A410" s="2">
        <v>409</v>
      </c>
      <c r="B410" s="21" t="str">
        <f t="shared" si="100"/>
        <v>2.3.10e</v>
      </c>
      <c r="C410" s="2">
        <v>2</v>
      </c>
      <c r="D410" s="2">
        <v>3</v>
      </c>
      <c r="E410" s="2">
        <v>10</v>
      </c>
      <c r="F410" s="2" t="s">
        <v>114</v>
      </c>
      <c r="G410" s="2" t="s">
        <v>498</v>
      </c>
      <c r="H410" s="2">
        <v>5</v>
      </c>
      <c r="I410" s="19" t="str">
        <f t="shared" si="90"/>
        <v/>
      </c>
      <c r="J410" s="2" t="str">
        <f t="shared" si="91"/>
        <v/>
      </c>
      <c r="K410" s="2" t="str">
        <f t="shared" si="92"/>
        <v/>
      </c>
      <c r="L410" s="2" t="str">
        <f t="shared" si="93"/>
        <v/>
      </c>
      <c r="M410" s="2" t="str">
        <f t="shared" si="94"/>
        <v/>
      </c>
      <c r="N410" s="2">
        <f t="shared" si="95"/>
        <v>6</v>
      </c>
      <c r="O410" s="19">
        <f t="shared" si="96"/>
        <v>6</v>
      </c>
      <c r="Q410" s="2" t="str">
        <f t="shared" si="97"/>
        <v>10</v>
      </c>
      <c r="R410" s="21" t="str">
        <f t="shared" si="98"/>
        <v>2.3.10e</v>
      </c>
      <c r="S410" s="2" t="str">
        <f t="shared" si="99"/>
        <v/>
      </c>
      <c r="T410" s="2" t="str">
        <f t="shared" si="101"/>
        <v/>
      </c>
      <c r="U410" s="19" t="str">
        <f t="shared" si="102"/>
        <v/>
      </c>
    </row>
    <row r="411" spans="1:21" x14ac:dyDescent="0.2">
      <c r="A411" s="2">
        <v>410</v>
      </c>
      <c r="B411" s="21" t="str">
        <f t="shared" si="100"/>
        <v>2.3.10f</v>
      </c>
      <c r="C411" s="2">
        <v>2</v>
      </c>
      <c r="D411" s="2">
        <v>3</v>
      </c>
      <c r="E411" s="2">
        <v>10</v>
      </c>
      <c r="F411" s="2" t="s">
        <v>129</v>
      </c>
      <c r="G411" s="2" t="s">
        <v>492</v>
      </c>
      <c r="H411" s="2">
        <v>5</v>
      </c>
      <c r="I411" s="19" t="str">
        <f t="shared" si="90"/>
        <v/>
      </c>
      <c r="J411" s="2" t="str">
        <f t="shared" si="91"/>
        <v/>
      </c>
      <c r="K411" s="2" t="str">
        <f t="shared" si="92"/>
        <v/>
      </c>
      <c r="L411" s="2" t="str">
        <f t="shared" si="93"/>
        <v/>
      </c>
      <c r="M411" s="2" t="str">
        <f t="shared" si="94"/>
        <v/>
      </c>
      <c r="N411" s="2">
        <f t="shared" si="95"/>
        <v>6</v>
      </c>
      <c r="O411" s="19">
        <f t="shared" si="96"/>
        <v>6</v>
      </c>
      <c r="Q411" s="2" t="str">
        <f t="shared" si="97"/>
        <v>10</v>
      </c>
      <c r="R411" s="21" t="str">
        <f t="shared" si="98"/>
        <v>2.3.10f</v>
      </c>
      <c r="S411" s="2" t="str">
        <f t="shared" si="99"/>
        <v/>
      </c>
      <c r="T411" s="2" t="str">
        <f t="shared" si="101"/>
        <v/>
      </c>
      <c r="U411" s="19" t="str">
        <f t="shared" si="102"/>
        <v/>
      </c>
    </row>
    <row r="412" spans="1:21" x14ac:dyDescent="0.2">
      <c r="A412" s="2">
        <v>411</v>
      </c>
      <c r="B412" s="21" t="str">
        <f t="shared" si="100"/>
        <v>2.3.11</v>
      </c>
      <c r="C412" s="2">
        <v>2</v>
      </c>
      <c r="D412" s="2">
        <v>3</v>
      </c>
      <c r="E412" s="2">
        <v>11</v>
      </c>
      <c r="F412" s="2" t="s">
        <v>84</v>
      </c>
      <c r="G412" s="2" t="s">
        <v>499</v>
      </c>
      <c r="H412" s="2" t="s">
        <v>89</v>
      </c>
      <c r="I412" s="19" t="str">
        <f t="shared" si="90"/>
        <v/>
      </c>
      <c r="J412" s="2" t="str">
        <f t="shared" si="91"/>
        <v/>
      </c>
      <c r="K412" s="2" t="str">
        <f t="shared" si="92"/>
        <v/>
      </c>
      <c r="L412" s="2">
        <f t="shared" si="93"/>
        <v>4</v>
      </c>
      <c r="M412" s="2" t="str">
        <f t="shared" si="94"/>
        <v/>
      </c>
      <c r="N412" s="2" t="str">
        <f t="shared" si="95"/>
        <v/>
      </c>
      <c r="O412" s="19">
        <f t="shared" si="96"/>
        <v>4</v>
      </c>
      <c r="Q412" s="2" t="str">
        <f t="shared" si="97"/>
        <v>11</v>
      </c>
      <c r="R412" s="21" t="str">
        <f t="shared" si="98"/>
        <v>2.3.11</v>
      </c>
      <c r="S412" s="2" t="str">
        <f t="shared" si="99"/>
        <v/>
      </c>
      <c r="T412" s="2" t="str">
        <f t="shared" si="101"/>
        <v/>
      </c>
      <c r="U412" s="19" t="str">
        <f t="shared" si="102"/>
        <v/>
      </c>
    </row>
    <row r="413" spans="1:21" x14ac:dyDescent="0.2">
      <c r="A413" s="2">
        <v>412</v>
      </c>
      <c r="B413" s="21" t="str">
        <f t="shared" si="100"/>
        <v>2.3.11a</v>
      </c>
      <c r="C413" s="2">
        <v>2</v>
      </c>
      <c r="D413" s="2">
        <v>3</v>
      </c>
      <c r="E413" s="2">
        <v>11</v>
      </c>
      <c r="F413" s="2" t="s">
        <v>90</v>
      </c>
      <c r="G413" s="2" t="s">
        <v>500</v>
      </c>
      <c r="H413" s="2">
        <v>5</v>
      </c>
      <c r="I413" s="19" t="str">
        <f t="shared" si="90"/>
        <v/>
      </c>
      <c r="J413" s="2" t="str">
        <f t="shared" si="91"/>
        <v/>
      </c>
      <c r="K413" s="2" t="str">
        <f t="shared" si="92"/>
        <v/>
      </c>
      <c r="L413" s="2" t="str">
        <f t="shared" si="93"/>
        <v/>
      </c>
      <c r="M413" s="2" t="str">
        <f t="shared" si="94"/>
        <v/>
      </c>
      <c r="N413" s="2">
        <f t="shared" si="95"/>
        <v>6</v>
      </c>
      <c r="O413" s="19">
        <f t="shared" si="96"/>
        <v>6</v>
      </c>
      <c r="Q413" s="2" t="str">
        <f t="shared" si="97"/>
        <v>11</v>
      </c>
      <c r="R413" s="21" t="str">
        <f t="shared" si="98"/>
        <v>2.3.11a</v>
      </c>
      <c r="S413" s="2" t="str">
        <f t="shared" si="99"/>
        <v/>
      </c>
      <c r="T413" s="2" t="str">
        <f t="shared" si="101"/>
        <v/>
      </c>
      <c r="U413" s="19" t="str">
        <f t="shared" si="102"/>
        <v/>
      </c>
    </row>
    <row r="414" spans="1:21" x14ac:dyDescent="0.2">
      <c r="A414" s="2">
        <v>413</v>
      </c>
      <c r="B414" s="21" t="str">
        <f t="shared" si="100"/>
        <v>2.3.11b</v>
      </c>
      <c r="C414" s="2">
        <v>2</v>
      </c>
      <c r="D414" s="2">
        <v>3</v>
      </c>
      <c r="E414" s="2">
        <v>11</v>
      </c>
      <c r="F414" s="2" t="s">
        <v>92</v>
      </c>
      <c r="G414" s="2" t="s">
        <v>138</v>
      </c>
      <c r="H414" s="2">
        <v>5</v>
      </c>
      <c r="I414" s="19" t="str">
        <f t="shared" si="90"/>
        <v/>
      </c>
      <c r="J414" s="2" t="str">
        <f t="shared" si="91"/>
        <v/>
      </c>
      <c r="K414" s="2" t="str">
        <f t="shared" si="92"/>
        <v/>
      </c>
      <c r="L414" s="2" t="str">
        <f t="shared" si="93"/>
        <v/>
      </c>
      <c r="M414" s="2" t="str">
        <f t="shared" si="94"/>
        <v/>
      </c>
      <c r="N414" s="2">
        <f t="shared" si="95"/>
        <v>6</v>
      </c>
      <c r="O414" s="19">
        <f t="shared" si="96"/>
        <v>6</v>
      </c>
      <c r="Q414" s="2" t="str">
        <f t="shared" si="97"/>
        <v>11</v>
      </c>
      <c r="R414" s="21" t="str">
        <f t="shared" si="98"/>
        <v>2.3.11b</v>
      </c>
      <c r="S414" s="2" t="str">
        <f t="shared" si="99"/>
        <v/>
      </c>
      <c r="T414" s="2" t="str">
        <f t="shared" si="101"/>
        <v/>
      </c>
      <c r="U414" s="19" t="str">
        <f t="shared" si="102"/>
        <v/>
      </c>
    </row>
    <row r="415" spans="1:21" x14ac:dyDescent="0.2">
      <c r="A415" s="2">
        <v>414</v>
      </c>
      <c r="B415" s="21" t="str">
        <f t="shared" si="100"/>
        <v/>
      </c>
      <c r="C415" s="2" t="s">
        <v>84</v>
      </c>
      <c r="D415" s="2" t="s">
        <v>84</v>
      </c>
      <c r="E415" s="2" t="s">
        <v>84</v>
      </c>
      <c r="F415" s="2" t="s">
        <v>84</v>
      </c>
      <c r="G415" s="2" t="s">
        <v>501</v>
      </c>
      <c r="H415" s="2" t="s">
        <v>84</v>
      </c>
      <c r="I415" s="19" t="str">
        <f t="shared" si="90"/>
        <v/>
      </c>
      <c r="J415" s="2" t="str">
        <f t="shared" si="91"/>
        <v/>
      </c>
      <c r="K415" s="2">
        <f t="shared" si="92"/>
        <v>3</v>
      </c>
      <c r="L415" s="2" t="str">
        <f t="shared" si="93"/>
        <v/>
      </c>
      <c r="M415" s="2" t="str">
        <f t="shared" si="94"/>
        <v/>
      </c>
      <c r="N415" s="2" t="str">
        <f t="shared" si="95"/>
        <v/>
      </c>
      <c r="O415" s="19">
        <f t="shared" si="96"/>
        <v>3</v>
      </c>
      <c r="Q415" s="2" t="str">
        <f t="shared" si="97"/>
        <v/>
      </c>
      <c r="R415" s="21" t="str">
        <f t="shared" si="98"/>
        <v/>
      </c>
      <c r="S415" s="2" t="str">
        <f t="shared" si="99"/>
        <v/>
      </c>
      <c r="T415" s="2">
        <f t="shared" si="101"/>
        <v>1</v>
      </c>
      <c r="U415" s="19" t="str">
        <f t="shared" si="102"/>
        <v/>
      </c>
    </row>
    <row r="416" spans="1:21" x14ac:dyDescent="0.2">
      <c r="A416" s="2">
        <v>415</v>
      </c>
      <c r="B416" s="21" t="str">
        <f t="shared" si="100"/>
        <v>2.3.12</v>
      </c>
      <c r="C416" s="2">
        <v>2</v>
      </c>
      <c r="D416" s="2">
        <v>3</v>
      </c>
      <c r="E416" s="2">
        <v>12</v>
      </c>
      <c r="F416" s="2" t="s">
        <v>84</v>
      </c>
      <c r="G416" s="2" t="s">
        <v>502</v>
      </c>
      <c r="H416" s="2">
        <v>2</v>
      </c>
      <c r="I416" s="19" t="str">
        <f t="shared" si="90"/>
        <v/>
      </c>
      <c r="J416" s="2" t="str">
        <f t="shared" si="91"/>
        <v/>
      </c>
      <c r="K416" s="2" t="str">
        <f t="shared" si="92"/>
        <v/>
      </c>
      <c r="L416" s="2" t="str">
        <f t="shared" si="93"/>
        <v/>
      </c>
      <c r="M416" s="2">
        <f t="shared" si="94"/>
        <v>5</v>
      </c>
      <c r="N416" s="2" t="str">
        <f t="shared" si="95"/>
        <v/>
      </c>
      <c r="O416" s="19">
        <f t="shared" si="96"/>
        <v>5</v>
      </c>
      <c r="Q416" s="2" t="str">
        <f t="shared" si="97"/>
        <v>12</v>
      </c>
      <c r="R416" s="21" t="str">
        <f t="shared" si="98"/>
        <v>2.3.12</v>
      </c>
      <c r="S416" s="2" t="str">
        <f t="shared" si="99"/>
        <v/>
      </c>
      <c r="T416" s="2" t="str">
        <f t="shared" si="101"/>
        <v/>
      </c>
      <c r="U416" s="19" t="str">
        <f t="shared" si="102"/>
        <v/>
      </c>
    </row>
    <row r="417" spans="1:21" x14ac:dyDescent="0.2">
      <c r="A417" s="2">
        <v>416</v>
      </c>
      <c r="B417" s="21" t="str">
        <f t="shared" si="100"/>
        <v>2.3.13</v>
      </c>
      <c r="C417" s="2">
        <v>2</v>
      </c>
      <c r="D417" s="2">
        <v>3</v>
      </c>
      <c r="E417" s="2">
        <v>13</v>
      </c>
      <c r="F417" s="2" t="s">
        <v>84</v>
      </c>
      <c r="G417" s="2" t="s">
        <v>503</v>
      </c>
      <c r="H417" s="2" t="s">
        <v>89</v>
      </c>
      <c r="I417" s="19" t="str">
        <f t="shared" si="90"/>
        <v/>
      </c>
      <c r="J417" s="2" t="str">
        <f t="shared" si="91"/>
        <v/>
      </c>
      <c r="K417" s="2" t="str">
        <f t="shared" si="92"/>
        <v/>
      </c>
      <c r="L417" s="2">
        <f t="shared" si="93"/>
        <v>4</v>
      </c>
      <c r="M417" s="2" t="str">
        <f t="shared" si="94"/>
        <v/>
      </c>
      <c r="N417" s="2" t="str">
        <f t="shared" si="95"/>
        <v/>
      </c>
      <c r="O417" s="19">
        <f t="shared" si="96"/>
        <v>4</v>
      </c>
      <c r="Q417" s="2" t="str">
        <f t="shared" si="97"/>
        <v>13</v>
      </c>
      <c r="R417" s="21" t="str">
        <f t="shared" si="98"/>
        <v>2.3.13</v>
      </c>
      <c r="S417" s="2" t="str">
        <f t="shared" si="99"/>
        <v/>
      </c>
      <c r="T417" s="2" t="str">
        <f t="shared" si="101"/>
        <v/>
      </c>
      <c r="U417" s="19" t="str">
        <f t="shared" si="102"/>
        <v/>
      </c>
    </row>
    <row r="418" spans="1:21" x14ac:dyDescent="0.2">
      <c r="A418" s="2">
        <v>417</v>
      </c>
      <c r="B418" s="21" t="str">
        <f t="shared" si="100"/>
        <v>2.3.13a</v>
      </c>
      <c r="C418" s="2">
        <v>2</v>
      </c>
      <c r="D418" s="2">
        <v>3</v>
      </c>
      <c r="E418" s="2">
        <v>13</v>
      </c>
      <c r="F418" s="2" t="s">
        <v>90</v>
      </c>
      <c r="G418" s="2" t="s">
        <v>504</v>
      </c>
      <c r="H418" s="2">
        <v>3</v>
      </c>
      <c r="I418" s="19" t="str">
        <f t="shared" si="90"/>
        <v/>
      </c>
      <c r="J418" s="2" t="str">
        <f t="shared" si="91"/>
        <v/>
      </c>
      <c r="K418" s="2" t="str">
        <f t="shared" si="92"/>
        <v/>
      </c>
      <c r="L418" s="2" t="str">
        <f t="shared" si="93"/>
        <v/>
      </c>
      <c r="M418" s="2" t="str">
        <f t="shared" si="94"/>
        <v/>
      </c>
      <c r="N418" s="2">
        <f t="shared" si="95"/>
        <v>6</v>
      </c>
      <c r="O418" s="19">
        <f t="shared" si="96"/>
        <v>6</v>
      </c>
      <c r="Q418" s="2" t="str">
        <f t="shared" si="97"/>
        <v>13</v>
      </c>
      <c r="R418" s="21" t="str">
        <f t="shared" si="98"/>
        <v>2.3.13a</v>
      </c>
      <c r="S418" s="2" t="str">
        <f t="shared" si="99"/>
        <v/>
      </c>
      <c r="T418" s="2" t="str">
        <f t="shared" si="101"/>
        <v/>
      </c>
      <c r="U418" s="19" t="str">
        <f t="shared" si="102"/>
        <v/>
      </c>
    </row>
    <row r="419" spans="1:21" x14ac:dyDescent="0.2">
      <c r="A419" s="2">
        <v>418</v>
      </c>
      <c r="B419" s="21" t="str">
        <f t="shared" si="100"/>
        <v>2.3.13b</v>
      </c>
      <c r="C419" s="2">
        <v>2</v>
      </c>
      <c r="D419" s="2">
        <v>3</v>
      </c>
      <c r="E419" s="2">
        <v>13</v>
      </c>
      <c r="F419" s="2" t="s">
        <v>92</v>
      </c>
      <c r="G419" s="2" t="s">
        <v>505</v>
      </c>
      <c r="H419" s="2">
        <v>3</v>
      </c>
      <c r="I419" s="19" t="str">
        <f t="shared" si="90"/>
        <v/>
      </c>
      <c r="J419" s="2" t="str">
        <f t="shared" si="91"/>
        <v/>
      </c>
      <c r="K419" s="2" t="str">
        <f t="shared" si="92"/>
        <v/>
      </c>
      <c r="L419" s="2" t="str">
        <f t="shared" si="93"/>
        <v/>
      </c>
      <c r="M419" s="2" t="str">
        <f t="shared" si="94"/>
        <v/>
      </c>
      <c r="N419" s="2">
        <f t="shared" si="95"/>
        <v>6</v>
      </c>
      <c r="O419" s="19">
        <f t="shared" si="96"/>
        <v>6</v>
      </c>
      <c r="Q419" s="2" t="str">
        <f t="shared" si="97"/>
        <v>13</v>
      </c>
      <c r="R419" s="21" t="str">
        <f t="shared" si="98"/>
        <v>2.3.13b</v>
      </c>
      <c r="S419" s="2" t="str">
        <f t="shared" si="99"/>
        <v/>
      </c>
      <c r="T419" s="2" t="str">
        <f t="shared" si="101"/>
        <v/>
      </c>
      <c r="U419" s="19" t="str">
        <f t="shared" si="102"/>
        <v/>
      </c>
    </row>
    <row r="420" spans="1:21" x14ac:dyDescent="0.2">
      <c r="A420" s="2">
        <v>419</v>
      </c>
      <c r="B420" s="21" t="str">
        <f t="shared" si="100"/>
        <v>2.3.13c</v>
      </c>
      <c r="C420" s="2">
        <v>2</v>
      </c>
      <c r="D420" s="2">
        <v>3</v>
      </c>
      <c r="E420" s="2">
        <v>13</v>
      </c>
      <c r="F420" s="2" t="s">
        <v>94</v>
      </c>
      <c r="G420" s="2" t="s">
        <v>506</v>
      </c>
      <c r="H420" s="2">
        <v>3</v>
      </c>
      <c r="I420" s="19" t="str">
        <f t="shared" si="90"/>
        <v/>
      </c>
      <c r="J420" s="2" t="str">
        <f t="shared" si="91"/>
        <v/>
      </c>
      <c r="K420" s="2" t="str">
        <f t="shared" si="92"/>
        <v/>
      </c>
      <c r="L420" s="2" t="str">
        <f t="shared" si="93"/>
        <v/>
      </c>
      <c r="M420" s="2" t="str">
        <f t="shared" si="94"/>
        <v/>
      </c>
      <c r="N420" s="2">
        <f t="shared" si="95"/>
        <v>6</v>
      </c>
      <c r="O420" s="19">
        <f t="shared" si="96"/>
        <v>6</v>
      </c>
      <c r="Q420" s="2" t="str">
        <f t="shared" si="97"/>
        <v>13</v>
      </c>
      <c r="R420" s="21" t="str">
        <f t="shared" si="98"/>
        <v>2.3.13c</v>
      </c>
      <c r="S420" s="2" t="str">
        <f t="shared" si="99"/>
        <v/>
      </c>
      <c r="T420" s="2" t="str">
        <f t="shared" si="101"/>
        <v/>
      </c>
      <c r="U420" s="19" t="str">
        <f t="shared" si="102"/>
        <v/>
      </c>
    </row>
    <row r="421" spans="1:21" x14ac:dyDescent="0.2">
      <c r="A421" s="2">
        <v>420</v>
      </c>
      <c r="B421" s="21" t="str">
        <f t="shared" si="100"/>
        <v>2.3.13d</v>
      </c>
      <c r="C421" s="2">
        <v>2</v>
      </c>
      <c r="D421" s="2">
        <v>3</v>
      </c>
      <c r="E421" s="2">
        <v>13</v>
      </c>
      <c r="F421" s="2" t="s">
        <v>112</v>
      </c>
      <c r="G421" s="2" t="s">
        <v>507</v>
      </c>
      <c r="H421" s="2">
        <v>3</v>
      </c>
      <c r="I421" s="19" t="str">
        <f t="shared" si="90"/>
        <v/>
      </c>
      <c r="J421" s="2" t="str">
        <f t="shared" si="91"/>
        <v/>
      </c>
      <c r="K421" s="2" t="str">
        <f t="shared" si="92"/>
        <v/>
      </c>
      <c r="L421" s="2" t="str">
        <f t="shared" si="93"/>
        <v/>
      </c>
      <c r="M421" s="2" t="str">
        <f t="shared" si="94"/>
        <v/>
      </c>
      <c r="N421" s="2">
        <f t="shared" si="95"/>
        <v>6</v>
      </c>
      <c r="O421" s="19">
        <f t="shared" si="96"/>
        <v>6</v>
      </c>
      <c r="Q421" s="2" t="str">
        <f t="shared" si="97"/>
        <v>13</v>
      </c>
      <c r="R421" s="21" t="str">
        <f t="shared" si="98"/>
        <v>2.3.13d</v>
      </c>
      <c r="S421" s="2" t="str">
        <f t="shared" si="99"/>
        <v/>
      </c>
      <c r="T421" s="2" t="str">
        <f t="shared" si="101"/>
        <v/>
      </c>
      <c r="U421" s="19" t="str">
        <f t="shared" si="102"/>
        <v/>
      </c>
    </row>
    <row r="422" spans="1:21" x14ac:dyDescent="0.2">
      <c r="A422" s="2">
        <v>421</v>
      </c>
      <c r="B422" s="21" t="str">
        <f t="shared" si="100"/>
        <v>2.3.13e</v>
      </c>
      <c r="C422" s="2">
        <v>2</v>
      </c>
      <c r="D422" s="2">
        <v>3</v>
      </c>
      <c r="E422" s="2">
        <v>13</v>
      </c>
      <c r="F422" s="2" t="s">
        <v>114</v>
      </c>
      <c r="G422" s="2" t="s">
        <v>508</v>
      </c>
      <c r="H422" s="2">
        <v>4</v>
      </c>
      <c r="I422" s="19" t="str">
        <f t="shared" si="90"/>
        <v/>
      </c>
      <c r="J422" s="2" t="str">
        <f t="shared" si="91"/>
        <v/>
      </c>
      <c r="K422" s="2" t="str">
        <f t="shared" si="92"/>
        <v/>
      </c>
      <c r="L422" s="2" t="str">
        <f t="shared" si="93"/>
        <v/>
      </c>
      <c r="M422" s="2" t="str">
        <f t="shared" si="94"/>
        <v/>
      </c>
      <c r="N422" s="2">
        <f t="shared" si="95"/>
        <v>6</v>
      </c>
      <c r="O422" s="19">
        <f t="shared" si="96"/>
        <v>6</v>
      </c>
      <c r="Q422" s="2" t="str">
        <f t="shared" si="97"/>
        <v>13</v>
      </c>
      <c r="R422" s="21" t="str">
        <f t="shared" si="98"/>
        <v>2.3.13e</v>
      </c>
      <c r="S422" s="2" t="str">
        <f t="shared" si="99"/>
        <v/>
      </c>
      <c r="T422" s="2" t="str">
        <f t="shared" si="101"/>
        <v/>
      </c>
      <c r="U422" s="19" t="str">
        <f t="shared" si="102"/>
        <v/>
      </c>
    </row>
    <row r="423" spans="1:21" x14ac:dyDescent="0.2">
      <c r="A423" s="2">
        <v>422</v>
      </c>
      <c r="B423" s="21" t="str">
        <f t="shared" si="100"/>
        <v>2.3.14</v>
      </c>
      <c r="C423" s="2">
        <v>2</v>
      </c>
      <c r="D423" s="2">
        <v>3</v>
      </c>
      <c r="E423" s="2">
        <v>14</v>
      </c>
      <c r="F423" s="2" t="s">
        <v>84</v>
      </c>
      <c r="G423" s="2" t="s">
        <v>509</v>
      </c>
      <c r="H423" s="2" t="s">
        <v>89</v>
      </c>
      <c r="I423" s="19" t="str">
        <f t="shared" si="90"/>
        <v/>
      </c>
      <c r="J423" s="2" t="str">
        <f t="shared" si="91"/>
        <v/>
      </c>
      <c r="K423" s="2" t="str">
        <f t="shared" si="92"/>
        <v/>
      </c>
      <c r="L423" s="2">
        <f t="shared" si="93"/>
        <v>4</v>
      </c>
      <c r="M423" s="2" t="str">
        <f t="shared" si="94"/>
        <v/>
      </c>
      <c r="N423" s="2" t="str">
        <f t="shared" si="95"/>
        <v/>
      </c>
      <c r="O423" s="19">
        <f t="shared" si="96"/>
        <v>4</v>
      </c>
      <c r="Q423" s="2" t="str">
        <f t="shared" si="97"/>
        <v>14</v>
      </c>
      <c r="R423" s="21" t="str">
        <f t="shared" si="98"/>
        <v>2.3.14</v>
      </c>
      <c r="S423" s="2" t="str">
        <f t="shared" si="99"/>
        <v/>
      </c>
      <c r="T423" s="2" t="str">
        <f t="shared" si="101"/>
        <v/>
      </c>
      <c r="U423" s="19" t="str">
        <f t="shared" si="102"/>
        <v/>
      </c>
    </row>
    <row r="424" spans="1:21" x14ac:dyDescent="0.2">
      <c r="A424" s="2">
        <v>423</v>
      </c>
      <c r="B424" s="21" t="str">
        <f t="shared" si="100"/>
        <v>2.3.14a</v>
      </c>
      <c r="C424" s="2">
        <v>2</v>
      </c>
      <c r="D424" s="2">
        <v>3</v>
      </c>
      <c r="E424" s="2">
        <v>14</v>
      </c>
      <c r="F424" s="2" t="s">
        <v>90</v>
      </c>
      <c r="G424" s="2" t="s">
        <v>510</v>
      </c>
      <c r="H424" s="2">
        <v>3</v>
      </c>
      <c r="I424" s="19" t="str">
        <f t="shared" si="90"/>
        <v/>
      </c>
      <c r="J424" s="2" t="str">
        <f t="shared" si="91"/>
        <v/>
      </c>
      <c r="K424" s="2" t="str">
        <f t="shared" si="92"/>
        <v/>
      </c>
      <c r="L424" s="2" t="str">
        <f t="shared" si="93"/>
        <v/>
      </c>
      <c r="M424" s="2" t="str">
        <f t="shared" si="94"/>
        <v/>
      </c>
      <c r="N424" s="2">
        <f t="shared" si="95"/>
        <v>6</v>
      </c>
      <c r="O424" s="19">
        <f t="shared" si="96"/>
        <v>6</v>
      </c>
      <c r="Q424" s="2" t="str">
        <f t="shared" si="97"/>
        <v>14</v>
      </c>
      <c r="R424" s="21" t="str">
        <f t="shared" si="98"/>
        <v>2.3.14a</v>
      </c>
      <c r="S424" s="2" t="str">
        <f t="shared" si="99"/>
        <v/>
      </c>
      <c r="T424" s="2" t="str">
        <f t="shared" si="101"/>
        <v/>
      </c>
      <c r="U424" s="19" t="str">
        <f t="shared" si="102"/>
        <v/>
      </c>
    </row>
    <row r="425" spans="1:21" x14ac:dyDescent="0.2">
      <c r="A425" s="2">
        <v>424</v>
      </c>
      <c r="B425" s="21" t="str">
        <f t="shared" si="100"/>
        <v>2.3.14b</v>
      </c>
      <c r="C425" s="2">
        <v>2</v>
      </c>
      <c r="D425" s="2">
        <v>3</v>
      </c>
      <c r="E425" s="2">
        <v>14</v>
      </c>
      <c r="F425" s="2" t="s">
        <v>92</v>
      </c>
      <c r="G425" s="2" t="s">
        <v>511</v>
      </c>
      <c r="H425" s="2">
        <v>5</v>
      </c>
      <c r="I425" s="19" t="str">
        <f t="shared" si="90"/>
        <v/>
      </c>
      <c r="J425" s="2" t="str">
        <f t="shared" si="91"/>
        <v/>
      </c>
      <c r="K425" s="2" t="str">
        <f t="shared" si="92"/>
        <v/>
      </c>
      <c r="L425" s="2" t="str">
        <f t="shared" si="93"/>
        <v/>
      </c>
      <c r="M425" s="2" t="str">
        <f t="shared" si="94"/>
        <v/>
      </c>
      <c r="N425" s="2">
        <f t="shared" si="95"/>
        <v>6</v>
      </c>
      <c r="O425" s="19">
        <f t="shared" si="96"/>
        <v>6</v>
      </c>
      <c r="Q425" s="2" t="str">
        <f t="shared" si="97"/>
        <v>14</v>
      </c>
      <c r="R425" s="21" t="str">
        <f t="shared" si="98"/>
        <v>2.3.14b</v>
      </c>
      <c r="S425" s="2" t="str">
        <f t="shared" si="99"/>
        <v/>
      </c>
      <c r="T425" s="2" t="str">
        <f t="shared" si="101"/>
        <v/>
      </c>
      <c r="U425" s="19" t="str">
        <f t="shared" si="102"/>
        <v/>
      </c>
    </row>
    <row r="426" spans="1:21" x14ac:dyDescent="0.2">
      <c r="A426" s="2">
        <v>425</v>
      </c>
      <c r="B426" s="21" t="str">
        <f t="shared" si="100"/>
        <v>2.3.14c</v>
      </c>
      <c r="C426" s="2">
        <v>2</v>
      </c>
      <c r="D426" s="2">
        <v>3</v>
      </c>
      <c r="E426" s="2">
        <v>14</v>
      </c>
      <c r="F426" s="2" t="s">
        <v>94</v>
      </c>
      <c r="G426" s="2" t="s">
        <v>512</v>
      </c>
      <c r="H426" s="2">
        <v>5</v>
      </c>
      <c r="I426" s="19" t="str">
        <f t="shared" si="90"/>
        <v/>
      </c>
      <c r="J426" s="2" t="str">
        <f t="shared" si="91"/>
        <v/>
      </c>
      <c r="K426" s="2" t="str">
        <f t="shared" si="92"/>
        <v/>
      </c>
      <c r="L426" s="2" t="str">
        <f t="shared" si="93"/>
        <v/>
      </c>
      <c r="M426" s="2" t="str">
        <f t="shared" si="94"/>
        <v/>
      </c>
      <c r="N426" s="2">
        <f t="shared" si="95"/>
        <v>6</v>
      </c>
      <c r="O426" s="19">
        <f t="shared" si="96"/>
        <v>6</v>
      </c>
      <c r="Q426" s="2" t="str">
        <f t="shared" si="97"/>
        <v>14</v>
      </c>
      <c r="R426" s="21" t="str">
        <f t="shared" si="98"/>
        <v>2.3.14c</v>
      </c>
      <c r="S426" s="2" t="str">
        <f t="shared" si="99"/>
        <v/>
      </c>
      <c r="T426" s="2" t="str">
        <f t="shared" si="101"/>
        <v/>
      </c>
      <c r="U426" s="19" t="str">
        <f t="shared" si="102"/>
        <v/>
      </c>
    </row>
    <row r="427" spans="1:21" x14ac:dyDescent="0.2">
      <c r="A427" s="2">
        <v>426</v>
      </c>
      <c r="B427" s="21" t="str">
        <f t="shared" si="100"/>
        <v>2.3.14d</v>
      </c>
      <c r="C427" s="2">
        <v>2</v>
      </c>
      <c r="D427" s="2">
        <v>3</v>
      </c>
      <c r="E427" s="2">
        <v>14</v>
      </c>
      <c r="F427" s="2" t="s">
        <v>112</v>
      </c>
      <c r="G427" s="2" t="s">
        <v>513</v>
      </c>
      <c r="H427" s="2">
        <v>5</v>
      </c>
      <c r="I427" s="19" t="str">
        <f t="shared" si="90"/>
        <v/>
      </c>
      <c r="J427" s="2" t="str">
        <f t="shared" si="91"/>
        <v/>
      </c>
      <c r="K427" s="2" t="str">
        <f t="shared" si="92"/>
        <v/>
      </c>
      <c r="L427" s="2" t="str">
        <f t="shared" si="93"/>
        <v/>
      </c>
      <c r="M427" s="2" t="str">
        <f t="shared" si="94"/>
        <v/>
      </c>
      <c r="N427" s="2">
        <f t="shared" si="95"/>
        <v>6</v>
      </c>
      <c r="O427" s="19">
        <f t="shared" si="96"/>
        <v>6</v>
      </c>
      <c r="Q427" s="2" t="str">
        <f t="shared" si="97"/>
        <v>14</v>
      </c>
      <c r="R427" s="21" t="str">
        <f t="shared" si="98"/>
        <v>2.3.14d</v>
      </c>
      <c r="S427" s="2" t="str">
        <f t="shared" si="99"/>
        <v/>
      </c>
      <c r="T427" s="2" t="str">
        <f t="shared" si="101"/>
        <v/>
      </c>
      <c r="U427" s="19" t="str">
        <f t="shared" si="102"/>
        <v/>
      </c>
    </row>
    <row r="428" spans="1:21" x14ac:dyDescent="0.2">
      <c r="A428" s="2">
        <v>427</v>
      </c>
      <c r="B428" s="21" t="str">
        <f t="shared" si="100"/>
        <v>2.3.14e</v>
      </c>
      <c r="C428" s="2">
        <v>2</v>
      </c>
      <c r="D428" s="2">
        <v>3</v>
      </c>
      <c r="E428" s="2">
        <v>14</v>
      </c>
      <c r="F428" s="2" t="s">
        <v>114</v>
      </c>
      <c r="G428" s="2" t="s">
        <v>514</v>
      </c>
      <c r="H428" s="2">
        <v>5</v>
      </c>
      <c r="I428" s="19" t="str">
        <f t="shared" si="90"/>
        <v/>
      </c>
      <c r="J428" s="2" t="str">
        <f t="shared" si="91"/>
        <v/>
      </c>
      <c r="K428" s="2" t="str">
        <f t="shared" si="92"/>
        <v/>
      </c>
      <c r="L428" s="2" t="str">
        <f t="shared" si="93"/>
        <v/>
      </c>
      <c r="M428" s="2" t="str">
        <f t="shared" si="94"/>
        <v/>
      </c>
      <c r="N428" s="2">
        <f t="shared" si="95"/>
        <v>6</v>
      </c>
      <c r="O428" s="19">
        <f t="shared" si="96"/>
        <v>6</v>
      </c>
      <c r="Q428" s="2" t="str">
        <f t="shared" si="97"/>
        <v>14</v>
      </c>
      <c r="R428" s="21" t="str">
        <f t="shared" si="98"/>
        <v>2.3.14e</v>
      </c>
      <c r="S428" s="2" t="str">
        <f t="shared" si="99"/>
        <v/>
      </c>
      <c r="T428" s="2" t="str">
        <f t="shared" si="101"/>
        <v/>
      </c>
      <c r="U428" s="19" t="str">
        <f t="shared" si="102"/>
        <v/>
      </c>
    </row>
    <row r="429" spans="1:21" x14ac:dyDescent="0.2">
      <c r="A429" s="2">
        <v>428</v>
      </c>
      <c r="B429" s="21" t="str">
        <f t="shared" si="100"/>
        <v>2.3.14f</v>
      </c>
      <c r="C429" s="2">
        <v>2</v>
      </c>
      <c r="D429" s="2">
        <v>3</v>
      </c>
      <c r="E429" s="2">
        <v>14</v>
      </c>
      <c r="F429" s="2" t="s">
        <v>129</v>
      </c>
      <c r="G429" s="2" t="s">
        <v>515</v>
      </c>
      <c r="H429" s="2">
        <v>3</v>
      </c>
      <c r="I429" s="19" t="str">
        <f t="shared" si="90"/>
        <v/>
      </c>
      <c r="J429" s="2" t="str">
        <f t="shared" si="91"/>
        <v/>
      </c>
      <c r="K429" s="2" t="str">
        <f t="shared" si="92"/>
        <v/>
      </c>
      <c r="L429" s="2" t="str">
        <f t="shared" si="93"/>
        <v/>
      </c>
      <c r="M429" s="2" t="str">
        <f t="shared" si="94"/>
        <v/>
      </c>
      <c r="N429" s="2">
        <f t="shared" si="95"/>
        <v>6</v>
      </c>
      <c r="O429" s="19">
        <f t="shared" si="96"/>
        <v>6</v>
      </c>
      <c r="Q429" s="2" t="str">
        <f t="shared" si="97"/>
        <v>14</v>
      </c>
      <c r="R429" s="21" t="str">
        <f t="shared" si="98"/>
        <v>2.3.14f</v>
      </c>
      <c r="S429" s="2" t="str">
        <f t="shared" si="99"/>
        <v/>
      </c>
      <c r="T429" s="2" t="str">
        <f t="shared" si="101"/>
        <v/>
      </c>
      <c r="U429" s="19" t="str">
        <f t="shared" si="102"/>
        <v/>
      </c>
    </row>
    <row r="430" spans="1:21" x14ac:dyDescent="0.2">
      <c r="A430" s="2">
        <v>429</v>
      </c>
      <c r="B430" s="21" t="str">
        <f t="shared" si="100"/>
        <v>2.3.15</v>
      </c>
      <c r="C430" s="2">
        <v>2</v>
      </c>
      <c r="D430" s="2">
        <v>3</v>
      </c>
      <c r="E430" s="2">
        <v>15</v>
      </c>
      <c r="F430" s="2" t="s">
        <v>84</v>
      </c>
      <c r="G430" s="2" t="s">
        <v>516</v>
      </c>
      <c r="H430" s="2">
        <v>3</v>
      </c>
      <c r="I430" s="19" t="str">
        <f t="shared" si="90"/>
        <v/>
      </c>
      <c r="J430" s="2" t="str">
        <f t="shared" si="91"/>
        <v/>
      </c>
      <c r="K430" s="2" t="str">
        <f t="shared" si="92"/>
        <v/>
      </c>
      <c r="L430" s="2" t="str">
        <f t="shared" si="93"/>
        <v/>
      </c>
      <c r="M430" s="2">
        <f t="shared" si="94"/>
        <v>5</v>
      </c>
      <c r="N430" s="2" t="str">
        <f t="shared" si="95"/>
        <v/>
      </c>
      <c r="O430" s="19">
        <f t="shared" si="96"/>
        <v>5</v>
      </c>
      <c r="Q430" s="2" t="str">
        <f t="shared" si="97"/>
        <v>15</v>
      </c>
      <c r="R430" s="21" t="str">
        <f t="shared" si="98"/>
        <v>2.3.15</v>
      </c>
      <c r="S430" s="2" t="str">
        <f t="shared" si="99"/>
        <v/>
      </c>
      <c r="T430" s="2" t="str">
        <f t="shared" si="101"/>
        <v/>
      </c>
      <c r="U430" s="19" t="str">
        <f t="shared" si="102"/>
        <v/>
      </c>
    </row>
    <row r="431" spans="1:21" x14ac:dyDescent="0.2">
      <c r="A431" s="2">
        <v>430</v>
      </c>
      <c r="B431" s="21" t="str">
        <f t="shared" si="100"/>
        <v>2.3.16</v>
      </c>
      <c r="C431" s="2">
        <v>2</v>
      </c>
      <c r="D431" s="2">
        <v>3</v>
      </c>
      <c r="E431" s="2">
        <v>16</v>
      </c>
      <c r="F431" s="2" t="s">
        <v>84</v>
      </c>
      <c r="G431" s="2" t="s">
        <v>517</v>
      </c>
      <c r="H431" s="2">
        <v>4</v>
      </c>
      <c r="I431" s="19" t="str">
        <f t="shared" si="90"/>
        <v/>
      </c>
      <c r="J431" s="2" t="str">
        <f t="shared" si="91"/>
        <v/>
      </c>
      <c r="K431" s="2" t="str">
        <f t="shared" si="92"/>
        <v/>
      </c>
      <c r="L431" s="2" t="str">
        <f t="shared" si="93"/>
        <v/>
      </c>
      <c r="M431" s="2">
        <f t="shared" si="94"/>
        <v>5</v>
      </c>
      <c r="N431" s="2" t="str">
        <f t="shared" si="95"/>
        <v/>
      </c>
      <c r="O431" s="19">
        <f t="shared" si="96"/>
        <v>5</v>
      </c>
      <c r="Q431" s="2" t="str">
        <f t="shared" si="97"/>
        <v>16</v>
      </c>
      <c r="R431" s="21" t="str">
        <f t="shared" si="98"/>
        <v>2.3.16</v>
      </c>
      <c r="S431" s="2" t="str">
        <f t="shared" si="99"/>
        <v/>
      </c>
      <c r="T431" s="2" t="str">
        <f t="shared" si="101"/>
        <v/>
      </c>
      <c r="U431" s="19" t="str">
        <f t="shared" si="102"/>
        <v/>
      </c>
    </row>
    <row r="432" spans="1:21" x14ac:dyDescent="0.2">
      <c r="A432" s="2">
        <v>431</v>
      </c>
      <c r="B432" s="21" t="str">
        <f t="shared" si="100"/>
        <v>2.3.17</v>
      </c>
      <c r="C432" s="2">
        <v>2</v>
      </c>
      <c r="D432" s="2">
        <v>3</v>
      </c>
      <c r="E432" s="2">
        <v>17</v>
      </c>
      <c r="F432" s="2" t="s">
        <v>84</v>
      </c>
      <c r="G432" s="2" t="s">
        <v>518</v>
      </c>
      <c r="H432" s="2" t="s">
        <v>89</v>
      </c>
      <c r="I432" s="19" t="str">
        <f t="shared" si="90"/>
        <v/>
      </c>
      <c r="J432" s="2" t="str">
        <f t="shared" si="91"/>
        <v/>
      </c>
      <c r="K432" s="2" t="str">
        <f t="shared" si="92"/>
        <v/>
      </c>
      <c r="L432" s="2">
        <f t="shared" si="93"/>
        <v>4</v>
      </c>
      <c r="M432" s="2" t="str">
        <f t="shared" si="94"/>
        <v/>
      </c>
      <c r="N432" s="2" t="str">
        <f t="shared" si="95"/>
        <v/>
      </c>
      <c r="O432" s="19">
        <f t="shared" si="96"/>
        <v>4</v>
      </c>
      <c r="Q432" s="2" t="str">
        <f t="shared" si="97"/>
        <v>17</v>
      </c>
      <c r="R432" s="21" t="str">
        <f t="shared" si="98"/>
        <v>2.3.17</v>
      </c>
      <c r="S432" s="2" t="str">
        <f t="shared" si="99"/>
        <v/>
      </c>
      <c r="T432" s="2" t="str">
        <f t="shared" si="101"/>
        <v/>
      </c>
      <c r="U432" s="19" t="str">
        <f t="shared" si="102"/>
        <v/>
      </c>
    </row>
    <row r="433" spans="1:21" x14ac:dyDescent="0.2">
      <c r="A433" s="2">
        <v>432</v>
      </c>
      <c r="B433" s="21" t="str">
        <f t="shared" si="100"/>
        <v>2.3.17a</v>
      </c>
      <c r="C433" s="2">
        <v>2</v>
      </c>
      <c r="D433" s="2">
        <v>3</v>
      </c>
      <c r="E433" s="2">
        <v>17</v>
      </c>
      <c r="F433" s="2" t="s">
        <v>90</v>
      </c>
      <c r="G433" s="2" t="s">
        <v>519</v>
      </c>
      <c r="H433" s="2">
        <v>5</v>
      </c>
      <c r="I433" s="19" t="str">
        <f t="shared" si="90"/>
        <v/>
      </c>
      <c r="J433" s="2" t="str">
        <f t="shared" si="91"/>
        <v/>
      </c>
      <c r="K433" s="2" t="str">
        <f t="shared" si="92"/>
        <v/>
      </c>
      <c r="L433" s="2" t="str">
        <f t="shared" si="93"/>
        <v/>
      </c>
      <c r="M433" s="2" t="str">
        <f t="shared" si="94"/>
        <v/>
      </c>
      <c r="N433" s="2">
        <f t="shared" si="95"/>
        <v>6</v>
      </c>
      <c r="O433" s="19">
        <f t="shared" si="96"/>
        <v>6</v>
      </c>
      <c r="Q433" s="2" t="str">
        <f t="shared" si="97"/>
        <v>17</v>
      </c>
      <c r="R433" s="21" t="str">
        <f t="shared" si="98"/>
        <v>2.3.17a</v>
      </c>
      <c r="S433" s="2" t="str">
        <f t="shared" si="99"/>
        <v/>
      </c>
      <c r="T433" s="2" t="str">
        <f t="shared" si="101"/>
        <v/>
      </c>
      <c r="U433" s="19" t="str">
        <f t="shared" si="102"/>
        <v/>
      </c>
    </row>
    <row r="434" spans="1:21" x14ac:dyDescent="0.2">
      <c r="A434" s="2">
        <v>433</v>
      </c>
      <c r="B434" s="21" t="str">
        <f t="shared" si="100"/>
        <v>2.3.17b</v>
      </c>
      <c r="C434" s="2">
        <v>2</v>
      </c>
      <c r="D434" s="2">
        <v>3</v>
      </c>
      <c r="E434" s="2">
        <v>17</v>
      </c>
      <c r="F434" s="2" t="s">
        <v>92</v>
      </c>
      <c r="G434" s="2" t="s">
        <v>520</v>
      </c>
      <c r="H434" s="2">
        <v>5</v>
      </c>
      <c r="I434" s="19" t="str">
        <f t="shared" si="90"/>
        <v/>
      </c>
      <c r="J434" s="2" t="str">
        <f t="shared" si="91"/>
        <v/>
      </c>
      <c r="K434" s="2" t="str">
        <f t="shared" si="92"/>
        <v/>
      </c>
      <c r="L434" s="2" t="str">
        <f t="shared" si="93"/>
        <v/>
      </c>
      <c r="M434" s="2" t="str">
        <f t="shared" si="94"/>
        <v/>
      </c>
      <c r="N434" s="2">
        <f t="shared" si="95"/>
        <v>6</v>
      </c>
      <c r="O434" s="19">
        <f t="shared" si="96"/>
        <v>6</v>
      </c>
      <c r="Q434" s="2" t="str">
        <f t="shared" si="97"/>
        <v>17</v>
      </c>
      <c r="R434" s="21" t="str">
        <f t="shared" si="98"/>
        <v>2.3.17b</v>
      </c>
      <c r="S434" s="2" t="str">
        <f t="shared" si="99"/>
        <v/>
      </c>
      <c r="T434" s="2" t="str">
        <f t="shared" si="101"/>
        <v/>
      </c>
      <c r="U434" s="19" t="str">
        <f t="shared" si="102"/>
        <v/>
      </c>
    </row>
    <row r="435" spans="1:21" x14ac:dyDescent="0.2">
      <c r="A435" s="2">
        <v>434</v>
      </c>
      <c r="B435" s="21" t="str">
        <f t="shared" si="100"/>
        <v>2.3.17c</v>
      </c>
      <c r="C435" s="2">
        <v>2</v>
      </c>
      <c r="D435" s="2">
        <v>3</v>
      </c>
      <c r="E435" s="2">
        <v>17</v>
      </c>
      <c r="F435" s="2" t="s">
        <v>94</v>
      </c>
      <c r="G435" s="2" t="s">
        <v>521</v>
      </c>
      <c r="H435" s="2">
        <v>5</v>
      </c>
      <c r="I435" s="19" t="str">
        <f t="shared" si="90"/>
        <v/>
      </c>
      <c r="J435" s="2" t="str">
        <f t="shared" si="91"/>
        <v/>
      </c>
      <c r="K435" s="2" t="str">
        <f t="shared" si="92"/>
        <v/>
      </c>
      <c r="L435" s="2" t="str">
        <f t="shared" si="93"/>
        <v/>
      </c>
      <c r="M435" s="2" t="str">
        <f t="shared" si="94"/>
        <v/>
      </c>
      <c r="N435" s="2">
        <f t="shared" si="95"/>
        <v>6</v>
      </c>
      <c r="O435" s="19">
        <f t="shared" si="96"/>
        <v>6</v>
      </c>
      <c r="Q435" s="2" t="str">
        <f t="shared" si="97"/>
        <v>17</v>
      </c>
      <c r="R435" s="21" t="str">
        <f t="shared" si="98"/>
        <v>2.3.17c</v>
      </c>
      <c r="S435" s="2" t="str">
        <f t="shared" si="99"/>
        <v/>
      </c>
      <c r="T435" s="2" t="str">
        <f t="shared" si="101"/>
        <v/>
      </c>
      <c r="U435" s="19" t="str">
        <f t="shared" si="102"/>
        <v/>
      </c>
    </row>
    <row r="436" spans="1:21" x14ac:dyDescent="0.2">
      <c r="A436" s="2">
        <v>435</v>
      </c>
      <c r="B436" s="21" t="str">
        <f t="shared" si="100"/>
        <v>2.3.17d</v>
      </c>
      <c r="C436" s="2">
        <v>2</v>
      </c>
      <c r="D436" s="2">
        <v>3</v>
      </c>
      <c r="E436" s="2">
        <v>17</v>
      </c>
      <c r="F436" s="2" t="s">
        <v>112</v>
      </c>
      <c r="G436" s="2" t="s">
        <v>522</v>
      </c>
      <c r="H436" s="2">
        <v>5</v>
      </c>
      <c r="I436" s="19" t="str">
        <f t="shared" si="90"/>
        <v/>
      </c>
      <c r="J436" s="2" t="str">
        <f t="shared" si="91"/>
        <v/>
      </c>
      <c r="K436" s="2" t="str">
        <f t="shared" si="92"/>
        <v/>
      </c>
      <c r="L436" s="2" t="str">
        <f t="shared" si="93"/>
        <v/>
      </c>
      <c r="M436" s="2" t="str">
        <f t="shared" si="94"/>
        <v/>
      </c>
      <c r="N436" s="2">
        <f t="shared" si="95"/>
        <v>6</v>
      </c>
      <c r="O436" s="19">
        <f t="shared" si="96"/>
        <v>6</v>
      </c>
      <c r="Q436" s="2" t="str">
        <f t="shared" si="97"/>
        <v>17</v>
      </c>
      <c r="R436" s="21" t="str">
        <f t="shared" si="98"/>
        <v>2.3.17d</v>
      </c>
      <c r="S436" s="2" t="str">
        <f t="shared" si="99"/>
        <v/>
      </c>
      <c r="T436" s="2" t="str">
        <f t="shared" si="101"/>
        <v/>
      </c>
      <c r="U436" s="19" t="str">
        <f t="shared" si="102"/>
        <v/>
      </c>
    </row>
    <row r="437" spans="1:21" x14ac:dyDescent="0.2">
      <c r="A437" s="2">
        <v>436</v>
      </c>
      <c r="B437" s="21" t="str">
        <f t="shared" si="100"/>
        <v/>
      </c>
      <c r="C437" s="2" t="s">
        <v>84</v>
      </c>
      <c r="D437" s="2" t="s">
        <v>84</v>
      </c>
      <c r="E437" s="2" t="s">
        <v>84</v>
      </c>
      <c r="F437" s="2" t="s">
        <v>84</v>
      </c>
      <c r="G437" s="2" t="s">
        <v>523</v>
      </c>
      <c r="H437" s="2" t="s">
        <v>84</v>
      </c>
      <c r="I437" s="19" t="str">
        <f t="shared" si="90"/>
        <v/>
      </c>
      <c r="J437" s="2" t="str">
        <f t="shared" si="91"/>
        <v/>
      </c>
      <c r="K437" s="2">
        <f t="shared" si="92"/>
        <v>3</v>
      </c>
      <c r="L437" s="2" t="str">
        <f t="shared" si="93"/>
        <v/>
      </c>
      <c r="M437" s="2" t="str">
        <f t="shared" si="94"/>
        <v/>
      </c>
      <c r="N437" s="2" t="str">
        <f t="shared" si="95"/>
        <v/>
      </c>
      <c r="O437" s="19">
        <f t="shared" si="96"/>
        <v>3</v>
      </c>
      <c r="Q437" s="2" t="str">
        <f t="shared" si="97"/>
        <v/>
      </c>
      <c r="R437" s="21" t="str">
        <f t="shared" si="98"/>
        <v/>
      </c>
      <c r="S437" s="2" t="str">
        <f t="shared" si="99"/>
        <v/>
      </c>
      <c r="T437" s="2">
        <f t="shared" si="101"/>
        <v>1</v>
      </c>
      <c r="U437" s="19" t="str">
        <f t="shared" si="102"/>
        <v/>
      </c>
    </row>
    <row r="438" spans="1:21" x14ac:dyDescent="0.2">
      <c r="A438" s="2">
        <v>437</v>
      </c>
      <c r="B438" s="21" t="str">
        <f t="shared" si="100"/>
        <v>2.3.18</v>
      </c>
      <c r="C438" s="2">
        <v>2</v>
      </c>
      <c r="D438" s="2">
        <v>3</v>
      </c>
      <c r="E438" s="2">
        <v>18</v>
      </c>
      <c r="F438" s="2" t="s">
        <v>84</v>
      </c>
      <c r="G438" s="2" t="s">
        <v>524</v>
      </c>
      <c r="H438" s="2">
        <v>2</v>
      </c>
      <c r="I438" s="19" t="str">
        <f t="shared" si="90"/>
        <v/>
      </c>
      <c r="J438" s="2" t="str">
        <f t="shared" si="91"/>
        <v/>
      </c>
      <c r="K438" s="2" t="str">
        <f t="shared" si="92"/>
        <v/>
      </c>
      <c r="L438" s="2" t="str">
        <f t="shared" si="93"/>
        <v/>
      </c>
      <c r="M438" s="2">
        <f t="shared" si="94"/>
        <v>5</v>
      </c>
      <c r="N438" s="2" t="str">
        <f t="shared" si="95"/>
        <v/>
      </c>
      <c r="O438" s="19">
        <f t="shared" si="96"/>
        <v>5</v>
      </c>
      <c r="Q438" s="2" t="str">
        <f t="shared" si="97"/>
        <v>18</v>
      </c>
      <c r="R438" s="21" t="str">
        <f t="shared" si="98"/>
        <v>2.3.18</v>
      </c>
      <c r="S438" s="2" t="str">
        <f t="shared" si="99"/>
        <v/>
      </c>
      <c r="T438" s="2" t="str">
        <f t="shared" si="101"/>
        <v/>
      </c>
      <c r="U438" s="19" t="str">
        <f t="shared" si="102"/>
        <v/>
      </c>
    </row>
    <row r="439" spans="1:21" x14ac:dyDescent="0.2">
      <c r="A439" s="2">
        <v>438</v>
      </c>
      <c r="B439" s="21" t="str">
        <f t="shared" si="100"/>
        <v>2.3.19</v>
      </c>
      <c r="C439" s="2">
        <v>2</v>
      </c>
      <c r="D439" s="2">
        <v>3</v>
      </c>
      <c r="E439" s="2">
        <v>19</v>
      </c>
      <c r="F439" s="2" t="s">
        <v>84</v>
      </c>
      <c r="G439" s="2" t="s">
        <v>525</v>
      </c>
      <c r="H439" s="2">
        <v>3</v>
      </c>
      <c r="I439" s="19" t="str">
        <f t="shared" si="90"/>
        <v/>
      </c>
      <c r="J439" s="2" t="str">
        <f t="shared" si="91"/>
        <v/>
      </c>
      <c r="K439" s="2" t="str">
        <f t="shared" si="92"/>
        <v/>
      </c>
      <c r="L439" s="2" t="str">
        <f t="shared" si="93"/>
        <v/>
      </c>
      <c r="M439" s="2">
        <f t="shared" si="94"/>
        <v>5</v>
      </c>
      <c r="N439" s="2" t="str">
        <f t="shared" si="95"/>
        <v/>
      </c>
      <c r="O439" s="19">
        <f t="shared" si="96"/>
        <v>5</v>
      </c>
      <c r="Q439" s="2" t="str">
        <f t="shared" si="97"/>
        <v>19</v>
      </c>
      <c r="R439" s="21" t="str">
        <f t="shared" si="98"/>
        <v>2.3.19</v>
      </c>
      <c r="S439" s="2" t="str">
        <f t="shared" si="99"/>
        <v/>
      </c>
      <c r="T439" s="2" t="str">
        <f t="shared" si="101"/>
        <v/>
      </c>
      <c r="U439" s="19" t="str">
        <f t="shared" si="102"/>
        <v/>
      </c>
    </row>
    <row r="440" spans="1:21" x14ac:dyDescent="0.2">
      <c r="A440" s="2">
        <v>439</v>
      </c>
      <c r="B440" s="21" t="str">
        <f t="shared" si="100"/>
        <v>2.3.20</v>
      </c>
      <c r="C440" s="2">
        <v>2</v>
      </c>
      <c r="D440" s="2">
        <v>3</v>
      </c>
      <c r="E440" s="2">
        <v>20</v>
      </c>
      <c r="F440" s="2" t="s">
        <v>84</v>
      </c>
      <c r="G440" s="2" t="s">
        <v>526</v>
      </c>
      <c r="H440" s="2" t="s">
        <v>89</v>
      </c>
      <c r="I440" s="19" t="str">
        <f t="shared" si="90"/>
        <v/>
      </c>
      <c r="J440" s="2" t="str">
        <f t="shared" si="91"/>
        <v/>
      </c>
      <c r="K440" s="2" t="str">
        <f t="shared" si="92"/>
        <v/>
      </c>
      <c r="L440" s="2">
        <f t="shared" si="93"/>
        <v>4</v>
      </c>
      <c r="M440" s="2" t="str">
        <f t="shared" si="94"/>
        <v/>
      </c>
      <c r="N440" s="2" t="str">
        <f t="shared" si="95"/>
        <v/>
      </c>
      <c r="O440" s="19">
        <f t="shared" si="96"/>
        <v>4</v>
      </c>
      <c r="Q440" s="2" t="str">
        <f t="shared" si="97"/>
        <v>20</v>
      </c>
      <c r="R440" s="21" t="str">
        <f t="shared" si="98"/>
        <v>2.3.20</v>
      </c>
      <c r="S440" s="2" t="str">
        <f t="shared" si="99"/>
        <v/>
      </c>
      <c r="T440" s="2" t="str">
        <f t="shared" si="101"/>
        <v/>
      </c>
      <c r="U440" s="19" t="str">
        <f t="shared" si="102"/>
        <v/>
      </c>
    </row>
    <row r="441" spans="1:21" x14ac:dyDescent="0.2">
      <c r="A441" s="2">
        <v>440</v>
      </c>
      <c r="B441" s="21" t="str">
        <f t="shared" si="100"/>
        <v>2.3.20a</v>
      </c>
      <c r="C441" s="2">
        <v>2</v>
      </c>
      <c r="D441" s="2">
        <v>3</v>
      </c>
      <c r="E441" s="2">
        <v>20</v>
      </c>
      <c r="F441" s="2" t="s">
        <v>90</v>
      </c>
      <c r="G441" s="2" t="s">
        <v>527</v>
      </c>
      <c r="H441" s="2">
        <v>3</v>
      </c>
      <c r="I441" s="19" t="str">
        <f t="shared" si="90"/>
        <v/>
      </c>
      <c r="J441" s="2" t="str">
        <f t="shared" si="91"/>
        <v/>
      </c>
      <c r="K441" s="2" t="str">
        <f t="shared" si="92"/>
        <v/>
      </c>
      <c r="L441" s="2" t="str">
        <f t="shared" si="93"/>
        <v/>
      </c>
      <c r="M441" s="2" t="str">
        <f t="shared" si="94"/>
        <v/>
      </c>
      <c r="N441" s="2">
        <f t="shared" si="95"/>
        <v>6</v>
      </c>
      <c r="O441" s="19">
        <f t="shared" si="96"/>
        <v>6</v>
      </c>
      <c r="Q441" s="2" t="str">
        <f t="shared" si="97"/>
        <v>20</v>
      </c>
      <c r="R441" s="21" t="str">
        <f t="shared" si="98"/>
        <v>2.3.20a</v>
      </c>
      <c r="S441" s="2" t="str">
        <f t="shared" si="99"/>
        <v/>
      </c>
      <c r="T441" s="2" t="str">
        <f t="shared" si="101"/>
        <v/>
      </c>
      <c r="U441" s="19" t="str">
        <f t="shared" si="102"/>
        <v/>
      </c>
    </row>
    <row r="442" spans="1:21" x14ac:dyDescent="0.2">
      <c r="A442" s="2">
        <v>441</v>
      </c>
      <c r="B442" s="21" t="str">
        <f t="shared" si="100"/>
        <v>2.3.20b</v>
      </c>
      <c r="C442" s="2">
        <v>2</v>
      </c>
      <c r="D442" s="2">
        <v>3</v>
      </c>
      <c r="E442" s="2">
        <v>20</v>
      </c>
      <c r="F442" s="2" t="s">
        <v>92</v>
      </c>
      <c r="G442" s="2" t="s">
        <v>528</v>
      </c>
      <c r="H442" s="2">
        <v>3</v>
      </c>
      <c r="I442" s="19" t="str">
        <f t="shared" si="90"/>
        <v/>
      </c>
      <c r="J442" s="2" t="str">
        <f t="shared" si="91"/>
        <v/>
      </c>
      <c r="K442" s="2" t="str">
        <f t="shared" si="92"/>
        <v/>
      </c>
      <c r="L442" s="2" t="str">
        <f t="shared" si="93"/>
        <v/>
      </c>
      <c r="M442" s="2" t="str">
        <f t="shared" si="94"/>
        <v/>
      </c>
      <c r="N442" s="2">
        <f t="shared" si="95"/>
        <v>6</v>
      </c>
      <c r="O442" s="19">
        <f t="shared" si="96"/>
        <v>6</v>
      </c>
      <c r="Q442" s="2" t="str">
        <f t="shared" si="97"/>
        <v>20</v>
      </c>
      <c r="R442" s="21" t="str">
        <f t="shared" si="98"/>
        <v>2.3.20b</v>
      </c>
      <c r="S442" s="2" t="str">
        <f t="shared" si="99"/>
        <v/>
      </c>
      <c r="T442" s="2" t="str">
        <f t="shared" si="101"/>
        <v/>
      </c>
      <c r="U442" s="19" t="str">
        <f t="shared" si="102"/>
        <v/>
      </c>
    </row>
    <row r="443" spans="1:21" x14ac:dyDescent="0.2">
      <c r="A443" s="2">
        <v>442</v>
      </c>
      <c r="B443" s="21" t="str">
        <f t="shared" si="100"/>
        <v>2.3.20c</v>
      </c>
      <c r="C443" s="2">
        <v>2</v>
      </c>
      <c r="D443" s="2">
        <v>3</v>
      </c>
      <c r="E443" s="2">
        <v>20</v>
      </c>
      <c r="F443" s="2" t="s">
        <v>94</v>
      </c>
      <c r="G443" s="2" t="s">
        <v>529</v>
      </c>
      <c r="H443" s="2">
        <v>3</v>
      </c>
      <c r="I443" s="19" t="str">
        <f t="shared" si="90"/>
        <v/>
      </c>
      <c r="J443" s="2" t="str">
        <f t="shared" si="91"/>
        <v/>
      </c>
      <c r="K443" s="2" t="str">
        <f t="shared" si="92"/>
        <v/>
      </c>
      <c r="L443" s="2" t="str">
        <f t="shared" si="93"/>
        <v/>
      </c>
      <c r="M443" s="2" t="str">
        <f t="shared" si="94"/>
        <v/>
      </c>
      <c r="N443" s="2">
        <f t="shared" si="95"/>
        <v>6</v>
      </c>
      <c r="O443" s="19">
        <f t="shared" si="96"/>
        <v>6</v>
      </c>
      <c r="Q443" s="2" t="str">
        <f t="shared" si="97"/>
        <v>20</v>
      </c>
      <c r="R443" s="21" t="str">
        <f t="shared" si="98"/>
        <v>2.3.20c</v>
      </c>
      <c r="S443" s="2" t="str">
        <f t="shared" si="99"/>
        <v/>
      </c>
      <c r="T443" s="2" t="str">
        <f t="shared" si="101"/>
        <v/>
      </c>
      <c r="U443" s="19" t="str">
        <f t="shared" si="102"/>
        <v/>
      </c>
    </row>
    <row r="444" spans="1:21" x14ac:dyDescent="0.2">
      <c r="A444" s="2">
        <v>443</v>
      </c>
      <c r="B444" s="21" t="str">
        <f t="shared" si="100"/>
        <v>2.3.20d</v>
      </c>
      <c r="C444" s="2">
        <v>2</v>
      </c>
      <c r="D444" s="2">
        <v>3</v>
      </c>
      <c r="E444" s="2">
        <v>20</v>
      </c>
      <c r="F444" s="2" t="s">
        <v>112</v>
      </c>
      <c r="G444" s="2" t="s">
        <v>530</v>
      </c>
      <c r="H444" s="2">
        <v>3</v>
      </c>
      <c r="I444" s="19" t="str">
        <f t="shared" ref="I444:I506" si="103">IF(AND(LEN(C444)=1,LEN(D444)=0),1,"")</f>
        <v/>
      </c>
      <c r="J444" s="2" t="str">
        <f t="shared" ref="J444:J506" si="104">IF(AND(LEN(C444)=1,LEN(D444)=1,LEN(E444)=0,LEN(F444)=0),2,"")</f>
        <v/>
      </c>
      <c r="K444" s="2" t="str">
        <f t="shared" ref="K444:K506" si="105">IF(AND(LEN(C444)=0,LEN(E444)=0),3,"")</f>
        <v/>
      </c>
      <c r="L444" s="2" t="str">
        <f t="shared" ref="L444:L506" si="106">IF(AND(LEN(C444)&gt;0,LEN(D444&gt;0),LEN(E444)&gt;0,LEN(F444)=0,H444="N/A"),4,"")</f>
        <v/>
      </c>
      <c r="M444" s="2" t="str">
        <f t="shared" ref="M444:M506" si="107">IF(AND(LEN(C444)&gt;0,LEN(D444&gt;0),LEN(E444)&gt;0,LEN(F444)=0,H444&gt;0,H444&lt;6),5,"")</f>
        <v/>
      </c>
      <c r="N444" s="2">
        <f t="shared" ref="N444:N506" si="108">IF(AND(LEN(C444)&gt;0,LEN(D444&gt;0),LEN(E444)&gt;0,LEN(F444)&gt;0,H444&gt;0,H444&lt;6),6,"")</f>
        <v>6</v>
      </c>
      <c r="O444" s="19">
        <f t="shared" ref="O444:O506" si="109">SUM(I444:N444)</f>
        <v>6</v>
      </c>
      <c r="Q444" s="2" t="str">
        <f t="shared" ref="Q444:Q506" si="110">IF(LEN(E444)&gt;0,TEXT(E444,"00"),"")</f>
        <v>20</v>
      </c>
      <c r="R444" s="21" t="str">
        <f t="shared" ref="R444:R506" si="111">IF(O444=1,C444,IF(O444=2,C444&amp;"."&amp;D444,IF(O444=3,"",IF(O444=4,C444&amp;"."&amp;D444&amp;"."&amp;Q444,IF(O444=5,C444&amp;"."&amp;D444&amp;"."&amp;Q444,IF(O444=6,C444&amp;"."&amp;D444&amp;"."&amp;Q444&amp;F444,""))))))</f>
        <v>2.3.20d</v>
      </c>
      <c r="S444" s="2" t="str">
        <f t="shared" ref="S444:S506" si="112">IF(O444=O443,IF(NOT(R444&gt;R443),1,""),"")</f>
        <v/>
      </c>
      <c r="T444" s="2" t="str">
        <f t="shared" si="101"/>
        <v/>
      </c>
      <c r="U444" s="19" t="str">
        <f t="shared" si="102"/>
        <v/>
      </c>
    </row>
    <row r="445" spans="1:21" x14ac:dyDescent="0.2">
      <c r="A445" s="2">
        <v>444</v>
      </c>
      <c r="B445" s="21" t="str">
        <f t="shared" ref="B445:B507" si="113">R445</f>
        <v>2.3.21</v>
      </c>
      <c r="C445" s="2">
        <v>2</v>
      </c>
      <c r="D445" s="2">
        <v>3</v>
      </c>
      <c r="E445" s="2">
        <v>21</v>
      </c>
      <c r="F445" s="2" t="s">
        <v>84</v>
      </c>
      <c r="G445" s="2" t="s">
        <v>531</v>
      </c>
      <c r="H445" s="2" t="s">
        <v>89</v>
      </c>
      <c r="I445" s="19" t="str">
        <f t="shared" si="103"/>
        <v/>
      </c>
      <c r="J445" s="2" t="str">
        <f t="shared" si="104"/>
        <v/>
      </c>
      <c r="K445" s="2" t="str">
        <f t="shared" si="105"/>
        <v/>
      </c>
      <c r="L445" s="2">
        <f t="shared" si="106"/>
        <v>4</v>
      </c>
      <c r="M445" s="2" t="str">
        <f t="shared" si="107"/>
        <v/>
      </c>
      <c r="N445" s="2" t="str">
        <f t="shared" si="108"/>
        <v/>
      </c>
      <c r="O445" s="19">
        <f t="shared" si="109"/>
        <v>4</v>
      </c>
      <c r="Q445" s="2" t="str">
        <f t="shared" si="110"/>
        <v>21</v>
      </c>
      <c r="R445" s="21" t="str">
        <f t="shared" si="111"/>
        <v>2.3.21</v>
      </c>
      <c r="S445" s="2" t="str">
        <f t="shared" si="112"/>
        <v/>
      </c>
      <c r="T445" s="2" t="str">
        <f t="shared" ref="T445:T507" si="114">IF(NOT(R445&gt;R444),1,"")</f>
        <v/>
      </c>
      <c r="U445" s="19" t="str">
        <f t="shared" si="102"/>
        <v/>
      </c>
    </row>
    <row r="446" spans="1:21" x14ac:dyDescent="0.2">
      <c r="A446" s="2">
        <v>445</v>
      </c>
      <c r="B446" s="21" t="str">
        <f t="shared" si="113"/>
        <v>2.3.21a</v>
      </c>
      <c r="C446" s="2">
        <v>2</v>
      </c>
      <c r="D446" s="2">
        <v>3</v>
      </c>
      <c r="E446" s="2">
        <v>21</v>
      </c>
      <c r="F446" s="2" t="s">
        <v>90</v>
      </c>
      <c r="G446" s="2" t="s">
        <v>532</v>
      </c>
      <c r="H446" s="2">
        <v>3</v>
      </c>
      <c r="I446" s="19" t="str">
        <f t="shared" si="103"/>
        <v/>
      </c>
      <c r="J446" s="2" t="str">
        <f t="shared" si="104"/>
        <v/>
      </c>
      <c r="K446" s="2" t="str">
        <f t="shared" si="105"/>
        <v/>
      </c>
      <c r="L446" s="2" t="str">
        <f t="shared" si="106"/>
        <v/>
      </c>
      <c r="M446" s="2" t="str">
        <f t="shared" si="107"/>
        <v/>
      </c>
      <c r="N446" s="2">
        <f t="shared" si="108"/>
        <v>6</v>
      </c>
      <c r="O446" s="19">
        <f t="shared" si="109"/>
        <v>6</v>
      </c>
      <c r="Q446" s="2" t="str">
        <f t="shared" si="110"/>
        <v>21</v>
      </c>
      <c r="R446" s="21" t="str">
        <f t="shared" si="111"/>
        <v>2.3.21a</v>
      </c>
      <c r="S446" s="2" t="str">
        <f t="shared" si="112"/>
        <v/>
      </c>
      <c r="T446" s="2" t="str">
        <f t="shared" si="114"/>
        <v/>
      </c>
      <c r="U446" s="19" t="str">
        <f t="shared" si="102"/>
        <v/>
      </c>
    </row>
    <row r="447" spans="1:21" x14ac:dyDescent="0.2">
      <c r="A447" s="2">
        <v>446</v>
      </c>
      <c r="B447" s="21" t="str">
        <f t="shared" si="113"/>
        <v>2.3.21b</v>
      </c>
      <c r="C447" s="2">
        <v>2</v>
      </c>
      <c r="D447" s="2">
        <v>3</v>
      </c>
      <c r="E447" s="2">
        <v>21</v>
      </c>
      <c r="F447" s="2" t="s">
        <v>92</v>
      </c>
      <c r="G447" s="2" t="s">
        <v>533</v>
      </c>
      <c r="H447" s="2">
        <v>3</v>
      </c>
      <c r="I447" s="19" t="str">
        <f t="shared" si="103"/>
        <v/>
      </c>
      <c r="J447" s="2" t="str">
        <f t="shared" si="104"/>
        <v/>
      </c>
      <c r="K447" s="2" t="str">
        <f t="shared" si="105"/>
        <v/>
      </c>
      <c r="L447" s="2" t="str">
        <f t="shared" si="106"/>
        <v/>
      </c>
      <c r="M447" s="2" t="str">
        <f t="shared" si="107"/>
        <v/>
      </c>
      <c r="N447" s="2">
        <f t="shared" si="108"/>
        <v>6</v>
      </c>
      <c r="O447" s="19">
        <f t="shared" si="109"/>
        <v>6</v>
      </c>
      <c r="Q447" s="2" t="str">
        <f t="shared" si="110"/>
        <v>21</v>
      </c>
      <c r="R447" s="21" t="str">
        <f t="shared" si="111"/>
        <v>2.3.21b</v>
      </c>
      <c r="S447" s="2" t="str">
        <f t="shared" si="112"/>
        <v/>
      </c>
      <c r="T447" s="2" t="str">
        <f t="shared" si="114"/>
        <v/>
      </c>
      <c r="U447" s="19" t="str">
        <f t="shared" si="102"/>
        <v/>
      </c>
    </row>
    <row r="448" spans="1:21" x14ac:dyDescent="0.2">
      <c r="A448" s="2">
        <v>447</v>
      </c>
      <c r="B448" s="21" t="str">
        <f t="shared" si="113"/>
        <v>2.3.21c</v>
      </c>
      <c r="C448" s="2">
        <v>2</v>
      </c>
      <c r="D448" s="2">
        <v>3</v>
      </c>
      <c r="E448" s="2">
        <v>21</v>
      </c>
      <c r="F448" s="2" t="s">
        <v>94</v>
      </c>
      <c r="G448" s="2" t="s">
        <v>534</v>
      </c>
      <c r="H448" s="2">
        <v>3</v>
      </c>
      <c r="I448" s="19" t="str">
        <f t="shared" si="103"/>
        <v/>
      </c>
      <c r="J448" s="2" t="str">
        <f t="shared" si="104"/>
        <v/>
      </c>
      <c r="K448" s="2" t="str">
        <f t="shared" si="105"/>
        <v/>
      </c>
      <c r="L448" s="2" t="str">
        <f t="shared" si="106"/>
        <v/>
      </c>
      <c r="M448" s="2" t="str">
        <f t="shared" si="107"/>
        <v/>
      </c>
      <c r="N448" s="2">
        <f t="shared" si="108"/>
        <v>6</v>
      </c>
      <c r="O448" s="19">
        <f t="shared" si="109"/>
        <v>6</v>
      </c>
      <c r="Q448" s="2" t="str">
        <f t="shared" si="110"/>
        <v>21</v>
      </c>
      <c r="R448" s="21" t="str">
        <f t="shared" si="111"/>
        <v>2.3.21c</v>
      </c>
      <c r="S448" s="2" t="str">
        <f t="shared" si="112"/>
        <v/>
      </c>
      <c r="T448" s="2" t="str">
        <f t="shared" si="114"/>
        <v/>
      </c>
      <c r="U448" s="19" t="str">
        <f t="shared" si="102"/>
        <v/>
      </c>
    </row>
    <row r="449" spans="1:21" x14ac:dyDescent="0.2">
      <c r="A449" s="2">
        <v>448</v>
      </c>
      <c r="B449" s="21" t="str">
        <f t="shared" si="113"/>
        <v>2.3.21d</v>
      </c>
      <c r="C449" s="2">
        <v>2</v>
      </c>
      <c r="D449" s="2">
        <v>3</v>
      </c>
      <c r="E449" s="2">
        <v>21</v>
      </c>
      <c r="F449" s="2" t="s">
        <v>112</v>
      </c>
      <c r="G449" s="2" t="s">
        <v>535</v>
      </c>
      <c r="H449" s="2">
        <v>3</v>
      </c>
      <c r="I449" s="19" t="str">
        <f t="shared" si="103"/>
        <v/>
      </c>
      <c r="J449" s="2" t="str">
        <f t="shared" si="104"/>
        <v/>
      </c>
      <c r="K449" s="2" t="str">
        <f t="shared" si="105"/>
        <v/>
      </c>
      <c r="L449" s="2" t="str">
        <f t="shared" si="106"/>
        <v/>
      </c>
      <c r="M449" s="2" t="str">
        <f t="shared" si="107"/>
        <v/>
      </c>
      <c r="N449" s="2">
        <f t="shared" si="108"/>
        <v>6</v>
      </c>
      <c r="O449" s="19">
        <f t="shared" si="109"/>
        <v>6</v>
      </c>
      <c r="Q449" s="2" t="str">
        <f t="shared" si="110"/>
        <v>21</v>
      </c>
      <c r="R449" s="21" t="str">
        <f t="shared" si="111"/>
        <v>2.3.21d</v>
      </c>
      <c r="S449" s="2" t="str">
        <f t="shared" si="112"/>
        <v/>
      </c>
      <c r="T449" s="2" t="str">
        <f t="shared" si="114"/>
        <v/>
      </c>
      <c r="U449" s="19" t="str">
        <f t="shared" si="102"/>
        <v/>
      </c>
    </row>
    <row r="450" spans="1:21" x14ac:dyDescent="0.2">
      <c r="A450" s="2">
        <v>449</v>
      </c>
      <c r="B450" s="21" t="str">
        <f t="shared" si="113"/>
        <v>2.3.22</v>
      </c>
      <c r="C450" s="2">
        <v>2</v>
      </c>
      <c r="D450" s="2">
        <v>3</v>
      </c>
      <c r="E450" s="2">
        <v>22</v>
      </c>
      <c r="F450" s="2" t="s">
        <v>84</v>
      </c>
      <c r="G450" s="2" t="s">
        <v>536</v>
      </c>
      <c r="H450" s="2" t="s">
        <v>89</v>
      </c>
      <c r="I450" s="19" t="str">
        <f t="shared" si="103"/>
        <v/>
      </c>
      <c r="J450" s="2" t="str">
        <f t="shared" si="104"/>
        <v/>
      </c>
      <c r="K450" s="2" t="str">
        <f t="shared" si="105"/>
        <v/>
      </c>
      <c r="L450" s="2">
        <f t="shared" si="106"/>
        <v>4</v>
      </c>
      <c r="M450" s="2" t="str">
        <f t="shared" si="107"/>
        <v/>
      </c>
      <c r="N450" s="2" t="str">
        <f t="shared" si="108"/>
        <v/>
      </c>
      <c r="O450" s="19">
        <f t="shared" si="109"/>
        <v>4</v>
      </c>
      <c r="Q450" s="2" t="str">
        <f t="shared" si="110"/>
        <v>22</v>
      </c>
      <c r="R450" s="21" t="str">
        <f t="shared" si="111"/>
        <v>2.3.22</v>
      </c>
      <c r="S450" s="2" t="str">
        <f t="shared" si="112"/>
        <v/>
      </c>
      <c r="T450" s="2" t="str">
        <f t="shared" si="114"/>
        <v/>
      </c>
      <c r="U450" s="19" t="str">
        <f t="shared" si="102"/>
        <v/>
      </c>
    </row>
    <row r="451" spans="1:21" x14ac:dyDescent="0.2">
      <c r="A451" s="2">
        <v>450</v>
      </c>
      <c r="B451" s="21" t="str">
        <f t="shared" si="113"/>
        <v>2.3.22a</v>
      </c>
      <c r="C451" s="2">
        <v>2</v>
      </c>
      <c r="D451" s="2">
        <v>3</v>
      </c>
      <c r="E451" s="2">
        <v>22</v>
      </c>
      <c r="F451" s="2" t="s">
        <v>90</v>
      </c>
      <c r="G451" s="2" t="s">
        <v>537</v>
      </c>
      <c r="H451" s="2">
        <v>3</v>
      </c>
      <c r="I451" s="19" t="str">
        <f t="shared" si="103"/>
        <v/>
      </c>
      <c r="J451" s="2" t="str">
        <f t="shared" si="104"/>
        <v/>
      </c>
      <c r="K451" s="2" t="str">
        <f t="shared" si="105"/>
        <v/>
      </c>
      <c r="L451" s="2" t="str">
        <f t="shared" si="106"/>
        <v/>
      </c>
      <c r="M451" s="2" t="str">
        <f t="shared" si="107"/>
        <v/>
      </c>
      <c r="N451" s="2">
        <f t="shared" si="108"/>
        <v>6</v>
      </c>
      <c r="O451" s="19">
        <f t="shared" si="109"/>
        <v>6</v>
      </c>
      <c r="Q451" s="2" t="str">
        <f t="shared" si="110"/>
        <v>22</v>
      </c>
      <c r="R451" s="21" t="str">
        <f t="shared" si="111"/>
        <v>2.3.22a</v>
      </c>
      <c r="S451" s="2" t="str">
        <f t="shared" si="112"/>
        <v/>
      </c>
      <c r="T451" s="2" t="str">
        <f t="shared" si="114"/>
        <v/>
      </c>
      <c r="U451" s="19" t="str">
        <f t="shared" ref="U451:U514" si="115">IF(O451&lt;4,IF(LEN(H451)=0,"",1),IF(O451=4,IF(H451="N/A","",1),IF(AND(O451&gt;4,O451&lt;7),IF(AND(H451&gt;0,H451&lt;6),"",1),1)))</f>
        <v/>
      </c>
    </row>
    <row r="452" spans="1:21" x14ac:dyDescent="0.2">
      <c r="A452" s="2">
        <v>451</v>
      </c>
      <c r="B452" s="21" t="str">
        <f t="shared" si="113"/>
        <v>2.3.22b</v>
      </c>
      <c r="C452" s="2">
        <v>2</v>
      </c>
      <c r="D452" s="2">
        <v>3</v>
      </c>
      <c r="E452" s="2">
        <v>22</v>
      </c>
      <c r="F452" s="2" t="s">
        <v>92</v>
      </c>
      <c r="G452" s="2" t="s">
        <v>538</v>
      </c>
      <c r="H452" s="2">
        <v>3</v>
      </c>
      <c r="I452" s="19" t="str">
        <f t="shared" si="103"/>
        <v/>
      </c>
      <c r="J452" s="2" t="str">
        <f t="shared" si="104"/>
        <v/>
      </c>
      <c r="K452" s="2" t="str">
        <f t="shared" si="105"/>
        <v/>
      </c>
      <c r="L452" s="2" t="str">
        <f t="shared" si="106"/>
        <v/>
      </c>
      <c r="M452" s="2" t="str">
        <f t="shared" si="107"/>
        <v/>
      </c>
      <c r="N452" s="2">
        <f t="shared" si="108"/>
        <v>6</v>
      </c>
      <c r="O452" s="19">
        <f t="shared" si="109"/>
        <v>6</v>
      </c>
      <c r="Q452" s="2" t="str">
        <f t="shared" si="110"/>
        <v>22</v>
      </c>
      <c r="R452" s="21" t="str">
        <f t="shared" si="111"/>
        <v>2.3.22b</v>
      </c>
      <c r="S452" s="2" t="str">
        <f t="shared" si="112"/>
        <v/>
      </c>
      <c r="T452" s="2" t="str">
        <f t="shared" si="114"/>
        <v/>
      </c>
      <c r="U452" s="19" t="str">
        <f t="shared" si="115"/>
        <v/>
      </c>
    </row>
    <row r="453" spans="1:21" x14ac:dyDescent="0.2">
      <c r="A453" s="2">
        <v>452</v>
      </c>
      <c r="B453" s="21" t="str">
        <f t="shared" si="113"/>
        <v>2.3.23</v>
      </c>
      <c r="C453" s="2">
        <v>2</v>
      </c>
      <c r="D453" s="2">
        <v>3</v>
      </c>
      <c r="E453" s="2">
        <v>23</v>
      </c>
      <c r="F453" s="2" t="s">
        <v>84</v>
      </c>
      <c r="G453" s="2" t="s">
        <v>539</v>
      </c>
      <c r="H453" s="2">
        <v>3</v>
      </c>
      <c r="I453" s="19" t="str">
        <f t="shared" si="103"/>
        <v/>
      </c>
      <c r="J453" s="2" t="str">
        <f t="shared" si="104"/>
        <v/>
      </c>
      <c r="K453" s="2" t="str">
        <f t="shared" si="105"/>
        <v/>
      </c>
      <c r="L453" s="2" t="str">
        <f t="shared" si="106"/>
        <v/>
      </c>
      <c r="M453" s="2">
        <f t="shared" si="107"/>
        <v>5</v>
      </c>
      <c r="N453" s="2" t="str">
        <f t="shared" si="108"/>
        <v/>
      </c>
      <c r="O453" s="19">
        <f t="shared" si="109"/>
        <v>5</v>
      </c>
      <c r="Q453" s="2" t="str">
        <f t="shared" si="110"/>
        <v>23</v>
      </c>
      <c r="R453" s="21" t="str">
        <f t="shared" si="111"/>
        <v>2.3.23</v>
      </c>
      <c r="S453" s="2" t="str">
        <f t="shared" si="112"/>
        <v/>
      </c>
      <c r="T453" s="2" t="str">
        <f t="shared" si="114"/>
        <v/>
      </c>
      <c r="U453" s="19" t="str">
        <f t="shared" si="115"/>
        <v/>
      </c>
    </row>
    <row r="454" spans="1:21" x14ac:dyDescent="0.2">
      <c r="A454" s="2">
        <v>453</v>
      </c>
      <c r="B454" s="21" t="str">
        <f t="shared" si="113"/>
        <v>2.3.24</v>
      </c>
      <c r="C454" s="2">
        <v>2</v>
      </c>
      <c r="D454" s="2">
        <v>3</v>
      </c>
      <c r="E454" s="2">
        <v>24</v>
      </c>
      <c r="F454" s="2" t="s">
        <v>84</v>
      </c>
      <c r="G454" s="2" t="s">
        <v>540</v>
      </c>
      <c r="H454" s="2" t="s">
        <v>89</v>
      </c>
      <c r="I454" s="19" t="str">
        <f t="shared" si="103"/>
        <v/>
      </c>
      <c r="J454" s="2" t="str">
        <f t="shared" si="104"/>
        <v/>
      </c>
      <c r="K454" s="2" t="str">
        <f t="shared" si="105"/>
        <v/>
      </c>
      <c r="L454" s="2">
        <f t="shared" si="106"/>
        <v>4</v>
      </c>
      <c r="M454" s="2" t="str">
        <f t="shared" si="107"/>
        <v/>
      </c>
      <c r="N454" s="2" t="str">
        <f t="shared" si="108"/>
        <v/>
      </c>
      <c r="O454" s="19">
        <f t="shared" si="109"/>
        <v>4</v>
      </c>
      <c r="Q454" s="2" t="str">
        <f t="shared" si="110"/>
        <v>24</v>
      </c>
      <c r="R454" s="21" t="str">
        <f t="shared" si="111"/>
        <v>2.3.24</v>
      </c>
      <c r="S454" s="2" t="str">
        <f t="shared" si="112"/>
        <v/>
      </c>
      <c r="T454" s="2" t="str">
        <f t="shared" si="114"/>
        <v/>
      </c>
      <c r="U454" s="19" t="str">
        <f t="shared" si="115"/>
        <v/>
      </c>
    </row>
    <row r="455" spans="1:21" x14ac:dyDescent="0.2">
      <c r="A455" s="2">
        <v>454</v>
      </c>
      <c r="B455" s="21" t="str">
        <f t="shared" si="113"/>
        <v>2.3.24a</v>
      </c>
      <c r="C455" s="2">
        <v>2</v>
      </c>
      <c r="D455" s="2">
        <v>3</v>
      </c>
      <c r="E455" s="2">
        <v>24</v>
      </c>
      <c r="F455" s="2" t="s">
        <v>90</v>
      </c>
      <c r="G455" s="2" t="s">
        <v>541</v>
      </c>
      <c r="H455" s="2">
        <v>4</v>
      </c>
      <c r="I455" s="19" t="str">
        <f t="shared" si="103"/>
        <v/>
      </c>
      <c r="J455" s="2" t="str">
        <f t="shared" si="104"/>
        <v/>
      </c>
      <c r="K455" s="2" t="str">
        <f t="shared" si="105"/>
        <v/>
      </c>
      <c r="L455" s="2" t="str">
        <f t="shared" si="106"/>
        <v/>
      </c>
      <c r="M455" s="2" t="str">
        <f t="shared" si="107"/>
        <v/>
      </c>
      <c r="N455" s="2">
        <f t="shared" si="108"/>
        <v>6</v>
      </c>
      <c r="O455" s="19">
        <f t="shared" si="109"/>
        <v>6</v>
      </c>
      <c r="Q455" s="2" t="str">
        <f t="shared" si="110"/>
        <v>24</v>
      </c>
      <c r="R455" s="21" t="str">
        <f t="shared" si="111"/>
        <v>2.3.24a</v>
      </c>
      <c r="S455" s="2" t="str">
        <f t="shared" si="112"/>
        <v/>
      </c>
      <c r="T455" s="2" t="str">
        <f t="shared" si="114"/>
        <v/>
      </c>
      <c r="U455" s="19" t="str">
        <f t="shared" si="115"/>
        <v/>
      </c>
    </row>
    <row r="456" spans="1:21" x14ac:dyDescent="0.2">
      <c r="A456" s="2">
        <v>455</v>
      </c>
      <c r="B456" s="21" t="str">
        <f t="shared" si="113"/>
        <v>2.3.24b</v>
      </c>
      <c r="C456" s="2">
        <v>2</v>
      </c>
      <c r="D456" s="2">
        <v>3</v>
      </c>
      <c r="E456" s="2">
        <v>24</v>
      </c>
      <c r="F456" s="2" t="s">
        <v>92</v>
      </c>
      <c r="G456" s="2" t="s">
        <v>542</v>
      </c>
      <c r="H456" s="2">
        <v>4</v>
      </c>
      <c r="I456" s="19" t="str">
        <f t="shared" si="103"/>
        <v/>
      </c>
      <c r="J456" s="2" t="str">
        <f t="shared" si="104"/>
        <v/>
      </c>
      <c r="K456" s="2" t="str">
        <f t="shared" si="105"/>
        <v/>
      </c>
      <c r="L456" s="2" t="str">
        <f t="shared" si="106"/>
        <v/>
      </c>
      <c r="M456" s="2" t="str">
        <f t="shared" si="107"/>
        <v/>
      </c>
      <c r="N456" s="2">
        <f t="shared" si="108"/>
        <v>6</v>
      </c>
      <c r="O456" s="19">
        <f t="shared" si="109"/>
        <v>6</v>
      </c>
      <c r="Q456" s="2" t="str">
        <f t="shared" si="110"/>
        <v>24</v>
      </c>
      <c r="R456" s="21" t="str">
        <f t="shared" si="111"/>
        <v>2.3.24b</v>
      </c>
      <c r="S456" s="2" t="str">
        <f t="shared" si="112"/>
        <v/>
      </c>
      <c r="T456" s="2" t="str">
        <f t="shared" si="114"/>
        <v/>
      </c>
      <c r="U456" s="19" t="str">
        <f t="shared" si="115"/>
        <v/>
      </c>
    </row>
    <row r="457" spans="1:21" x14ac:dyDescent="0.2">
      <c r="A457" s="2">
        <v>456</v>
      </c>
      <c r="B457" s="21" t="str">
        <f t="shared" si="113"/>
        <v>2.3.24c</v>
      </c>
      <c r="C457" s="2">
        <v>2</v>
      </c>
      <c r="D457" s="2">
        <v>3</v>
      </c>
      <c r="E457" s="2">
        <v>24</v>
      </c>
      <c r="F457" s="2" t="s">
        <v>94</v>
      </c>
      <c r="G457" s="2" t="s">
        <v>543</v>
      </c>
      <c r="H457" s="2">
        <v>4</v>
      </c>
      <c r="I457" s="19" t="str">
        <f t="shared" si="103"/>
        <v/>
      </c>
      <c r="J457" s="2" t="str">
        <f t="shared" si="104"/>
        <v/>
      </c>
      <c r="K457" s="2" t="str">
        <f t="shared" si="105"/>
        <v/>
      </c>
      <c r="L457" s="2" t="str">
        <f t="shared" si="106"/>
        <v/>
      </c>
      <c r="M457" s="2" t="str">
        <f t="shared" si="107"/>
        <v/>
      </c>
      <c r="N457" s="2">
        <f t="shared" si="108"/>
        <v>6</v>
      </c>
      <c r="O457" s="19">
        <f t="shared" si="109"/>
        <v>6</v>
      </c>
      <c r="Q457" s="2" t="str">
        <f t="shared" si="110"/>
        <v>24</v>
      </c>
      <c r="R457" s="21" t="str">
        <f t="shared" si="111"/>
        <v>2.3.24c</v>
      </c>
      <c r="S457" s="2" t="str">
        <f t="shared" si="112"/>
        <v/>
      </c>
      <c r="T457" s="2" t="str">
        <f t="shared" si="114"/>
        <v/>
      </c>
      <c r="U457" s="19" t="str">
        <f t="shared" si="115"/>
        <v/>
      </c>
    </row>
    <row r="458" spans="1:21" x14ac:dyDescent="0.2">
      <c r="A458" s="2">
        <v>457</v>
      </c>
      <c r="B458" s="21" t="str">
        <f t="shared" si="113"/>
        <v>2.3.24d</v>
      </c>
      <c r="C458" s="2">
        <v>2</v>
      </c>
      <c r="D458" s="2">
        <v>3</v>
      </c>
      <c r="E458" s="2">
        <v>24</v>
      </c>
      <c r="F458" s="2" t="s">
        <v>112</v>
      </c>
      <c r="G458" s="2" t="s">
        <v>544</v>
      </c>
      <c r="H458" s="2">
        <v>4</v>
      </c>
      <c r="I458" s="19" t="str">
        <f t="shared" si="103"/>
        <v/>
      </c>
      <c r="J458" s="2" t="str">
        <f t="shared" si="104"/>
        <v/>
      </c>
      <c r="K458" s="2" t="str">
        <f t="shared" si="105"/>
        <v/>
      </c>
      <c r="L458" s="2" t="str">
        <f t="shared" si="106"/>
        <v/>
      </c>
      <c r="M458" s="2" t="str">
        <f t="shared" si="107"/>
        <v/>
      </c>
      <c r="N458" s="2">
        <f t="shared" si="108"/>
        <v>6</v>
      </c>
      <c r="O458" s="19">
        <f t="shared" si="109"/>
        <v>6</v>
      </c>
      <c r="Q458" s="2" t="str">
        <f t="shared" si="110"/>
        <v>24</v>
      </c>
      <c r="R458" s="21" t="str">
        <f t="shared" si="111"/>
        <v>2.3.24d</v>
      </c>
      <c r="S458" s="2" t="str">
        <f t="shared" si="112"/>
        <v/>
      </c>
      <c r="T458" s="2" t="str">
        <f t="shared" si="114"/>
        <v/>
      </c>
      <c r="U458" s="19" t="str">
        <f t="shared" si="115"/>
        <v/>
      </c>
    </row>
    <row r="459" spans="1:21" x14ac:dyDescent="0.2">
      <c r="A459" s="2">
        <v>458</v>
      </c>
      <c r="B459" s="21" t="str">
        <f t="shared" si="113"/>
        <v>2.3.24e</v>
      </c>
      <c r="C459" s="2">
        <v>2</v>
      </c>
      <c r="D459" s="2">
        <v>3</v>
      </c>
      <c r="E459" s="2">
        <v>24</v>
      </c>
      <c r="F459" s="2" t="s">
        <v>114</v>
      </c>
      <c r="G459" s="2" t="s">
        <v>545</v>
      </c>
      <c r="H459" s="2">
        <v>4</v>
      </c>
      <c r="I459" s="19" t="str">
        <f t="shared" si="103"/>
        <v/>
      </c>
      <c r="J459" s="2" t="str">
        <f t="shared" si="104"/>
        <v/>
      </c>
      <c r="K459" s="2" t="str">
        <f t="shared" si="105"/>
        <v/>
      </c>
      <c r="L459" s="2" t="str">
        <f t="shared" si="106"/>
        <v/>
      </c>
      <c r="M459" s="2" t="str">
        <f t="shared" si="107"/>
        <v/>
      </c>
      <c r="N459" s="2">
        <f t="shared" si="108"/>
        <v>6</v>
      </c>
      <c r="O459" s="19">
        <f t="shared" si="109"/>
        <v>6</v>
      </c>
      <c r="Q459" s="2" t="str">
        <f t="shared" si="110"/>
        <v>24</v>
      </c>
      <c r="R459" s="21" t="str">
        <f t="shared" si="111"/>
        <v>2.3.24e</v>
      </c>
      <c r="S459" s="2" t="str">
        <f t="shared" si="112"/>
        <v/>
      </c>
      <c r="T459" s="2" t="str">
        <f t="shared" si="114"/>
        <v/>
      </c>
      <c r="U459" s="19" t="str">
        <f t="shared" si="115"/>
        <v/>
      </c>
    </row>
    <row r="460" spans="1:21" x14ac:dyDescent="0.2">
      <c r="A460" s="2">
        <v>459</v>
      </c>
      <c r="B460" s="21" t="str">
        <f t="shared" si="113"/>
        <v>2.3.24f</v>
      </c>
      <c r="C460" s="2">
        <v>2</v>
      </c>
      <c r="D460" s="2">
        <v>3</v>
      </c>
      <c r="E460" s="2">
        <v>24</v>
      </c>
      <c r="F460" s="2" t="s">
        <v>129</v>
      </c>
      <c r="G460" s="2" t="s">
        <v>546</v>
      </c>
      <c r="H460" s="2">
        <v>4</v>
      </c>
      <c r="I460" s="19" t="str">
        <f t="shared" si="103"/>
        <v/>
      </c>
      <c r="J460" s="2" t="str">
        <f t="shared" si="104"/>
        <v/>
      </c>
      <c r="K460" s="2" t="str">
        <f t="shared" si="105"/>
        <v/>
      </c>
      <c r="L460" s="2" t="str">
        <f t="shared" si="106"/>
        <v/>
      </c>
      <c r="M460" s="2" t="str">
        <f t="shared" si="107"/>
        <v/>
      </c>
      <c r="N460" s="2">
        <f t="shared" si="108"/>
        <v>6</v>
      </c>
      <c r="O460" s="19">
        <f t="shared" si="109"/>
        <v>6</v>
      </c>
      <c r="Q460" s="2" t="str">
        <f t="shared" si="110"/>
        <v>24</v>
      </c>
      <c r="R460" s="21" t="str">
        <f t="shared" si="111"/>
        <v>2.3.24f</v>
      </c>
      <c r="S460" s="2" t="str">
        <f t="shared" si="112"/>
        <v/>
      </c>
      <c r="T460" s="2" t="str">
        <f t="shared" si="114"/>
        <v/>
      </c>
      <c r="U460" s="19" t="str">
        <f t="shared" si="115"/>
        <v/>
      </c>
    </row>
    <row r="461" spans="1:21" x14ac:dyDescent="0.2">
      <c r="A461" s="2">
        <v>460</v>
      </c>
      <c r="B461" s="21" t="str">
        <f t="shared" si="113"/>
        <v>2.3.25</v>
      </c>
      <c r="C461" s="2">
        <v>2</v>
      </c>
      <c r="D461" s="2">
        <v>3</v>
      </c>
      <c r="E461" s="2">
        <v>25</v>
      </c>
      <c r="F461" s="2" t="s">
        <v>84</v>
      </c>
      <c r="G461" s="2" t="s">
        <v>547</v>
      </c>
      <c r="H461" s="2" t="s">
        <v>89</v>
      </c>
      <c r="I461" s="19" t="str">
        <f t="shared" si="103"/>
        <v/>
      </c>
      <c r="J461" s="2" t="str">
        <f t="shared" si="104"/>
        <v/>
      </c>
      <c r="K461" s="2" t="str">
        <f t="shared" si="105"/>
        <v/>
      </c>
      <c r="L461" s="2">
        <f t="shared" si="106"/>
        <v>4</v>
      </c>
      <c r="M461" s="2" t="str">
        <f t="shared" si="107"/>
        <v/>
      </c>
      <c r="N461" s="2" t="str">
        <f t="shared" si="108"/>
        <v/>
      </c>
      <c r="O461" s="19">
        <f t="shared" si="109"/>
        <v>4</v>
      </c>
      <c r="Q461" s="2" t="str">
        <f t="shared" si="110"/>
        <v>25</v>
      </c>
      <c r="R461" s="21" t="str">
        <f t="shared" si="111"/>
        <v>2.3.25</v>
      </c>
      <c r="S461" s="2" t="str">
        <f t="shared" si="112"/>
        <v/>
      </c>
      <c r="T461" s="2" t="str">
        <f t="shared" si="114"/>
        <v/>
      </c>
      <c r="U461" s="19" t="str">
        <f t="shared" si="115"/>
        <v/>
      </c>
    </row>
    <row r="462" spans="1:21" x14ac:dyDescent="0.2">
      <c r="A462" s="2">
        <v>461</v>
      </c>
      <c r="B462" s="21" t="str">
        <f t="shared" si="113"/>
        <v>2.3.25a</v>
      </c>
      <c r="C462" s="2">
        <v>2</v>
      </c>
      <c r="D462" s="2">
        <v>3</v>
      </c>
      <c r="E462" s="2">
        <v>25</v>
      </c>
      <c r="F462" s="2" t="s">
        <v>90</v>
      </c>
      <c r="G462" s="2" t="s">
        <v>548</v>
      </c>
      <c r="H462" s="2">
        <v>5</v>
      </c>
      <c r="I462" s="19" t="str">
        <f t="shared" si="103"/>
        <v/>
      </c>
      <c r="J462" s="2" t="str">
        <f t="shared" si="104"/>
        <v/>
      </c>
      <c r="K462" s="2" t="str">
        <f t="shared" si="105"/>
        <v/>
      </c>
      <c r="L462" s="2" t="str">
        <f t="shared" si="106"/>
        <v/>
      </c>
      <c r="M462" s="2" t="str">
        <f t="shared" si="107"/>
        <v/>
      </c>
      <c r="N462" s="2">
        <f t="shared" si="108"/>
        <v>6</v>
      </c>
      <c r="O462" s="19">
        <f t="shared" si="109"/>
        <v>6</v>
      </c>
      <c r="Q462" s="2" t="str">
        <f t="shared" si="110"/>
        <v>25</v>
      </c>
      <c r="R462" s="21" t="str">
        <f t="shared" si="111"/>
        <v>2.3.25a</v>
      </c>
      <c r="S462" s="2" t="str">
        <f t="shared" si="112"/>
        <v/>
      </c>
      <c r="T462" s="2" t="str">
        <f t="shared" si="114"/>
        <v/>
      </c>
      <c r="U462" s="19" t="str">
        <f t="shared" si="115"/>
        <v/>
      </c>
    </row>
    <row r="463" spans="1:21" x14ac:dyDescent="0.2">
      <c r="A463" s="2">
        <v>462</v>
      </c>
      <c r="B463" s="21" t="str">
        <f t="shared" si="113"/>
        <v>2.3.25b</v>
      </c>
      <c r="C463" s="2">
        <v>2</v>
      </c>
      <c r="D463" s="2">
        <v>3</v>
      </c>
      <c r="E463" s="2">
        <v>25</v>
      </c>
      <c r="F463" s="2" t="s">
        <v>92</v>
      </c>
      <c r="G463" s="2" t="s">
        <v>549</v>
      </c>
      <c r="H463" s="2">
        <v>5</v>
      </c>
      <c r="I463" s="19" t="str">
        <f t="shared" si="103"/>
        <v/>
      </c>
      <c r="J463" s="2" t="str">
        <f t="shared" si="104"/>
        <v/>
      </c>
      <c r="K463" s="2" t="str">
        <f t="shared" si="105"/>
        <v/>
      </c>
      <c r="L463" s="2" t="str">
        <f t="shared" si="106"/>
        <v/>
      </c>
      <c r="M463" s="2" t="str">
        <f t="shared" si="107"/>
        <v/>
      </c>
      <c r="N463" s="2">
        <f t="shared" si="108"/>
        <v>6</v>
      </c>
      <c r="O463" s="19">
        <f t="shared" si="109"/>
        <v>6</v>
      </c>
      <c r="Q463" s="2" t="str">
        <f t="shared" si="110"/>
        <v>25</v>
      </c>
      <c r="R463" s="21" t="str">
        <f t="shared" si="111"/>
        <v>2.3.25b</v>
      </c>
      <c r="S463" s="2" t="str">
        <f t="shared" si="112"/>
        <v/>
      </c>
      <c r="T463" s="2" t="str">
        <f t="shared" si="114"/>
        <v/>
      </c>
      <c r="U463" s="19" t="str">
        <f t="shared" si="115"/>
        <v/>
      </c>
    </row>
    <row r="464" spans="1:21" x14ac:dyDescent="0.2">
      <c r="A464" s="2">
        <v>463</v>
      </c>
      <c r="B464" s="21" t="str">
        <f t="shared" si="113"/>
        <v>2.3.26</v>
      </c>
      <c r="C464" s="2">
        <v>2</v>
      </c>
      <c r="D464" s="2">
        <v>3</v>
      </c>
      <c r="E464" s="2">
        <v>26</v>
      </c>
      <c r="F464" s="2" t="s">
        <v>84</v>
      </c>
      <c r="G464" s="2" t="s">
        <v>550</v>
      </c>
      <c r="H464" s="2" t="s">
        <v>89</v>
      </c>
      <c r="I464" s="19" t="str">
        <f t="shared" si="103"/>
        <v/>
      </c>
      <c r="J464" s="2" t="str">
        <f t="shared" si="104"/>
        <v/>
      </c>
      <c r="K464" s="2" t="str">
        <f t="shared" si="105"/>
        <v/>
      </c>
      <c r="L464" s="2">
        <f t="shared" si="106"/>
        <v>4</v>
      </c>
      <c r="M464" s="2" t="str">
        <f t="shared" si="107"/>
        <v/>
      </c>
      <c r="N464" s="2" t="str">
        <f t="shared" si="108"/>
        <v/>
      </c>
      <c r="O464" s="19">
        <f t="shared" si="109"/>
        <v>4</v>
      </c>
      <c r="Q464" s="2" t="str">
        <f t="shared" si="110"/>
        <v>26</v>
      </c>
      <c r="R464" s="21" t="str">
        <f t="shared" si="111"/>
        <v>2.3.26</v>
      </c>
      <c r="S464" s="2" t="str">
        <f t="shared" si="112"/>
        <v/>
      </c>
      <c r="T464" s="2" t="str">
        <f t="shared" si="114"/>
        <v/>
      </c>
      <c r="U464" s="19" t="str">
        <f t="shared" si="115"/>
        <v/>
      </c>
    </row>
    <row r="465" spans="1:21" x14ac:dyDescent="0.2">
      <c r="A465" s="2">
        <v>464</v>
      </c>
      <c r="B465" s="21" t="str">
        <f t="shared" si="113"/>
        <v>2.3.26a</v>
      </c>
      <c r="C465" s="2">
        <v>2</v>
      </c>
      <c r="D465" s="2">
        <v>3</v>
      </c>
      <c r="E465" s="2">
        <v>26</v>
      </c>
      <c r="F465" s="2" t="s">
        <v>90</v>
      </c>
      <c r="G465" s="2" t="s">
        <v>551</v>
      </c>
      <c r="H465" s="2">
        <v>5</v>
      </c>
      <c r="I465" s="19" t="str">
        <f t="shared" si="103"/>
        <v/>
      </c>
      <c r="J465" s="2" t="str">
        <f t="shared" si="104"/>
        <v/>
      </c>
      <c r="K465" s="2" t="str">
        <f t="shared" si="105"/>
        <v/>
      </c>
      <c r="L465" s="2" t="str">
        <f t="shared" si="106"/>
        <v/>
      </c>
      <c r="M465" s="2" t="str">
        <f t="shared" si="107"/>
        <v/>
      </c>
      <c r="N465" s="2">
        <f t="shared" si="108"/>
        <v>6</v>
      </c>
      <c r="O465" s="19">
        <f t="shared" si="109"/>
        <v>6</v>
      </c>
      <c r="Q465" s="2" t="str">
        <f t="shared" si="110"/>
        <v>26</v>
      </c>
      <c r="R465" s="21" t="str">
        <f t="shared" si="111"/>
        <v>2.3.26a</v>
      </c>
      <c r="S465" s="2" t="str">
        <f t="shared" si="112"/>
        <v/>
      </c>
      <c r="T465" s="2" t="str">
        <f t="shared" si="114"/>
        <v/>
      </c>
      <c r="U465" s="19" t="str">
        <f t="shared" si="115"/>
        <v/>
      </c>
    </row>
    <row r="466" spans="1:21" x14ac:dyDescent="0.2">
      <c r="A466" s="2">
        <v>465</v>
      </c>
      <c r="B466" s="21" t="str">
        <f t="shared" si="113"/>
        <v>2.3.26b</v>
      </c>
      <c r="C466" s="2">
        <v>2</v>
      </c>
      <c r="D466" s="2">
        <v>3</v>
      </c>
      <c r="E466" s="2">
        <v>26</v>
      </c>
      <c r="F466" s="2" t="s">
        <v>92</v>
      </c>
      <c r="G466" s="2" t="s">
        <v>552</v>
      </c>
      <c r="H466" s="2">
        <v>5</v>
      </c>
      <c r="I466" s="19" t="str">
        <f t="shared" si="103"/>
        <v/>
      </c>
      <c r="J466" s="2" t="str">
        <f t="shared" si="104"/>
        <v/>
      </c>
      <c r="K466" s="2" t="str">
        <f t="shared" si="105"/>
        <v/>
      </c>
      <c r="L466" s="2" t="str">
        <f t="shared" si="106"/>
        <v/>
      </c>
      <c r="M466" s="2" t="str">
        <f t="shared" si="107"/>
        <v/>
      </c>
      <c r="N466" s="2">
        <f t="shared" si="108"/>
        <v>6</v>
      </c>
      <c r="O466" s="19">
        <f t="shared" si="109"/>
        <v>6</v>
      </c>
      <c r="Q466" s="2" t="str">
        <f t="shared" si="110"/>
        <v>26</v>
      </c>
      <c r="R466" s="21" t="str">
        <f t="shared" si="111"/>
        <v>2.3.26b</v>
      </c>
      <c r="S466" s="2" t="str">
        <f t="shared" si="112"/>
        <v/>
      </c>
      <c r="T466" s="2" t="str">
        <f t="shared" si="114"/>
        <v/>
      </c>
      <c r="U466" s="19" t="str">
        <f t="shared" si="115"/>
        <v/>
      </c>
    </row>
    <row r="467" spans="1:21" x14ac:dyDescent="0.2">
      <c r="A467" s="2">
        <v>466</v>
      </c>
      <c r="B467" s="21" t="str">
        <f t="shared" si="113"/>
        <v>2.3.27</v>
      </c>
      <c r="C467" s="2">
        <v>2</v>
      </c>
      <c r="D467" s="2">
        <v>3</v>
      </c>
      <c r="E467" s="2">
        <v>27</v>
      </c>
      <c r="F467" s="2" t="s">
        <v>84</v>
      </c>
      <c r="G467" s="2" t="s">
        <v>553</v>
      </c>
      <c r="H467" s="2" t="s">
        <v>89</v>
      </c>
      <c r="I467" s="19" t="str">
        <f t="shared" si="103"/>
        <v/>
      </c>
      <c r="J467" s="2" t="str">
        <f t="shared" si="104"/>
        <v/>
      </c>
      <c r="K467" s="2" t="str">
        <f t="shared" si="105"/>
        <v/>
      </c>
      <c r="L467" s="2">
        <f t="shared" si="106"/>
        <v>4</v>
      </c>
      <c r="M467" s="2" t="str">
        <f t="shared" si="107"/>
        <v/>
      </c>
      <c r="N467" s="2" t="str">
        <f t="shared" si="108"/>
        <v/>
      </c>
      <c r="O467" s="19">
        <f t="shared" si="109"/>
        <v>4</v>
      </c>
      <c r="Q467" s="2" t="str">
        <f t="shared" si="110"/>
        <v>27</v>
      </c>
      <c r="R467" s="21" t="str">
        <f t="shared" si="111"/>
        <v>2.3.27</v>
      </c>
      <c r="S467" s="2" t="str">
        <f t="shared" si="112"/>
        <v/>
      </c>
      <c r="T467" s="2" t="str">
        <f t="shared" si="114"/>
        <v/>
      </c>
      <c r="U467" s="19" t="str">
        <f t="shared" si="115"/>
        <v/>
      </c>
    </row>
    <row r="468" spans="1:21" x14ac:dyDescent="0.2">
      <c r="A468" s="2">
        <v>467</v>
      </c>
      <c r="B468" s="21" t="str">
        <f t="shared" si="113"/>
        <v>2.3.27a</v>
      </c>
      <c r="C468" s="2">
        <v>2</v>
      </c>
      <c r="D468" s="2">
        <v>3</v>
      </c>
      <c r="E468" s="2">
        <v>27</v>
      </c>
      <c r="F468" s="2" t="s">
        <v>90</v>
      </c>
      <c r="G468" s="2" t="s">
        <v>554</v>
      </c>
      <c r="H468" s="2">
        <v>5</v>
      </c>
      <c r="I468" s="19" t="str">
        <f t="shared" si="103"/>
        <v/>
      </c>
      <c r="J468" s="2" t="str">
        <f t="shared" si="104"/>
        <v/>
      </c>
      <c r="K468" s="2" t="str">
        <f t="shared" si="105"/>
        <v/>
      </c>
      <c r="L468" s="2" t="str">
        <f t="shared" si="106"/>
        <v/>
      </c>
      <c r="M468" s="2" t="str">
        <f t="shared" si="107"/>
        <v/>
      </c>
      <c r="N468" s="2">
        <f t="shared" si="108"/>
        <v>6</v>
      </c>
      <c r="O468" s="19">
        <f t="shared" si="109"/>
        <v>6</v>
      </c>
      <c r="Q468" s="2" t="str">
        <f t="shared" si="110"/>
        <v>27</v>
      </c>
      <c r="R468" s="21" t="str">
        <f t="shared" si="111"/>
        <v>2.3.27a</v>
      </c>
      <c r="S468" s="2" t="str">
        <f t="shared" si="112"/>
        <v/>
      </c>
      <c r="T468" s="2" t="str">
        <f t="shared" si="114"/>
        <v/>
      </c>
      <c r="U468" s="19" t="str">
        <f t="shared" si="115"/>
        <v/>
      </c>
    </row>
    <row r="469" spans="1:21" x14ac:dyDescent="0.2">
      <c r="A469" s="2">
        <v>468</v>
      </c>
      <c r="B469" s="21" t="str">
        <f t="shared" si="113"/>
        <v>2.3.27b</v>
      </c>
      <c r="C469" s="2">
        <v>2</v>
      </c>
      <c r="D469" s="2">
        <v>3</v>
      </c>
      <c r="E469" s="2">
        <v>27</v>
      </c>
      <c r="F469" s="2" t="s">
        <v>92</v>
      </c>
      <c r="G469" s="2" t="s">
        <v>555</v>
      </c>
      <c r="H469" s="2">
        <v>5</v>
      </c>
      <c r="I469" s="19" t="str">
        <f t="shared" si="103"/>
        <v/>
      </c>
      <c r="J469" s="2" t="str">
        <f t="shared" si="104"/>
        <v/>
      </c>
      <c r="K469" s="2" t="str">
        <f t="shared" si="105"/>
        <v/>
      </c>
      <c r="L469" s="2" t="str">
        <f t="shared" si="106"/>
        <v/>
      </c>
      <c r="M469" s="2" t="str">
        <f t="shared" si="107"/>
        <v/>
      </c>
      <c r="N469" s="2">
        <f t="shared" si="108"/>
        <v>6</v>
      </c>
      <c r="O469" s="19">
        <f t="shared" si="109"/>
        <v>6</v>
      </c>
      <c r="Q469" s="2" t="str">
        <f t="shared" si="110"/>
        <v>27</v>
      </c>
      <c r="R469" s="21" t="str">
        <f t="shared" si="111"/>
        <v>2.3.27b</v>
      </c>
      <c r="S469" s="2" t="str">
        <f t="shared" si="112"/>
        <v/>
      </c>
      <c r="T469" s="2" t="str">
        <f t="shared" si="114"/>
        <v/>
      </c>
      <c r="U469" s="19" t="str">
        <f t="shared" si="115"/>
        <v/>
      </c>
    </row>
    <row r="470" spans="1:21" x14ac:dyDescent="0.2">
      <c r="A470" s="2">
        <v>469</v>
      </c>
      <c r="B470" s="21" t="str">
        <f t="shared" si="113"/>
        <v>2.4</v>
      </c>
      <c r="C470" s="2">
        <v>2</v>
      </c>
      <c r="D470" s="2">
        <v>4</v>
      </c>
      <c r="E470" s="2" t="s">
        <v>84</v>
      </c>
      <c r="F470" s="2" t="s">
        <v>84</v>
      </c>
      <c r="G470" s="2" t="s">
        <v>556</v>
      </c>
      <c r="H470" s="2" t="s">
        <v>84</v>
      </c>
      <c r="I470" s="19" t="str">
        <f t="shared" si="103"/>
        <v/>
      </c>
      <c r="J470" s="2">
        <f t="shared" si="104"/>
        <v>2</v>
      </c>
      <c r="K470" s="2" t="str">
        <f t="shared" si="105"/>
        <v/>
      </c>
      <c r="L470" s="2" t="str">
        <f t="shared" si="106"/>
        <v/>
      </c>
      <c r="M470" s="2" t="str">
        <f t="shared" si="107"/>
        <v/>
      </c>
      <c r="N470" s="2" t="str">
        <f t="shared" si="108"/>
        <v/>
      </c>
      <c r="O470" s="19">
        <f t="shared" si="109"/>
        <v>2</v>
      </c>
      <c r="Q470" s="2" t="str">
        <f t="shared" si="110"/>
        <v/>
      </c>
      <c r="R470" s="21" t="str">
        <f t="shared" si="111"/>
        <v>2.4</v>
      </c>
      <c r="S470" s="2" t="str">
        <f t="shared" ref="S470" si="116">IF(O470=O469,IF(NOT(R470&gt;R469),1,""),"")</f>
        <v/>
      </c>
      <c r="T470" s="2" t="str">
        <f t="shared" ref="T470" si="117">IF(NOT(R470&gt;R469),1,"")</f>
        <v/>
      </c>
      <c r="U470" s="19" t="str">
        <f t="shared" si="115"/>
        <v/>
      </c>
    </row>
    <row r="471" spans="1:21" x14ac:dyDescent="0.2">
      <c r="A471" s="2">
        <v>470</v>
      </c>
      <c r="B471" s="21" t="str">
        <f t="shared" si="113"/>
        <v/>
      </c>
      <c r="C471" s="2" t="s">
        <v>84</v>
      </c>
      <c r="D471" s="2" t="s">
        <v>84</v>
      </c>
      <c r="E471" s="2" t="s">
        <v>84</v>
      </c>
      <c r="F471" s="2" t="s">
        <v>84</v>
      </c>
      <c r="G471" s="2" t="s">
        <v>557</v>
      </c>
      <c r="H471" s="2" t="s">
        <v>84</v>
      </c>
      <c r="I471" s="19" t="str">
        <f t="shared" si="103"/>
        <v/>
      </c>
      <c r="J471" s="2" t="str">
        <f t="shared" si="104"/>
        <v/>
      </c>
      <c r="K471" s="2">
        <f t="shared" si="105"/>
        <v>3</v>
      </c>
      <c r="L471" s="2" t="str">
        <f t="shared" si="106"/>
        <v/>
      </c>
      <c r="M471" s="2" t="str">
        <f t="shared" si="107"/>
        <v/>
      </c>
      <c r="N471" s="2" t="str">
        <f t="shared" si="108"/>
        <v/>
      </c>
      <c r="O471" s="19">
        <f t="shared" si="109"/>
        <v>3</v>
      </c>
      <c r="Q471" s="2" t="str">
        <f t="shared" si="110"/>
        <v/>
      </c>
      <c r="R471" s="21" t="str">
        <f t="shared" si="111"/>
        <v/>
      </c>
      <c r="S471" s="2" t="str">
        <f t="shared" si="112"/>
        <v/>
      </c>
      <c r="T471" s="2">
        <f t="shared" si="114"/>
        <v>1</v>
      </c>
      <c r="U471" s="19" t="str">
        <f t="shared" si="115"/>
        <v/>
      </c>
    </row>
    <row r="472" spans="1:21" x14ac:dyDescent="0.2">
      <c r="A472" s="2">
        <v>471</v>
      </c>
      <c r="B472" s="21" t="str">
        <f t="shared" si="113"/>
        <v>2.4.01</v>
      </c>
      <c r="C472" s="2">
        <v>2</v>
      </c>
      <c r="D472" s="2">
        <v>4</v>
      </c>
      <c r="E472" s="2">
        <v>1</v>
      </c>
      <c r="F472" s="2" t="s">
        <v>84</v>
      </c>
      <c r="G472" s="2" t="s">
        <v>558</v>
      </c>
      <c r="H472" s="2">
        <v>1</v>
      </c>
      <c r="I472" s="19" t="str">
        <f t="shared" si="103"/>
        <v/>
      </c>
      <c r="J472" s="2" t="str">
        <f t="shared" si="104"/>
        <v/>
      </c>
      <c r="K472" s="2" t="str">
        <f t="shared" si="105"/>
        <v/>
      </c>
      <c r="L472" s="2" t="str">
        <f t="shared" si="106"/>
        <v/>
      </c>
      <c r="M472" s="2">
        <f t="shared" si="107"/>
        <v>5</v>
      </c>
      <c r="N472" s="2" t="str">
        <f t="shared" si="108"/>
        <v/>
      </c>
      <c r="O472" s="19">
        <f t="shared" si="109"/>
        <v>5</v>
      </c>
      <c r="Q472" s="2" t="str">
        <f t="shared" si="110"/>
        <v>01</v>
      </c>
      <c r="R472" s="21" t="str">
        <f t="shared" si="111"/>
        <v>2.4.01</v>
      </c>
      <c r="S472" s="2" t="str">
        <f t="shared" si="112"/>
        <v/>
      </c>
      <c r="T472" s="2" t="str">
        <f t="shared" si="114"/>
        <v/>
      </c>
      <c r="U472" s="19" t="str">
        <f t="shared" si="115"/>
        <v/>
      </c>
    </row>
    <row r="473" spans="1:21" x14ac:dyDescent="0.2">
      <c r="A473" s="2">
        <v>472</v>
      </c>
      <c r="B473" s="21" t="str">
        <f t="shared" si="113"/>
        <v>2.4.02</v>
      </c>
      <c r="C473" s="2">
        <v>2</v>
      </c>
      <c r="D473" s="2">
        <v>4</v>
      </c>
      <c r="E473" s="2">
        <v>2</v>
      </c>
      <c r="F473" s="2" t="s">
        <v>84</v>
      </c>
      <c r="G473" s="2" t="s">
        <v>559</v>
      </c>
      <c r="H473" s="2" t="s">
        <v>89</v>
      </c>
      <c r="I473" s="19" t="str">
        <f t="shared" si="103"/>
        <v/>
      </c>
      <c r="J473" s="2" t="str">
        <f t="shared" si="104"/>
        <v/>
      </c>
      <c r="K473" s="2" t="str">
        <f t="shared" si="105"/>
        <v/>
      </c>
      <c r="L473" s="2">
        <f t="shared" si="106"/>
        <v>4</v>
      </c>
      <c r="M473" s="2" t="str">
        <f t="shared" si="107"/>
        <v/>
      </c>
      <c r="N473" s="2" t="str">
        <f t="shared" si="108"/>
        <v/>
      </c>
      <c r="O473" s="19">
        <f t="shared" si="109"/>
        <v>4</v>
      </c>
      <c r="Q473" s="2" t="str">
        <f t="shared" si="110"/>
        <v>02</v>
      </c>
      <c r="R473" s="21" t="str">
        <f t="shared" si="111"/>
        <v>2.4.02</v>
      </c>
      <c r="S473" s="2" t="str">
        <f t="shared" si="112"/>
        <v/>
      </c>
      <c r="T473" s="2" t="str">
        <f t="shared" si="114"/>
        <v/>
      </c>
      <c r="U473" s="19" t="str">
        <f t="shared" si="115"/>
        <v/>
      </c>
    </row>
    <row r="474" spans="1:21" x14ac:dyDescent="0.2">
      <c r="A474" s="2">
        <v>473</v>
      </c>
      <c r="B474" s="21" t="str">
        <f t="shared" si="113"/>
        <v>2.4.02a</v>
      </c>
      <c r="C474" s="2">
        <v>2</v>
      </c>
      <c r="D474" s="2">
        <v>4</v>
      </c>
      <c r="E474" s="2">
        <v>2</v>
      </c>
      <c r="F474" s="2" t="s">
        <v>90</v>
      </c>
      <c r="G474" s="2" t="s">
        <v>560</v>
      </c>
      <c r="H474" s="2">
        <v>2</v>
      </c>
      <c r="I474" s="19" t="str">
        <f t="shared" si="103"/>
        <v/>
      </c>
      <c r="J474" s="2" t="str">
        <f t="shared" si="104"/>
        <v/>
      </c>
      <c r="K474" s="2" t="str">
        <f t="shared" si="105"/>
        <v/>
      </c>
      <c r="L474" s="2" t="str">
        <f t="shared" si="106"/>
        <v/>
      </c>
      <c r="M474" s="2" t="str">
        <f t="shared" si="107"/>
        <v/>
      </c>
      <c r="N474" s="2">
        <f t="shared" si="108"/>
        <v>6</v>
      </c>
      <c r="O474" s="19">
        <f t="shared" si="109"/>
        <v>6</v>
      </c>
      <c r="Q474" s="2" t="str">
        <f t="shared" si="110"/>
        <v>02</v>
      </c>
      <c r="R474" s="21" t="str">
        <f t="shared" si="111"/>
        <v>2.4.02a</v>
      </c>
      <c r="S474" s="2" t="str">
        <f t="shared" si="112"/>
        <v/>
      </c>
      <c r="T474" s="2" t="str">
        <f t="shared" si="114"/>
        <v/>
      </c>
      <c r="U474" s="19" t="str">
        <f t="shared" si="115"/>
        <v/>
      </c>
    </row>
    <row r="475" spans="1:21" x14ac:dyDescent="0.2">
      <c r="A475" s="2">
        <v>474</v>
      </c>
      <c r="B475" s="21" t="str">
        <f t="shared" si="113"/>
        <v>2.4.02b</v>
      </c>
      <c r="C475" s="2">
        <v>2</v>
      </c>
      <c r="D475" s="2">
        <v>4</v>
      </c>
      <c r="E475" s="2">
        <v>2</v>
      </c>
      <c r="F475" s="2" t="s">
        <v>92</v>
      </c>
      <c r="G475" s="2" t="s">
        <v>561</v>
      </c>
      <c r="H475" s="2">
        <v>2</v>
      </c>
      <c r="I475" s="19" t="str">
        <f t="shared" si="103"/>
        <v/>
      </c>
      <c r="J475" s="2" t="str">
        <f t="shared" si="104"/>
        <v/>
      </c>
      <c r="K475" s="2" t="str">
        <f t="shared" si="105"/>
        <v/>
      </c>
      <c r="L475" s="2" t="str">
        <f t="shared" si="106"/>
        <v/>
      </c>
      <c r="M475" s="2" t="str">
        <f t="shared" si="107"/>
        <v/>
      </c>
      <c r="N475" s="2">
        <f t="shared" si="108"/>
        <v>6</v>
      </c>
      <c r="O475" s="19">
        <f t="shared" si="109"/>
        <v>6</v>
      </c>
      <c r="Q475" s="2" t="str">
        <f t="shared" si="110"/>
        <v>02</v>
      </c>
      <c r="R475" s="21" t="str">
        <f t="shared" si="111"/>
        <v>2.4.02b</v>
      </c>
      <c r="S475" s="2" t="str">
        <f t="shared" si="112"/>
        <v/>
      </c>
      <c r="T475" s="2" t="str">
        <f t="shared" si="114"/>
        <v/>
      </c>
      <c r="U475" s="19" t="str">
        <f t="shared" si="115"/>
        <v/>
      </c>
    </row>
    <row r="476" spans="1:21" x14ac:dyDescent="0.2">
      <c r="A476" s="2">
        <v>475</v>
      </c>
      <c r="B476" s="21" t="str">
        <f t="shared" si="113"/>
        <v>2.4.02c</v>
      </c>
      <c r="C476" s="2">
        <v>2</v>
      </c>
      <c r="D476" s="2">
        <v>4</v>
      </c>
      <c r="E476" s="2">
        <v>2</v>
      </c>
      <c r="F476" s="2" t="s">
        <v>94</v>
      </c>
      <c r="G476" s="2" t="s">
        <v>562</v>
      </c>
      <c r="H476" s="2">
        <v>3</v>
      </c>
      <c r="I476" s="19" t="str">
        <f t="shared" si="103"/>
        <v/>
      </c>
      <c r="J476" s="2" t="str">
        <f t="shared" si="104"/>
        <v/>
      </c>
      <c r="K476" s="2" t="str">
        <f t="shared" si="105"/>
        <v/>
      </c>
      <c r="L476" s="2" t="str">
        <f t="shared" si="106"/>
        <v/>
      </c>
      <c r="M476" s="2" t="str">
        <f t="shared" si="107"/>
        <v/>
      </c>
      <c r="N476" s="2">
        <f t="shared" si="108"/>
        <v>6</v>
      </c>
      <c r="O476" s="19">
        <f t="shared" si="109"/>
        <v>6</v>
      </c>
      <c r="Q476" s="2" t="str">
        <f t="shared" si="110"/>
        <v>02</v>
      </c>
      <c r="R476" s="21" t="str">
        <f t="shared" si="111"/>
        <v>2.4.02c</v>
      </c>
      <c r="S476" s="2" t="str">
        <f t="shared" si="112"/>
        <v/>
      </c>
      <c r="T476" s="2" t="str">
        <f t="shared" si="114"/>
        <v/>
      </c>
      <c r="U476" s="19" t="str">
        <f t="shared" si="115"/>
        <v/>
      </c>
    </row>
    <row r="477" spans="1:21" x14ac:dyDescent="0.2">
      <c r="A477" s="2">
        <v>476</v>
      </c>
      <c r="B477" s="21" t="str">
        <f t="shared" si="113"/>
        <v>2.4.02d</v>
      </c>
      <c r="C477" s="2">
        <v>2</v>
      </c>
      <c r="D477" s="2">
        <v>4</v>
      </c>
      <c r="E477" s="2">
        <v>2</v>
      </c>
      <c r="F477" s="2" t="s">
        <v>112</v>
      </c>
      <c r="G477" s="12" t="s">
        <v>563</v>
      </c>
      <c r="H477" s="2">
        <v>3</v>
      </c>
      <c r="I477" s="19" t="str">
        <f t="shared" si="103"/>
        <v/>
      </c>
      <c r="J477" s="2" t="str">
        <f t="shared" si="104"/>
        <v/>
      </c>
      <c r="K477" s="2" t="str">
        <f t="shared" si="105"/>
        <v/>
      </c>
      <c r="L477" s="2" t="str">
        <f t="shared" si="106"/>
        <v/>
      </c>
      <c r="M477" s="2" t="str">
        <f t="shared" si="107"/>
        <v/>
      </c>
      <c r="N477" s="2">
        <f t="shared" si="108"/>
        <v>6</v>
      </c>
      <c r="O477" s="19">
        <f t="shared" si="109"/>
        <v>6</v>
      </c>
      <c r="Q477" s="2" t="str">
        <f t="shared" si="110"/>
        <v>02</v>
      </c>
      <c r="R477" s="21" t="str">
        <f t="shared" si="111"/>
        <v>2.4.02d</v>
      </c>
      <c r="S477" s="2" t="str">
        <f t="shared" si="112"/>
        <v/>
      </c>
      <c r="T477" s="2" t="str">
        <f t="shared" si="114"/>
        <v/>
      </c>
      <c r="U477" s="19" t="str">
        <f t="shared" si="115"/>
        <v/>
      </c>
    </row>
    <row r="478" spans="1:21" x14ac:dyDescent="0.2">
      <c r="A478" s="2">
        <v>477</v>
      </c>
      <c r="B478" s="21" t="str">
        <f t="shared" si="113"/>
        <v>2.4.02e</v>
      </c>
      <c r="C478" s="2">
        <v>2</v>
      </c>
      <c r="D478" s="2">
        <v>4</v>
      </c>
      <c r="E478" s="2">
        <v>2</v>
      </c>
      <c r="F478" s="2" t="s">
        <v>114</v>
      </c>
      <c r="G478" s="2" t="s">
        <v>564</v>
      </c>
      <c r="H478" s="2">
        <v>3</v>
      </c>
      <c r="I478" s="19" t="str">
        <f t="shared" si="103"/>
        <v/>
      </c>
      <c r="J478" s="2" t="str">
        <f t="shared" si="104"/>
        <v/>
      </c>
      <c r="K478" s="2" t="str">
        <f t="shared" si="105"/>
        <v/>
      </c>
      <c r="L478" s="2" t="str">
        <f t="shared" si="106"/>
        <v/>
      </c>
      <c r="M478" s="2" t="str">
        <f t="shared" si="107"/>
        <v/>
      </c>
      <c r="N478" s="2">
        <f t="shared" si="108"/>
        <v>6</v>
      </c>
      <c r="O478" s="19">
        <f t="shared" si="109"/>
        <v>6</v>
      </c>
      <c r="Q478" s="2" t="str">
        <f t="shared" si="110"/>
        <v>02</v>
      </c>
      <c r="R478" s="21" t="str">
        <f t="shared" si="111"/>
        <v>2.4.02e</v>
      </c>
      <c r="S478" s="2" t="str">
        <f t="shared" si="112"/>
        <v/>
      </c>
      <c r="T478" s="2" t="str">
        <f t="shared" si="114"/>
        <v/>
      </c>
      <c r="U478" s="19" t="str">
        <f t="shared" si="115"/>
        <v/>
      </c>
    </row>
    <row r="479" spans="1:21" x14ac:dyDescent="0.2">
      <c r="A479" s="2">
        <v>478</v>
      </c>
      <c r="B479" s="21" t="str">
        <f t="shared" si="113"/>
        <v>2.4.02f</v>
      </c>
      <c r="C479" s="2">
        <v>2</v>
      </c>
      <c r="D479" s="2">
        <v>4</v>
      </c>
      <c r="E479" s="2">
        <v>2</v>
      </c>
      <c r="F479" s="2" t="s">
        <v>129</v>
      </c>
      <c r="G479" s="12" t="s">
        <v>565</v>
      </c>
      <c r="H479" s="2">
        <v>3</v>
      </c>
      <c r="I479" s="19" t="str">
        <f t="shared" si="103"/>
        <v/>
      </c>
      <c r="J479" s="2" t="str">
        <f t="shared" si="104"/>
        <v/>
      </c>
      <c r="K479" s="2" t="str">
        <f t="shared" si="105"/>
        <v/>
      </c>
      <c r="L479" s="2" t="str">
        <f t="shared" si="106"/>
        <v/>
      </c>
      <c r="M479" s="2" t="str">
        <f t="shared" si="107"/>
        <v/>
      </c>
      <c r="N479" s="2">
        <f t="shared" si="108"/>
        <v>6</v>
      </c>
      <c r="O479" s="19">
        <f t="shared" si="109"/>
        <v>6</v>
      </c>
      <c r="Q479" s="2" t="str">
        <f t="shared" si="110"/>
        <v>02</v>
      </c>
      <c r="R479" s="21" t="str">
        <f t="shared" si="111"/>
        <v>2.4.02f</v>
      </c>
      <c r="S479" s="2" t="str">
        <f t="shared" si="112"/>
        <v/>
      </c>
      <c r="T479" s="2" t="str">
        <f t="shared" si="114"/>
        <v/>
      </c>
      <c r="U479" s="19" t="str">
        <f t="shared" si="115"/>
        <v/>
      </c>
    </row>
    <row r="480" spans="1:21" x14ac:dyDescent="0.2">
      <c r="A480" s="2">
        <v>479</v>
      </c>
      <c r="B480" s="21" t="str">
        <f t="shared" si="113"/>
        <v>2.4.02g</v>
      </c>
      <c r="C480" s="2">
        <v>2</v>
      </c>
      <c r="D480" s="2">
        <v>4</v>
      </c>
      <c r="E480" s="2">
        <v>2</v>
      </c>
      <c r="F480" s="2" t="s">
        <v>206</v>
      </c>
      <c r="G480" s="2" t="s">
        <v>566</v>
      </c>
      <c r="H480" s="2">
        <v>3</v>
      </c>
      <c r="I480" s="19" t="str">
        <f t="shared" si="103"/>
        <v/>
      </c>
      <c r="J480" s="2" t="str">
        <f t="shared" si="104"/>
        <v/>
      </c>
      <c r="K480" s="2" t="str">
        <f t="shared" si="105"/>
        <v/>
      </c>
      <c r="L480" s="2" t="str">
        <f t="shared" si="106"/>
        <v/>
      </c>
      <c r="M480" s="2" t="str">
        <f t="shared" si="107"/>
        <v/>
      </c>
      <c r="N480" s="2">
        <f t="shared" si="108"/>
        <v>6</v>
      </c>
      <c r="O480" s="19">
        <f t="shared" si="109"/>
        <v>6</v>
      </c>
      <c r="Q480" s="2" t="str">
        <f t="shared" si="110"/>
        <v>02</v>
      </c>
      <c r="R480" s="21" t="str">
        <f t="shared" si="111"/>
        <v>2.4.02g</v>
      </c>
      <c r="S480" s="2" t="str">
        <f t="shared" si="112"/>
        <v/>
      </c>
      <c r="T480" s="2" t="str">
        <f t="shared" si="114"/>
        <v/>
      </c>
      <c r="U480" s="19" t="str">
        <f t="shared" si="115"/>
        <v/>
      </c>
    </row>
    <row r="481" spans="1:21" x14ac:dyDescent="0.2">
      <c r="A481" s="2">
        <v>480</v>
      </c>
      <c r="B481" s="21" t="str">
        <f t="shared" si="113"/>
        <v>2.4.02h</v>
      </c>
      <c r="C481" s="2">
        <v>2</v>
      </c>
      <c r="D481" s="2">
        <v>4</v>
      </c>
      <c r="E481" s="2">
        <v>2</v>
      </c>
      <c r="F481" s="2" t="s">
        <v>208</v>
      </c>
      <c r="G481" s="2" t="s">
        <v>567</v>
      </c>
      <c r="H481" s="2">
        <v>3</v>
      </c>
      <c r="I481" s="19" t="str">
        <f t="shared" si="103"/>
        <v/>
      </c>
      <c r="J481" s="2" t="str">
        <f t="shared" si="104"/>
        <v/>
      </c>
      <c r="K481" s="2" t="str">
        <f t="shared" si="105"/>
        <v/>
      </c>
      <c r="L481" s="2" t="str">
        <f t="shared" si="106"/>
        <v/>
      </c>
      <c r="M481" s="2" t="str">
        <f t="shared" si="107"/>
        <v/>
      </c>
      <c r="N481" s="2">
        <f t="shared" si="108"/>
        <v>6</v>
      </c>
      <c r="O481" s="19">
        <f t="shared" si="109"/>
        <v>6</v>
      </c>
      <c r="Q481" s="2" t="str">
        <f t="shared" si="110"/>
        <v>02</v>
      </c>
      <c r="R481" s="21" t="str">
        <f t="shared" si="111"/>
        <v>2.4.02h</v>
      </c>
      <c r="S481" s="2" t="str">
        <f t="shared" si="112"/>
        <v/>
      </c>
      <c r="T481" s="2" t="str">
        <f t="shared" si="114"/>
        <v/>
      </c>
      <c r="U481" s="19" t="str">
        <f t="shared" si="115"/>
        <v/>
      </c>
    </row>
    <row r="482" spans="1:21" x14ac:dyDescent="0.2">
      <c r="A482" s="2">
        <v>481</v>
      </c>
      <c r="B482" s="21" t="str">
        <f t="shared" si="113"/>
        <v>2.4.03</v>
      </c>
      <c r="C482" s="2">
        <v>2</v>
      </c>
      <c r="D482" s="2">
        <v>4</v>
      </c>
      <c r="E482" s="2">
        <v>3</v>
      </c>
      <c r="F482" s="2" t="s">
        <v>84</v>
      </c>
      <c r="G482" s="2" t="s">
        <v>568</v>
      </c>
      <c r="H482" s="2" t="s">
        <v>89</v>
      </c>
      <c r="I482" s="19" t="str">
        <f t="shared" si="103"/>
        <v/>
      </c>
      <c r="J482" s="2" t="str">
        <f t="shared" si="104"/>
        <v/>
      </c>
      <c r="K482" s="2" t="str">
        <f t="shared" si="105"/>
        <v/>
      </c>
      <c r="L482" s="2">
        <f t="shared" si="106"/>
        <v>4</v>
      </c>
      <c r="M482" s="2" t="str">
        <f t="shared" si="107"/>
        <v/>
      </c>
      <c r="N482" s="2" t="str">
        <f t="shared" si="108"/>
        <v/>
      </c>
      <c r="O482" s="19">
        <f t="shared" si="109"/>
        <v>4</v>
      </c>
      <c r="Q482" s="2" t="str">
        <f t="shared" si="110"/>
        <v>03</v>
      </c>
      <c r="R482" s="21" t="str">
        <f t="shared" si="111"/>
        <v>2.4.03</v>
      </c>
      <c r="S482" s="2" t="str">
        <f t="shared" si="112"/>
        <v/>
      </c>
      <c r="T482" s="2" t="str">
        <f t="shared" si="114"/>
        <v/>
      </c>
      <c r="U482" s="19" t="str">
        <f t="shared" si="115"/>
        <v/>
      </c>
    </row>
    <row r="483" spans="1:21" x14ac:dyDescent="0.2">
      <c r="A483" s="2">
        <v>482</v>
      </c>
      <c r="B483" s="21" t="str">
        <f t="shared" si="113"/>
        <v>2.4.03a</v>
      </c>
      <c r="C483" s="2">
        <v>2</v>
      </c>
      <c r="D483" s="2">
        <v>4</v>
      </c>
      <c r="E483" s="2">
        <v>3</v>
      </c>
      <c r="F483" s="2" t="s">
        <v>90</v>
      </c>
      <c r="G483" s="2" t="s">
        <v>569</v>
      </c>
      <c r="H483" s="2">
        <v>2</v>
      </c>
      <c r="I483" s="19" t="str">
        <f t="shared" si="103"/>
        <v/>
      </c>
      <c r="J483" s="2" t="str">
        <f t="shared" si="104"/>
        <v/>
      </c>
      <c r="K483" s="2" t="str">
        <f t="shared" si="105"/>
        <v/>
      </c>
      <c r="L483" s="2" t="str">
        <f t="shared" si="106"/>
        <v/>
      </c>
      <c r="M483" s="2" t="str">
        <f t="shared" si="107"/>
        <v/>
      </c>
      <c r="N483" s="2">
        <f t="shared" si="108"/>
        <v>6</v>
      </c>
      <c r="O483" s="19">
        <f t="shared" si="109"/>
        <v>6</v>
      </c>
      <c r="Q483" s="2" t="str">
        <f t="shared" si="110"/>
        <v>03</v>
      </c>
      <c r="R483" s="21" t="str">
        <f t="shared" si="111"/>
        <v>2.4.03a</v>
      </c>
      <c r="S483" s="2" t="str">
        <f t="shared" si="112"/>
        <v/>
      </c>
      <c r="T483" s="2" t="str">
        <f t="shared" si="114"/>
        <v/>
      </c>
      <c r="U483" s="19" t="str">
        <f t="shared" si="115"/>
        <v/>
      </c>
    </row>
    <row r="484" spans="1:21" x14ac:dyDescent="0.2">
      <c r="A484" s="2">
        <v>483</v>
      </c>
      <c r="B484" s="21" t="str">
        <f t="shared" si="113"/>
        <v>2.4.03b</v>
      </c>
      <c r="C484" s="2">
        <v>2</v>
      </c>
      <c r="D484" s="2">
        <v>4</v>
      </c>
      <c r="E484" s="2">
        <v>3</v>
      </c>
      <c r="F484" s="2" t="s">
        <v>92</v>
      </c>
      <c r="G484" s="2" t="s">
        <v>570</v>
      </c>
      <c r="H484" s="2">
        <v>2</v>
      </c>
      <c r="I484" s="19" t="str">
        <f t="shared" si="103"/>
        <v/>
      </c>
      <c r="J484" s="2" t="str">
        <f t="shared" si="104"/>
        <v/>
      </c>
      <c r="K484" s="2" t="str">
        <f t="shared" si="105"/>
        <v/>
      </c>
      <c r="L484" s="2" t="str">
        <f t="shared" si="106"/>
        <v/>
      </c>
      <c r="M484" s="2" t="str">
        <f t="shared" si="107"/>
        <v/>
      </c>
      <c r="N484" s="2">
        <f t="shared" si="108"/>
        <v>6</v>
      </c>
      <c r="O484" s="19">
        <f t="shared" si="109"/>
        <v>6</v>
      </c>
      <c r="Q484" s="2" t="str">
        <f t="shared" si="110"/>
        <v>03</v>
      </c>
      <c r="R484" s="21" t="str">
        <f t="shared" si="111"/>
        <v>2.4.03b</v>
      </c>
      <c r="S484" s="2" t="str">
        <f t="shared" si="112"/>
        <v/>
      </c>
      <c r="T484" s="2" t="str">
        <f t="shared" si="114"/>
        <v/>
      </c>
      <c r="U484" s="19" t="str">
        <f t="shared" si="115"/>
        <v/>
      </c>
    </row>
    <row r="485" spans="1:21" x14ac:dyDescent="0.2">
      <c r="A485" s="2">
        <v>484</v>
      </c>
      <c r="B485" s="21" t="str">
        <f t="shared" si="113"/>
        <v>2.4.03c</v>
      </c>
      <c r="C485" s="2">
        <v>2</v>
      </c>
      <c r="D485" s="2">
        <v>4</v>
      </c>
      <c r="E485" s="2">
        <v>3</v>
      </c>
      <c r="F485" s="2" t="s">
        <v>94</v>
      </c>
      <c r="G485" s="2" t="s">
        <v>571</v>
      </c>
      <c r="H485" s="2">
        <v>3</v>
      </c>
      <c r="I485" s="19" t="str">
        <f t="shared" si="103"/>
        <v/>
      </c>
      <c r="J485" s="2" t="str">
        <f t="shared" si="104"/>
        <v/>
      </c>
      <c r="K485" s="2" t="str">
        <f t="shared" si="105"/>
        <v/>
      </c>
      <c r="L485" s="2" t="str">
        <f t="shared" si="106"/>
        <v/>
      </c>
      <c r="M485" s="2" t="str">
        <f t="shared" si="107"/>
        <v/>
      </c>
      <c r="N485" s="2">
        <f t="shared" si="108"/>
        <v>6</v>
      </c>
      <c r="O485" s="19">
        <f t="shared" si="109"/>
        <v>6</v>
      </c>
      <c r="Q485" s="2" t="str">
        <f t="shared" si="110"/>
        <v>03</v>
      </c>
      <c r="R485" s="21" t="str">
        <f t="shared" si="111"/>
        <v>2.4.03c</v>
      </c>
      <c r="S485" s="2" t="str">
        <f t="shared" si="112"/>
        <v/>
      </c>
      <c r="T485" s="2" t="str">
        <f t="shared" si="114"/>
        <v/>
      </c>
      <c r="U485" s="19" t="str">
        <f t="shared" si="115"/>
        <v/>
      </c>
    </row>
    <row r="486" spans="1:21" x14ac:dyDescent="0.2">
      <c r="A486" s="2">
        <v>485</v>
      </c>
      <c r="B486" s="21" t="str">
        <f t="shared" si="113"/>
        <v>2.4.03d</v>
      </c>
      <c r="C486" s="2">
        <v>2</v>
      </c>
      <c r="D486" s="2">
        <v>4</v>
      </c>
      <c r="E486" s="2">
        <v>3</v>
      </c>
      <c r="F486" s="2" t="s">
        <v>112</v>
      </c>
      <c r="G486" s="2" t="s">
        <v>572</v>
      </c>
      <c r="H486" s="2">
        <v>5</v>
      </c>
      <c r="I486" s="19" t="str">
        <f t="shared" si="103"/>
        <v/>
      </c>
      <c r="J486" s="2" t="str">
        <f t="shared" si="104"/>
        <v/>
      </c>
      <c r="K486" s="2" t="str">
        <f t="shared" si="105"/>
        <v/>
      </c>
      <c r="L486" s="2" t="str">
        <f t="shared" si="106"/>
        <v/>
      </c>
      <c r="M486" s="2" t="str">
        <f t="shared" si="107"/>
        <v/>
      </c>
      <c r="N486" s="2">
        <f t="shared" si="108"/>
        <v>6</v>
      </c>
      <c r="O486" s="19">
        <f t="shared" si="109"/>
        <v>6</v>
      </c>
      <c r="Q486" s="2" t="str">
        <f t="shared" si="110"/>
        <v>03</v>
      </c>
      <c r="R486" s="21" t="str">
        <f t="shared" si="111"/>
        <v>2.4.03d</v>
      </c>
      <c r="S486" s="2" t="str">
        <f t="shared" si="112"/>
        <v/>
      </c>
      <c r="T486" s="2" t="str">
        <f t="shared" si="114"/>
        <v/>
      </c>
      <c r="U486" s="19" t="str">
        <f t="shared" si="115"/>
        <v/>
      </c>
    </row>
    <row r="487" spans="1:21" x14ac:dyDescent="0.2">
      <c r="A487" s="2">
        <v>486</v>
      </c>
      <c r="B487" s="21" t="str">
        <f t="shared" si="113"/>
        <v>2.4.03e</v>
      </c>
      <c r="C487" s="2">
        <v>2</v>
      </c>
      <c r="D487" s="2">
        <v>4</v>
      </c>
      <c r="E487" s="2">
        <v>3</v>
      </c>
      <c r="F487" s="2" t="s">
        <v>114</v>
      </c>
      <c r="G487" s="2" t="s">
        <v>573</v>
      </c>
      <c r="H487" s="2">
        <v>5</v>
      </c>
      <c r="I487" s="19" t="str">
        <f t="shared" si="103"/>
        <v/>
      </c>
      <c r="J487" s="2" t="str">
        <f t="shared" si="104"/>
        <v/>
      </c>
      <c r="K487" s="2" t="str">
        <f t="shared" si="105"/>
        <v/>
      </c>
      <c r="L487" s="2" t="str">
        <f t="shared" si="106"/>
        <v/>
      </c>
      <c r="M487" s="2" t="str">
        <f t="shared" si="107"/>
        <v/>
      </c>
      <c r="N487" s="2">
        <f t="shared" si="108"/>
        <v>6</v>
      </c>
      <c r="O487" s="19">
        <f t="shared" si="109"/>
        <v>6</v>
      </c>
      <c r="Q487" s="2" t="str">
        <f t="shared" si="110"/>
        <v>03</v>
      </c>
      <c r="R487" s="21" t="str">
        <f t="shared" si="111"/>
        <v>2.4.03e</v>
      </c>
      <c r="S487" s="2" t="str">
        <f t="shared" si="112"/>
        <v/>
      </c>
      <c r="T487" s="2" t="str">
        <f t="shared" si="114"/>
        <v/>
      </c>
      <c r="U487" s="19" t="str">
        <f t="shared" si="115"/>
        <v/>
      </c>
    </row>
    <row r="488" spans="1:21" x14ac:dyDescent="0.2">
      <c r="A488" s="2">
        <v>487</v>
      </c>
      <c r="B488" s="21" t="str">
        <f t="shared" si="113"/>
        <v>2.4.03f</v>
      </c>
      <c r="C488" s="2">
        <v>2</v>
      </c>
      <c r="D488" s="2">
        <v>4</v>
      </c>
      <c r="E488" s="2">
        <v>3</v>
      </c>
      <c r="F488" s="2" t="s">
        <v>129</v>
      </c>
      <c r="G488" s="2" t="s">
        <v>574</v>
      </c>
      <c r="H488" s="2">
        <v>4</v>
      </c>
      <c r="I488" s="19" t="str">
        <f t="shared" si="103"/>
        <v/>
      </c>
      <c r="J488" s="2" t="str">
        <f t="shared" si="104"/>
        <v/>
      </c>
      <c r="K488" s="2" t="str">
        <f t="shared" si="105"/>
        <v/>
      </c>
      <c r="L488" s="2" t="str">
        <f t="shared" si="106"/>
        <v/>
      </c>
      <c r="M488" s="2" t="str">
        <f t="shared" si="107"/>
        <v/>
      </c>
      <c r="N488" s="2">
        <f t="shared" si="108"/>
        <v>6</v>
      </c>
      <c r="O488" s="19">
        <f t="shared" si="109"/>
        <v>6</v>
      </c>
      <c r="Q488" s="2" t="str">
        <f t="shared" si="110"/>
        <v>03</v>
      </c>
      <c r="R488" s="21" t="str">
        <f t="shared" si="111"/>
        <v>2.4.03f</v>
      </c>
      <c r="S488" s="2" t="str">
        <f t="shared" si="112"/>
        <v/>
      </c>
      <c r="T488" s="2" t="str">
        <f t="shared" si="114"/>
        <v/>
      </c>
      <c r="U488" s="19" t="str">
        <f t="shared" si="115"/>
        <v/>
      </c>
    </row>
    <row r="489" spans="1:21" x14ac:dyDescent="0.2">
      <c r="A489" s="2">
        <v>488</v>
      </c>
      <c r="B489" s="21" t="str">
        <f t="shared" si="113"/>
        <v/>
      </c>
      <c r="C489" s="2" t="s">
        <v>84</v>
      </c>
      <c r="D489" s="2" t="s">
        <v>84</v>
      </c>
      <c r="E489" s="2" t="s">
        <v>84</v>
      </c>
      <c r="F489" s="2" t="s">
        <v>84</v>
      </c>
      <c r="G489" s="2" t="s">
        <v>575</v>
      </c>
      <c r="H489" s="2" t="s">
        <v>84</v>
      </c>
      <c r="I489" s="19" t="str">
        <f t="shared" si="103"/>
        <v/>
      </c>
      <c r="J489" s="2" t="str">
        <f t="shared" si="104"/>
        <v/>
      </c>
      <c r="K489" s="2">
        <f t="shared" si="105"/>
        <v>3</v>
      </c>
      <c r="L489" s="2" t="str">
        <f t="shared" si="106"/>
        <v/>
      </c>
      <c r="M489" s="2" t="str">
        <f t="shared" si="107"/>
        <v/>
      </c>
      <c r="N489" s="2" t="str">
        <f t="shared" si="108"/>
        <v/>
      </c>
      <c r="O489" s="19">
        <f t="shared" si="109"/>
        <v>3</v>
      </c>
      <c r="Q489" s="2" t="str">
        <f t="shared" si="110"/>
        <v/>
      </c>
      <c r="R489" s="21" t="str">
        <f t="shared" si="111"/>
        <v/>
      </c>
      <c r="S489" s="2" t="str">
        <f t="shared" si="112"/>
        <v/>
      </c>
      <c r="T489" s="2">
        <f t="shared" si="114"/>
        <v>1</v>
      </c>
      <c r="U489" s="19" t="str">
        <f t="shared" si="115"/>
        <v/>
      </c>
    </row>
    <row r="490" spans="1:21" x14ac:dyDescent="0.2">
      <c r="A490" s="2">
        <v>489</v>
      </c>
      <c r="B490" s="21" t="str">
        <f t="shared" si="113"/>
        <v>2.4.04</v>
      </c>
      <c r="C490" s="2">
        <v>2</v>
      </c>
      <c r="D490" s="2">
        <v>4</v>
      </c>
      <c r="E490" s="2">
        <v>4</v>
      </c>
      <c r="F490" s="2" t="s">
        <v>84</v>
      </c>
      <c r="G490" s="2" t="s">
        <v>576</v>
      </c>
      <c r="H490" s="2">
        <v>2</v>
      </c>
      <c r="I490" s="19" t="str">
        <f t="shared" si="103"/>
        <v/>
      </c>
      <c r="J490" s="2" t="str">
        <f t="shared" si="104"/>
        <v/>
      </c>
      <c r="K490" s="2" t="str">
        <f t="shared" si="105"/>
        <v/>
      </c>
      <c r="L490" s="2" t="str">
        <f t="shared" si="106"/>
        <v/>
      </c>
      <c r="M490" s="2">
        <f t="shared" si="107"/>
        <v>5</v>
      </c>
      <c r="N490" s="2" t="str">
        <f t="shared" si="108"/>
        <v/>
      </c>
      <c r="O490" s="19">
        <f t="shared" si="109"/>
        <v>5</v>
      </c>
      <c r="Q490" s="2" t="str">
        <f t="shared" si="110"/>
        <v>04</v>
      </c>
      <c r="R490" s="21" t="str">
        <f t="shared" si="111"/>
        <v>2.4.04</v>
      </c>
      <c r="S490" s="2" t="str">
        <f t="shared" si="112"/>
        <v/>
      </c>
      <c r="T490" s="2" t="str">
        <f t="shared" si="114"/>
        <v/>
      </c>
      <c r="U490" s="19" t="str">
        <f t="shared" si="115"/>
        <v/>
      </c>
    </row>
    <row r="491" spans="1:21" x14ac:dyDescent="0.2">
      <c r="A491" s="2">
        <v>490</v>
      </c>
      <c r="B491" s="21" t="str">
        <f t="shared" si="113"/>
        <v>2.4.05</v>
      </c>
      <c r="C491" s="2">
        <v>2</v>
      </c>
      <c r="D491" s="2">
        <v>4</v>
      </c>
      <c r="E491" s="2">
        <v>5</v>
      </c>
      <c r="F491" s="2" t="s">
        <v>84</v>
      </c>
      <c r="G491" s="2" t="s">
        <v>577</v>
      </c>
      <c r="H491" s="2" t="s">
        <v>89</v>
      </c>
      <c r="I491" s="19" t="str">
        <f t="shared" si="103"/>
        <v/>
      </c>
      <c r="J491" s="2" t="str">
        <f t="shared" si="104"/>
        <v/>
      </c>
      <c r="K491" s="2" t="str">
        <f t="shared" si="105"/>
        <v/>
      </c>
      <c r="L491" s="2">
        <f t="shared" si="106"/>
        <v>4</v>
      </c>
      <c r="M491" s="2" t="str">
        <f t="shared" si="107"/>
        <v/>
      </c>
      <c r="N491" s="2" t="str">
        <f t="shared" si="108"/>
        <v/>
      </c>
      <c r="O491" s="19">
        <f t="shared" si="109"/>
        <v>4</v>
      </c>
      <c r="Q491" s="2" t="str">
        <f t="shared" si="110"/>
        <v>05</v>
      </c>
      <c r="R491" s="21" t="str">
        <f t="shared" si="111"/>
        <v>2.4.05</v>
      </c>
      <c r="S491" s="2" t="str">
        <f t="shared" si="112"/>
        <v/>
      </c>
      <c r="T491" s="2" t="str">
        <f t="shared" si="114"/>
        <v/>
      </c>
      <c r="U491" s="19" t="str">
        <f t="shared" si="115"/>
        <v/>
      </c>
    </row>
    <row r="492" spans="1:21" x14ac:dyDescent="0.2">
      <c r="A492" s="2">
        <v>491</v>
      </c>
      <c r="B492" s="21" t="str">
        <f t="shared" si="113"/>
        <v>2.4.05a</v>
      </c>
      <c r="C492" s="2">
        <v>2</v>
      </c>
      <c r="D492" s="2">
        <v>4</v>
      </c>
      <c r="E492" s="2">
        <v>5</v>
      </c>
      <c r="F492" s="2" t="s">
        <v>90</v>
      </c>
      <c r="G492" s="2" t="s">
        <v>239</v>
      </c>
      <c r="H492" s="2">
        <v>3</v>
      </c>
      <c r="I492" s="19" t="str">
        <f t="shared" si="103"/>
        <v/>
      </c>
      <c r="J492" s="2" t="str">
        <f t="shared" si="104"/>
        <v/>
      </c>
      <c r="K492" s="2" t="str">
        <f t="shared" si="105"/>
        <v/>
      </c>
      <c r="L492" s="2" t="str">
        <f t="shared" si="106"/>
        <v/>
      </c>
      <c r="M492" s="2" t="str">
        <f t="shared" si="107"/>
        <v/>
      </c>
      <c r="N492" s="2">
        <f t="shared" si="108"/>
        <v>6</v>
      </c>
      <c r="O492" s="19">
        <f t="shared" si="109"/>
        <v>6</v>
      </c>
      <c r="Q492" s="2" t="str">
        <f t="shared" si="110"/>
        <v>05</v>
      </c>
      <c r="R492" s="21" t="str">
        <f t="shared" si="111"/>
        <v>2.4.05a</v>
      </c>
      <c r="S492" s="2" t="str">
        <f t="shared" si="112"/>
        <v/>
      </c>
      <c r="T492" s="2" t="str">
        <f t="shared" si="114"/>
        <v/>
      </c>
      <c r="U492" s="19" t="str">
        <f t="shared" si="115"/>
        <v/>
      </c>
    </row>
    <row r="493" spans="1:21" x14ac:dyDescent="0.2">
      <c r="A493" s="2">
        <v>492</v>
      </c>
      <c r="B493" s="21" t="str">
        <f t="shared" si="113"/>
        <v>2.4.05b</v>
      </c>
      <c r="C493" s="2">
        <v>2</v>
      </c>
      <c r="D493" s="2">
        <v>4</v>
      </c>
      <c r="E493" s="2">
        <v>5</v>
      </c>
      <c r="F493" s="2" t="s">
        <v>92</v>
      </c>
      <c r="G493" s="2" t="s">
        <v>240</v>
      </c>
      <c r="H493" s="2">
        <v>3</v>
      </c>
      <c r="I493" s="19" t="str">
        <f t="shared" si="103"/>
        <v/>
      </c>
      <c r="J493" s="2" t="str">
        <f t="shared" si="104"/>
        <v/>
      </c>
      <c r="K493" s="2" t="str">
        <f t="shared" si="105"/>
        <v/>
      </c>
      <c r="L493" s="2" t="str">
        <f t="shared" si="106"/>
        <v/>
      </c>
      <c r="M493" s="2" t="str">
        <f t="shared" si="107"/>
        <v/>
      </c>
      <c r="N493" s="2">
        <f t="shared" si="108"/>
        <v>6</v>
      </c>
      <c r="O493" s="19">
        <f t="shared" si="109"/>
        <v>6</v>
      </c>
      <c r="Q493" s="2" t="str">
        <f t="shared" si="110"/>
        <v>05</v>
      </c>
      <c r="R493" s="21" t="str">
        <f t="shared" si="111"/>
        <v>2.4.05b</v>
      </c>
      <c r="S493" s="2" t="str">
        <f t="shared" si="112"/>
        <v/>
      </c>
      <c r="T493" s="2" t="str">
        <f t="shared" si="114"/>
        <v/>
      </c>
      <c r="U493" s="19" t="str">
        <f t="shared" si="115"/>
        <v/>
      </c>
    </row>
    <row r="494" spans="1:21" x14ac:dyDescent="0.2">
      <c r="A494" s="2">
        <v>493</v>
      </c>
      <c r="B494" s="21" t="str">
        <f t="shared" si="113"/>
        <v>2.4.05c</v>
      </c>
      <c r="C494" s="2">
        <v>2</v>
      </c>
      <c r="D494" s="2">
        <v>4</v>
      </c>
      <c r="E494" s="2">
        <v>5</v>
      </c>
      <c r="F494" s="2" t="s">
        <v>94</v>
      </c>
      <c r="G494" s="2" t="s">
        <v>241</v>
      </c>
      <c r="H494" s="2">
        <v>3</v>
      </c>
      <c r="I494" s="19" t="str">
        <f t="shared" si="103"/>
        <v/>
      </c>
      <c r="J494" s="2" t="str">
        <f t="shared" si="104"/>
        <v/>
      </c>
      <c r="K494" s="2" t="str">
        <f t="shared" si="105"/>
        <v/>
      </c>
      <c r="L494" s="2" t="str">
        <f t="shared" si="106"/>
        <v/>
      </c>
      <c r="M494" s="2" t="str">
        <f t="shared" si="107"/>
        <v/>
      </c>
      <c r="N494" s="2">
        <f t="shared" si="108"/>
        <v>6</v>
      </c>
      <c r="O494" s="19">
        <f t="shared" si="109"/>
        <v>6</v>
      </c>
      <c r="Q494" s="2" t="str">
        <f t="shared" si="110"/>
        <v>05</v>
      </c>
      <c r="R494" s="21" t="str">
        <f t="shared" si="111"/>
        <v>2.4.05c</v>
      </c>
      <c r="S494" s="2" t="str">
        <f t="shared" si="112"/>
        <v/>
      </c>
      <c r="T494" s="2" t="str">
        <f t="shared" si="114"/>
        <v/>
      </c>
      <c r="U494" s="19" t="str">
        <f t="shared" si="115"/>
        <v/>
      </c>
    </row>
    <row r="495" spans="1:21" x14ac:dyDescent="0.2">
      <c r="A495" s="2">
        <v>494</v>
      </c>
      <c r="B495" s="21" t="str">
        <f t="shared" si="113"/>
        <v>2.4.06</v>
      </c>
      <c r="C495" s="2">
        <v>2</v>
      </c>
      <c r="D495" s="2">
        <v>4</v>
      </c>
      <c r="E495" s="2">
        <v>6</v>
      </c>
      <c r="F495" s="2" t="s">
        <v>84</v>
      </c>
      <c r="G495" s="2" t="s">
        <v>578</v>
      </c>
      <c r="H495" s="2" t="s">
        <v>89</v>
      </c>
      <c r="I495" s="19" t="str">
        <f t="shared" si="103"/>
        <v/>
      </c>
      <c r="J495" s="2" t="str">
        <f t="shared" si="104"/>
        <v/>
      </c>
      <c r="K495" s="2" t="str">
        <f t="shared" si="105"/>
        <v/>
      </c>
      <c r="L495" s="2">
        <f t="shared" si="106"/>
        <v>4</v>
      </c>
      <c r="M495" s="2" t="str">
        <f t="shared" si="107"/>
        <v/>
      </c>
      <c r="N495" s="2" t="str">
        <f t="shared" si="108"/>
        <v/>
      </c>
      <c r="O495" s="19">
        <f t="shared" si="109"/>
        <v>4</v>
      </c>
      <c r="Q495" s="2" t="str">
        <f t="shared" si="110"/>
        <v>06</v>
      </c>
      <c r="R495" s="21" t="str">
        <f t="shared" si="111"/>
        <v>2.4.06</v>
      </c>
      <c r="S495" s="2" t="str">
        <f t="shared" si="112"/>
        <v/>
      </c>
      <c r="T495" s="2" t="str">
        <f t="shared" si="114"/>
        <v/>
      </c>
      <c r="U495" s="19" t="str">
        <f t="shared" si="115"/>
        <v/>
      </c>
    </row>
    <row r="496" spans="1:21" x14ac:dyDescent="0.2">
      <c r="A496" s="2">
        <v>495</v>
      </c>
      <c r="B496" s="21" t="str">
        <f t="shared" si="113"/>
        <v>2.4.06a</v>
      </c>
      <c r="C496" s="2">
        <v>2</v>
      </c>
      <c r="D496" s="2">
        <v>4</v>
      </c>
      <c r="E496" s="2">
        <v>6</v>
      </c>
      <c r="F496" s="2" t="s">
        <v>90</v>
      </c>
      <c r="G496" s="2" t="s">
        <v>579</v>
      </c>
      <c r="H496" s="2">
        <v>2</v>
      </c>
      <c r="I496" s="19" t="str">
        <f t="shared" si="103"/>
        <v/>
      </c>
      <c r="J496" s="2" t="str">
        <f t="shared" si="104"/>
        <v/>
      </c>
      <c r="K496" s="2" t="str">
        <f t="shared" si="105"/>
        <v/>
      </c>
      <c r="L496" s="2" t="str">
        <f t="shared" si="106"/>
        <v/>
      </c>
      <c r="M496" s="2" t="str">
        <f t="shared" si="107"/>
        <v/>
      </c>
      <c r="N496" s="2">
        <f t="shared" si="108"/>
        <v>6</v>
      </c>
      <c r="O496" s="19">
        <f t="shared" si="109"/>
        <v>6</v>
      </c>
      <c r="Q496" s="2" t="str">
        <f t="shared" si="110"/>
        <v>06</v>
      </c>
      <c r="R496" s="21" t="str">
        <f t="shared" si="111"/>
        <v>2.4.06a</v>
      </c>
      <c r="S496" s="2" t="str">
        <f t="shared" si="112"/>
        <v/>
      </c>
      <c r="T496" s="2" t="str">
        <f t="shared" si="114"/>
        <v/>
      </c>
      <c r="U496" s="19" t="str">
        <f t="shared" si="115"/>
        <v/>
      </c>
    </row>
    <row r="497" spans="1:21" x14ac:dyDescent="0.2">
      <c r="A497" s="2">
        <v>496</v>
      </c>
      <c r="B497" s="21" t="str">
        <f t="shared" si="113"/>
        <v>2.4.06b</v>
      </c>
      <c r="C497" s="2">
        <v>2</v>
      </c>
      <c r="D497" s="2">
        <v>4</v>
      </c>
      <c r="E497" s="2">
        <v>6</v>
      </c>
      <c r="F497" s="2" t="s">
        <v>92</v>
      </c>
      <c r="G497" s="2" t="s">
        <v>580</v>
      </c>
      <c r="H497" s="2">
        <v>2</v>
      </c>
      <c r="I497" s="19" t="str">
        <f t="shared" si="103"/>
        <v/>
      </c>
      <c r="J497" s="2" t="str">
        <f t="shared" si="104"/>
        <v/>
      </c>
      <c r="K497" s="2" t="str">
        <f t="shared" si="105"/>
        <v/>
      </c>
      <c r="L497" s="2" t="str">
        <f t="shared" si="106"/>
        <v/>
      </c>
      <c r="M497" s="2" t="str">
        <f t="shared" si="107"/>
        <v/>
      </c>
      <c r="N497" s="2">
        <f t="shared" si="108"/>
        <v>6</v>
      </c>
      <c r="O497" s="19">
        <f t="shared" si="109"/>
        <v>6</v>
      </c>
      <c r="Q497" s="2" t="str">
        <f t="shared" si="110"/>
        <v>06</v>
      </c>
      <c r="R497" s="21" t="str">
        <f t="shared" si="111"/>
        <v>2.4.06b</v>
      </c>
      <c r="S497" s="2" t="str">
        <f t="shared" si="112"/>
        <v/>
      </c>
      <c r="T497" s="2" t="str">
        <f t="shared" si="114"/>
        <v/>
      </c>
      <c r="U497" s="19" t="str">
        <f t="shared" si="115"/>
        <v/>
      </c>
    </row>
    <row r="498" spans="1:21" x14ac:dyDescent="0.2">
      <c r="A498" s="2">
        <v>497</v>
      </c>
      <c r="B498" s="21" t="str">
        <f t="shared" si="113"/>
        <v>2.4.06c</v>
      </c>
      <c r="C498" s="2">
        <v>2</v>
      </c>
      <c r="D498" s="2">
        <v>4</v>
      </c>
      <c r="E498" s="2">
        <v>6</v>
      </c>
      <c r="F498" s="2" t="s">
        <v>94</v>
      </c>
      <c r="G498" s="2" t="s">
        <v>581</v>
      </c>
      <c r="H498" s="2">
        <v>2</v>
      </c>
      <c r="I498" s="19" t="str">
        <f t="shared" si="103"/>
        <v/>
      </c>
      <c r="J498" s="2" t="str">
        <f t="shared" si="104"/>
        <v/>
      </c>
      <c r="K498" s="2" t="str">
        <f t="shared" si="105"/>
        <v/>
      </c>
      <c r="L498" s="2" t="str">
        <f t="shared" si="106"/>
        <v/>
      </c>
      <c r="M498" s="2" t="str">
        <f t="shared" si="107"/>
        <v/>
      </c>
      <c r="N498" s="2">
        <f t="shared" si="108"/>
        <v>6</v>
      </c>
      <c r="O498" s="19">
        <f t="shared" si="109"/>
        <v>6</v>
      </c>
      <c r="Q498" s="2" t="str">
        <f t="shared" si="110"/>
        <v>06</v>
      </c>
      <c r="R498" s="21" t="str">
        <f t="shared" si="111"/>
        <v>2.4.06c</v>
      </c>
      <c r="S498" s="2" t="str">
        <f t="shared" si="112"/>
        <v/>
      </c>
      <c r="T498" s="2" t="str">
        <f t="shared" si="114"/>
        <v/>
      </c>
      <c r="U498" s="19" t="str">
        <f t="shared" si="115"/>
        <v/>
      </c>
    </row>
    <row r="499" spans="1:21" x14ac:dyDescent="0.2">
      <c r="A499" s="2">
        <v>498</v>
      </c>
      <c r="B499" s="21" t="str">
        <f t="shared" si="113"/>
        <v>2.4.06d</v>
      </c>
      <c r="C499" s="2">
        <v>2</v>
      </c>
      <c r="D499" s="2">
        <v>4</v>
      </c>
      <c r="E499" s="2">
        <v>6</v>
      </c>
      <c r="F499" s="2" t="s">
        <v>112</v>
      </c>
      <c r="G499" s="2" t="s">
        <v>582</v>
      </c>
      <c r="H499" s="2">
        <v>2</v>
      </c>
      <c r="I499" s="19" t="str">
        <f t="shared" si="103"/>
        <v/>
      </c>
      <c r="J499" s="2" t="str">
        <f t="shared" si="104"/>
        <v/>
      </c>
      <c r="K499" s="2" t="str">
        <f t="shared" si="105"/>
        <v/>
      </c>
      <c r="L499" s="2" t="str">
        <f t="shared" si="106"/>
        <v/>
      </c>
      <c r="M499" s="2" t="str">
        <f t="shared" si="107"/>
        <v/>
      </c>
      <c r="N499" s="2">
        <f t="shared" si="108"/>
        <v>6</v>
      </c>
      <c r="O499" s="19">
        <f t="shared" si="109"/>
        <v>6</v>
      </c>
      <c r="Q499" s="2" t="str">
        <f t="shared" si="110"/>
        <v>06</v>
      </c>
      <c r="R499" s="21" t="str">
        <f t="shared" si="111"/>
        <v>2.4.06d</v>
      </c>
      <c r="S499" s="2" t="str">
        <f t="shared" si="112"/>
        <v/>
      </c>
      <c r="T499" s="2" t="str">
        <f t="shared" si="114"/>
        <v/>
      </c>
      <c r="U499" s="19" t="str">
        <f t="shared" si="115"/>
        <v/>
      </c>
    </row>
    <row r="500" spans="1:21" x14ac:dyDescent="0.2">
      <c r="A500" s="2">
        <v>499</v>
      </c>
      <c r="B500" s="21" t="str">
        <f t="shared" si="113"/>
        <v>2.4.06e</v>
      </c>
      <c r="C500" s="2">
        <v>2</v>
      </c>
      <c r="D500" s="2">
        <v>4</v>
      </c>
      <c r="E500" s="2">
        <v>6</v>
      </c>
      <c r="F500" s="2" t="s">
        <v>114</v>
      </c>
      <c r="G500" s="2" t="s">
        <v>583</v>
      </c>
      <c r="H500" s="2">
        <v>2</v>
      </c>
      <c r="I500" s="19" t="str">
        <f t="shared" si="103"/>
        <v/>
      </c>
      <c r="J500" s="2" t="str">
        <f t="shared" si="104"/>
        <v/>
      </c>
      <c r="K500" s="2" t="str">
        <f t="shared" si="105"/>
        <v/>
      </c>
      <c r="L500" s="2" t="str">
        <f t="shared" si="106"/>
        <v/>
      </c>
      <c r="M500" s="2" t="str">
        <f t="shared" si="107"/>
        <v/>
      </c>
      <c r="N500" s="2">
        <f t="shared" si="108"/>
        <v>6</v>
      </c>
      <c r="O500" s="19">
        <f t="shared" si="109"/>
        <v>6</v>
      </c>
      <c r="Q500" s="2" t="str">
        <f t="shared" si="110"/>
        <v>06</v>
      </c>
      <c r="R500" s="21" t="str">
        <f t="shared" si="111"/>
        <v>2.4.06e</v>
      </c>
      <c r="S500" s="2" t="str">
        <f t="shared" si="112"/>
        <v/>
      </c>
      <c r="T500" s="2" t="str">
        <f t="shared" si="114"/>
        <v/>
      </c>
      <c r="U500" s="19" t="str">
        <f t="shared" si="115"/>
        <v/>
      </c>
    </row>
    <row r="501" spans="1:21" x14ac:dyDescent="0.2">
      <c r="A501" s="2">
        <v>500</v>
      </c>
      <c r="B501" s="21" t="str">
        <f t="shared" si="113"/>
        <v>2.4.07</v>
      </c>
      <c r="C501" s="2">
        <v>2</v>
      </c>
      <c r="D501" s="2">
        <v>4</v>
      </c>
      <c r="E501" s="2">
        <v>7</v>
      </c>
      <c r="F501" s="2" t="s">
        <v>84</v>
      </c>
      <c r="G501" s="2" t="s">
        <v>584</v>
      </c>
      <c r="H501" s="2" t="s">
        <v>89</v>
      </c>
      <c r="I501" s="19" t="str">
        <f t="shared" si="103"/>
        <v/>
      </c>
      <c r="J501" s="2" t="str">
        <f t="shared" si="104"/>
        <v/>
      </c>
      <c r="K501" s="2" t="str">
        <f t="shared" si="105"/>
        <v/>
      </c>
      <c r="L501" s="2">
        <f t="shared" si="106"/>
        <v>4</v>
      </c>
      <c r="M501" s="2" t="str">
        <f t="shared" si="107"/>
        <v/>
      </c>
      <c r="N501" s="2" t="str">
        <f t="shared" si="108"/>
        <v/>
      </c>
      <c r="O501" s="19">
        <f t="shared" si="109"/>
        <v>4</v>
      </c>
      <c r="Q501" s="2" t="str">
        <f t="shared" si="110"/>
        <v>07</v>
      </c>
      <c r="R501" s="21" t="str">
        <f t="shared" si="111"/>
        <v>2.4.07</v>
      </c>
      <c r="S501" s="2" t="str">
        <f t="shared" si="112"/>
        <v/>
      </c>
      <c r="T501" s="2" t="str">
        <f t="shared" si="114"/>
        <v/>
      </c>
      <c r="U501" s="19" t="str">
        <f t="shared" si="115"/>
        <v/>
      </c>
    </row>
    <row r="502" spans="1:21" x14ac:dyDescent="0.2">
      <c r="A502" s="2">
        <v>501</v>
      </c>
      <c r="B502" s="21" t="str">
        <f t="shared" si="113"/>
        <v>2.4.07a</v>
      </c>
      <c r="C502" s="2">
        <v>2</v>
      </c>
      <c r="D502" s="2">
        <v>4</v>
      </c>
      <c r="E502" s="2">
        <v>7</v>
      </c>
      <c r="F502" s="2" t="s">
        <v>90</v>
      </c>
      <c r="G502" s="2" t="s">
        <v>585</v>
      </c>
      <c r="H502" s="2">
        <v>3</v>
      </c>
      <c r="I502" s="19" t="str">
        <f t="shared" si="103"/>
        <v/>
      </c>
      <c r="J502" s="2" t="str">
        <f t="shared" si="104"/>
        <v/>
      </c>
      <c r="K502" s="2" t="str">
        <f t="shared" si="105"/>
        <v/>
      </c>
      <c r="L502" s="2" t="str">
        <f t="shared" si="106"/>
        <v/>
      </c>
      <c r="M502" s="2" t="str">
        <f t="shared" si="107"/>
        <v/>
      </c>
      <c r="N502" s="2">
        <f t="shared" si="108"/>
        <v>6</v>
      </c>
      <c r="O502" s="19">
        <f t="shared" si="109"/>
        <v>6</v>
      </c>
      <c r="Q502" s="2" t="str">
        <f t="shared" si="110"/>
        <v>07</v>
      </c>
      <c r="R502" s="21" t="str">
        <f t="shared" si="111"/>
        <v>2.4.07a</v>
      </c>
      <c r="S502" s="2" t="str">
        <f t="shared" si="112"/>
        <v/>
      </c>
      <c r="T502" s="2" t="str">
        <f t="shared" si="114"/>
        <v/>
      </c>
      <c r="U502" s="19" t="str">
        <f t="shared" si="115"/>
        <v/>
      </c>
    </row>
    <row r="503" spans="1:21" x14ac:dyDescent="0.2">
      <c r="A503" s="2">
        <v>502</v>
      </c>
      <c r="B503" s="21" t="str">
        <f t="shared" si="113"/>
        <v>2.4.07b</v>
      </c>
      <c r="C503" s="2">
        <v>2</v>
      </c>
      <c r="D503" s="2">
        <v>4</v>
      </c>
      <c r="E503" s="2">
        <v>7</v>
      </c>
      <c r="F503" s="2" t="s">
        <v>92</v>
      </c>
      <c r="G503" s="2" t="s">
        <v>586</v>
      </c>
      <c r="H503" s="2">
        <v>3</v>
      </c>
      <c r="I503" s="19" t="str">
        <f t="shared" si="103"/>
        <v/>
      </c>
      <c r="J503" s="2" t="str">
        <f t="shared" si="104"/>
        <v/>
      </c>
      <c r="K503" s="2" t="str">
        <f t="shared" si="105"/>
        <v/>
      </c>
      <c r="L503" s="2" t="str">
        <f t="shared" si="106"/>
        <v/>
      </c>
      <c r="M503" s="2" t="str">
        <f t="shared" si="107"/>
        <v/>
      </c>
      <c r="N503" s="2">
        <f t="shared" si="108"/>
        <v>6</v>
      </c>
      <c r="O503" s="19">
        <f t="shared" si="109"/>
        <v>6</v>
      </c>
      <c r="Q503" s="2" t="str">
        <f t="shared" si="110"/>
        <v>07</v>
      </c>
      <c r="R503" s="21" t="str">
        <f t="shared" si="111"/>
        <v>2.4.07b</v>
      </c>
      <c r="S503" s="2" t="str">
        <f t="shared" si="112"/>
        <v/>
      </c>
      <c r="T503" s="2" t="str">
        <f t="shared" si="114"/>
        <v/>
      </c>
      <c r="U503" s="19" t="str">
        <f t="shared" si="115"/>
        <v/>
      </c>
    </row>
    <row r="504" spans="1:21" x14ac:dyDescent="0.2">
      <c r="A504" s="2">
        <v>503</v>
      </c>
      <c r="B504" s="21" t="str">
        <f t="shared" si="113"/>
        <v>2.4.07c</v>
      </c>
      <c r="C504" s="2">
        <v>2</v>
      </c>
      <c r="D504" s="2">
        <v>4</v>
      </c>
      <c r="E504" s="2">
        <v>7</v>
      </c>
      <c r="F504" s="2" t="s">
        <v>94</v>
      </c>
      <c r="G504" s="2" t="s">
        <v>587</v>
      </c>
      <c r="H504" s="2">
        <v>3</v>
      </c>
      <c r="I504" s="19" t="str">
        <f t="shared" si="103"/>
        <v/>
      </c>
      <c r="J504" s="2" t="str">
        <f t="shared" si="104"/>
        <v/>
      </c>
      <c r="K504" s="2" t="str">
        <f t="shared" si="105"/>
        <v/>
      </c>
      <c r="L504" s="2" t="str">
        <f t="shared" si="106"/>
        <v/>
      </c>
      <c r="M504" s="2" t="str">
        <f t="shared" si="107"/>
        <v/>
      </c>
      <c r="N504" s="2">
        <f t="shared" si="108"/>
        <v>6</v>
      </c>
      <c r="O504" s="19">
        <f t="shared" si="109"/>
        <v>6</v>
      </c>
      <c r="Q504" s="2" t="str">
        <f t="shared" si="110"/>
        <v>07</v>
      </c>
      <c r="R504" s="21" t="str">
        <f t="shared" si="111"/>
        <v>2.4.07c</v>
      </c>
      <c r="S504" s="2" t="str">
        <f t="shared" si="112"/>
        <v/>
      </c>
      <c r="T504" s="2" t="str">
        <f t="shared" si="114"/>
        <v/>
      </c>
      <c r="U504" s="19" t="str">
        <f t="shared" si="115"/>
        <v/>
      </c>
    </row>
    <row r="505" spans="1:21" x14ac:dyDescent="0.2">
      <c r="A505" s="2">
        <v>504</v>
      </c>
      <c r="B505" s="21" t="str">
        <f t="shared" si="113"/>
        <v>2.4.07d</v>
      </c>
      <c r="C505" s="2">
        <v>2</v>
      </c>
      <c r="D505" s="2">
        <v>4</v>
      </c>
      <c r="E505" s="2">
        <v>7</v>
      </c>
      <c r="F505" s="2" t="s">
        <v>112</v>
      </c>
      <c r="G505" s="2" t="s">
        <v>588</v>
      </c>
      <c r="H505" s="2">
        <v>4</v>
      </c>
      <c r="I505" s="19" t="str">
        <f t="shared" si="103"/>
        <v/>
      </c>
      <c r="J505" s="2" t="str">
        <f t="shared" si="104"/>
        <v/>
      </c>
      <c r="K505" s="2" t="str">
        <f t="shared" si="105"/>
        <v/>
      </c>
      <c r="L505" s="2" t="str">
        <f t="shared" si="106"/>
        <v/>
      </c>
      <c r="M505" s="2" t="str">
        <f t="shared" si="107"/>
        <v/>
      </c>
      <c r="N505" s="2">
        <f t="shared" si="108"/>
        <v>6</v>
      </c>
      <c r="O505" s="19">
        <f t="shared" si="109"/>
        <v>6</v>
      </c>
      <c r="Q505" s="2" t="str">
        <f t="shared" si="110"/>
        <v>07</v>
      </c>
      <c r="R505" s="21" t="str">
        <f t="shared" si="111"/>
        <v>2.4.07d</v>
      </c>
      <c r="S505" s="2" t="str">
        <f t="shared" si="112"/>
        <v/>
      </c>
      <c r="T505" s="2" t="str">
        <f t="shared" si="114"/>
        <v/>
      </c>
      <c r="U505" s="19" t="str">
        <f t="shared" si="115"/>
        <v/>
      </c>
    </row>
    <row r="506" spans="1:21" x14ac:dyDescent="0.2">
      <c r="A506" s="2">
        <v>505</v>
      </c>
      <c r="B506" s="21" t="str">
        <f t="shared" si="113"/>
        <v>2.4.07e</v>
      </c>
      <c r="C506" s="2">
        <v>2</v>
      </c>
      <c r="D506" s="2">
        <v>4</v>
      </c>
      <c r="E506" s="2">
        <v>7</v>
      </c>
      <c r="F506" s="2" t="s">
        <v>114</v>
      </c>
      <c r="G506" s="2" t="s">
        <v>589</v>
      </c>
      <c r="H506" s="2">
        <v>4</v>
      </c>
      <c r="I506" s="19" t="str">
        <f t="shared" si="103"/>
        <v/>
      </c>
      <c r="J506" s="2" t="str">
        <f t="shared" si="104"/>
        <v/>
      </c>
      <c r="K506" s="2" t="str">
        <f t="shared" si="105"/>
        <v/>
      </c>
      <c r="L506" s="2" t="str">
        <f t="shared" si="106"/>
        <v/>
      </c>
      <c r="M506" s="2" t="str">
        <f t="shared" si="107"/>
        <v/>
      </c>
      <c r="N506" s="2">
        <f t="shared" si="108"/>
        <v>6</v>
      </c>
      <c r="O506" s="19">
        <f t="shared" si="109"/>
        <v>6</v>
      </c>
      <c r="Q506" s="2" t="str">
        <f t="shared" si="110"/>
        <v>07</v>
      </c>
      <c r="R506" s="21" t="str">
        <f t="shared" si="111"/>
        <v>2.4.07e</v>
      </c>
      <c r="S506" s="2" t="str">
        <f t="shared" si="112"/>
        <v/>
      </c>
      <c r="T506" s="2" t="str">
        <f t="shared" si="114"/>
        <v/>
      </c>
      <c r="U506" s="19" t="str">
        <f t="shared" si="115"/>
        <v/>
      </c>
    </row>
    <row r="507" spans="1:21" x14ac:dyDescent="0.2">
      <c r="A507" s="2">
        <v>506</v>
      </c>
      <c r="B507" s="21" t="str">
        <f t="shared" si="113"/>
        <v>2.4.07f</v>
      </c>
      <c r="C507" s="2">
        <v>2</v>
      </c>
      <c r="D507" s="2">
        <v>4</v>
      </c>
      <c r="E507" s="2">
        <v>7</v>
      </c>
      <c r="F507" s="2" t="s">
        <v>129</v>
      </c>
      <c r="G507" s="2" t="s">
        <v>590</v>
      </c>
      <c r="H507" s="2">
        <v>3</v>
      </c>
      <c r="I507" s="19" t="str">
        <f t="shared" ref="I507:I568" si="118">IF(AND(LEN(C507)=1,LEN(D507)=0),1,"")</f>
        <v/>
      </c>
      <c r="J507" s="2" t="str">
        <f t="shared" ref="J507:J568" si="119">IF(AND(LEN(C507)=1,LEN(D507)=1,LEN(E507)=0,LEN(F507)=0),2,"")</f>
        <v/>
      </c>
      <c r="K507" s="2" t="str">
        <f t="shared" ref="K507:K568" si="120">IF(AND(LEN(C507)=0,LEN(E507)=0),3,"")</f>
        <v/>
      </c>
      <c r="L507" s="2" t="str">
        <f t="shared" ref="L507:L568" si="121">IF(AND(LEN(C507)&gt;0,LEN(D507&gt;0),LEN(E507)&gt;0,LEN(F507)=0,H507="N/A"),4,"")</f>
        <v/>
      </c>
      <c r="M507" s="2" t="str">
        <f t="shared" ref="M507:M568" si="122">IF(AND(LEN(C507)&gt;0,LEN(D507&gt;0),LEN(E507)&gt;0,LEN(F507)=0,H507&gt;0,H507&lt;6),5,"")</f>
        <v/>
      </c>
      <c r="N507" s="2">
        <f t="shared" ref="N507:N568" si="123">IF(AND(LEN(C507)&gt;0,LEN(D507&gt;0),LEN(E507)&gt;0,LEN(F507)&gt;0,H507&gt;0,H507&lt;6),6,"")</f>
        <v>6</v>
      </c>
      <c r="O507" s="19">
        <f t="shared" ref="O507:O568" si="124">SUM(I507:N507)</f>
        <v>6</v>
      </c>
      <c r="Q507" s="2" t="str">
        <f t="shared" ref="Q507:Q568" si="125">IF(LEN(E507)&gt;0,TEXT(E507,"00"),"")</f>
        <v>07</v>
      </c>
      <c r="R507" s="21" t="str">
        <f t="shared" ref="R507:R568" si="126">IF(O507=1,C507,IF(O507=2,C507&amp;"."&amp;D507,IF(O507=3,"",IF(O507=4,C507&amp;"."&amp;D507&amp;"."&amp;Q507,IF(O507=5,C507&amp;"."&amp;D507&amp;"."&amp;Q507,IF(O507=6,C507&amp;"."&amp;D507&amp;"."&amp;Q507&amp;F507,""))))))</f>
        <v>2.4.07f</v>
      </c>
      <c r="S507" s="2" t="str">
        <f t="shared" ref="S507:S568" si="127">IF(O507=O506,IF(NOT(R507&gt;R506),1,""),"")</f>
        <v/>
      </c>
      <c r="T507" s="2" t="str">
        <f t="shared" si="114"/>
        <v/>
      </c>
      <c r="U507" s="19" t="str">
        <f t="shared" si="115"/>
        <v/>
      </c>
    </row>
    <row r="508" spans="1:21" x14ac:dyDescent="0.2">
      <c r="A508" s="2">
        <v>507</v>
      </c>
      <c r="B508" s="21" t="str">
        <f t="shared" ref="B508:B569" si="128">R508</f>
        <v>2.4.07g</v>
      </c>
      <c r="C508" s="2">
        <v>2</v>
      </c>
      <c r="D508" s="2">
        <v>4</v>
      </c>
      <c r="E508" s="2">
        <v>7</v>
      </c>
      <c r="F508" s="2" t="s">
        <v>206</v>
      </c>
      <c r="G508" s="2" t="s">
        <v>591</v>
      </c>
      <c r="H508" s="2">
        <v>3</v>
      </c>
      <c r="I508" s="19" t="str">
        <f t="shared" si="118"/>
        <v/>
      </c>
      <c r="J508" s="2" t="str">
        <f t="shared" si="119"/>
        <v/>
      </c>
      <c r="K508" s="2" t="str">
        <f t="shared" si="120"/>
        <v/>
      </c>
      <c r="L508" s="2" t="str">
        <f t="shared" si="121"/>
        <v/>
      </c>
      <c r="M508" s="2" t="str">
        <f t="shared" si="122"/>
        <v/>
      </c>
      <c r="N508" s="2">
        <f t="shared" si="123"/>
        <v>6</v>
      </c>
      <c r="O508" s="19">
        <f t="shared" si="124"/>
        <v>6</v>
      </c>
      <c r="Q508" s="2" t="str">
        <f t="shared" si="125"/>
        <v>07</v>
      </c>
      <c r="R508" s="21" t="str">
        <f t="shared" si="126"/>
        <v>2.4.07g</v>
      </c>
      <c r="S508" s="2" t="str">
        <f t="shared" si="127"/>
        <v/>
      </c>
      <c r="T508" s="2" t="str">
        <f t="shared" ref="T508:T569" si="129">IF(NOT(R508&gt;R507),1,"")</f>
        <v/>
      </c>
      <c r="U508" s="19" t="str">
        <f t="shared" si="115"/>
        <v/>
      </c>
    </row>
    <row r="509" spans="1:21" x14ac:dyDescent="0.2">
      <c r="A509" s="2">
        <v>508</v>
      </c>
      <c r="B509" s="21" t="str">
        <f t="shared" si="128"/>
        <v>2.4.08</v>
      </c>
      <c r="C509" s="2">
        <v>2</v>
      </c>
      <c r="D509" s="2">
        <v>4</v>
      </c>
      <c r="E509" s="2">
        <v>8</v>
      </c>
      <c r="F509" s="2" t="s">
        <v>84</v>
      </c>
      <c r="G509" s="2" t="s">
        <v>592</v>
      </c>
      <c r="H509" s="2" t="s">
        <v>89</v>
      </c>
      <c r="I509" s="19" t="str">
        <f t="shared" si="118"/>
        <v/>
      </c>
      <c r="J509" s="2" t="str">
        <f t="shared" si="119"/>
        <v/>
      </c>
      <c r="K509" s="2" t="str">
        <f t="shared" si="120"/>
        <v/>
      </c>
      <c r="L509" s="2">
        <f t="shared" si="121"/>
        <v>4</v>
      </c>
      <c r="M509" s="2" t="str">
        <f t="shared" si="122"/>
        <v/>
      </c>
      <c r="N509" s="2" t="str">
        <f t="shared" si="123"/>
        <v/>
      </c>
      <c r="O509" s="19">
        <f t="shared" si="124"/>
        <v>4</v>
      </c>
      <c r="Q509" s="2" t="str">
        <f t="shared" si="125"/>
        <v>08</v>
      </c>
      <c r="R509" s="21" t="str">
        <f t="shared" si="126"/>
        <v>2.4.08</v>
      </c>
      <c r="S509" s="2" t="str">
        <f t="shared" si="127"/>
        <v/>
      </c>
      <c r="T509" s="2" t="str">
        <f t="shared" si="129"/>
        <v/>
      </c>
      <c r="U509" s="19" t="str">
        <f t="shared" si="115"/>
        <v/>
      </c>
    </row>
    <row r="510" spans="1:21" x14ac:dyDescent="0.2">
      <c r="A510" s="2">
        <v>509</v>
      </c>
      <c r="B510" s="21" t="str">
        <f t="shared" si="128"/>
        <v>2.4.08a</v>
      </c>
      <c r="C510" s="2">
        <v>2</v>
      </c>
      <c r="D510" s="2">
        <v>4</v>
      </c>
      <c r="E510" s="2">
        <v>8</v>
      </c>
      <c r="F510" s="2" t="s">
        <v>90</v>
      </c>
      <c r="G510" s="2" t="s">
        <v>593</v>
      </c>
      <c r="H510" s="2">
        <v>5</v>
      </c>
      <c r="I510" s="19" t="str">
        <f t="shared" si="118"/>
        <v/>
      </c>
      <c r="J510" s="2" t="str">
        <f t="shared" si="119"/>
        <v/>
      </c>
      <c r="K510" s="2" t="str">
        <f t="shared" si="120"/>
        <v/>
      </c>
      <c r="L510" s="2" t="str">
        <f t="shared" si="121"/>
        <v/>
      </c>
      <c r="M510" s="2" t="str">
        <f t="shared" si="122"/>
        <v/>
      </c>
      <c r="N510" s="2">
        <f t="shared" si="123"/>
        <v>6</v>
      </c>
      <c r="O510" s="19">
        <f t="shared" si="124"/>
        <v>6</v>
      </c>
      <c r="Q510" s="2" t="str">
        <f t="shared" si="125"/>
        <v>08</v>
      </c>
      <c r="R510" s="21" t="str">
        <f t="shared" si="126"/>
        <v>2.4.08a</v>
      </c>
      <c r="S510" s="2" t="str">
        <f t="shared" si="127"/>
        <v/>
      </c>
      <c r="T510" s="2" t="str">
        <f t="shared" si="129"/>
        <v/>
      </c>
      <c r="U510" s="19" t="str">
        <f t="shared" si="115"/>
        <v/>
      </c>
    </row>
    <row r="511" spans="1:21" x14ac:dyDescent="0.2">
      <c r="A511" s="2">
        <v>510</v>
      </c>
      <c r="B511" s="21" t="str">
        <f t="shared" si="128"/>
        <v>2.4.08b</v>
      </c>
      <c r="C511" s="2">
        <v>2</v>
      </c>
      <c r="D511" s="2">
        <v>4</v>
      </c>
      <c r="E511" s="2">
        <v>8</v>
      </c>
      <c r="F511" s="2" t="s">
        <v>92</v>
      </c>
      <c r="G511" s="2" t="s">
        <v>594</v>
      </c>
      <c r="H511" s="2">
        <v>5</v>
      </c>
      <c r="I511" s="19" t="str">
        <f t="shared" si="118"/>
        <v/>
      </c>
      <c r="J511" s="2" t="str">
        <f t="shared" si="119"/>
        <v/>
      </c>
      <c r="K511" s="2" t="str">
        <f t="shared" si="120"/>
        <v/>
      </c>
      <c r="L511" s="2" t="str">
        <f t="shared" si="121"/>
        <v/>
      </c>
      <c r="M511" s="2" t="str">
        <f t="shared" si="122"/>
        <v/>
      </c>
      <c r="N511" s="2">
        <f t="shared" si="123"/>
        <v>6</v>
      </c>
      <c r="O511" s="19">
        <f t="shared" si="124"/>
        <v>6</v>
      </c>
      <c r="Q511" s="2" t="str">
        <f t="shared" si="125"/>
        <v>08</v>
      </c>
      <c r="R511" s="21" t="str">
        <f t="shared" si="126"/>
        <v>2.4.08b</v>
      </c>
      <c r="S511" s="2" t="str">
        <f t="shared" si="127"/>
        <v/>
      </c>
      <c r="T511" s="2" t="str">
        <f t="shared" si="129"/>
        <v/>
      </c>
      <c r="U511" s="19" t="str">
        <f t="shared" si="115"/>
        <v/>
      </c>
    </row>
    <row r="512" spans="1:21" x14ac:dyDescent="0.2">
      <c r="A512" s="2">
        <v>511</v>
      </c>
      <c r="B512" s="21" t="str">
        <f t="shared" si="128"/>
        <v>2.4.08c</v>
      </c>
      <c r="C512" s="2">
        <v>2</v>
      </c>
      <c r="D512" s="2">
        <v>4</v>
      </c>
      <c r="E512" s="2">
        <v>8</v>
      </c>
      <c r="F512" s="2" t="s">
        <v>94</v>
      </c>
      <c r="G512" s="2" t="s">
        <v>595</v>
      </c>
      <c r="H512" s="2">
        <v>5</v>
      </c>
      <c r="I512" s="19" t="str">
        <f t="shared" si="118"/>
        <v/>
      </c>
      <c r="J512" s="2" t="str">
        <f t="shared" si="119"/>
        <v/>
      </c>
      <c r="K512" s="2" t="str">
        <f t="shared" si="120"/>
        <v/>
      </c>
      <c r="L512" s="2" t="str">
        <f t="shared" si="121"/>
        <v/>
      </c>
      <c r="M512" s="2" t="str">
        <f t="shared" si="122"/>
        <v/>
      </c>
      <c r="N512" s="2">
        <f t="shared" si="123"/>
        <v>6</v>
      </c>
      <c r="O512" s="19">
        <f t="shared" si="124"/>
        <v>6</v>
      </c>
      <c r="Q512" s="2" t="str">
        <f t="shared" si="125"/>
        <v>08</v>
      </c>
      <c r="R512" s="21" t="str">
        <f t="shared" si="126"/>
        <v>2.4.08c</v>
      </c>
      <c r="S512" s="2" t="str">
        <f t="shared" si="127"/>
        <v/>
      </c>
      <c r="T512" s="2" t="str">
        <f t="shared" si="129"/>
        <v/>
      </c>
      <c r="U512" s="19" t="str">
        <f t="shared" si="115"/>
        <v/>
      </c>
    </row>
    <row r="513" spans="1:21" x14ac:dyDescent="0.2">
      <c r="A513" s="2">
        <v>512</v>
      </c>
      <c r="B513" s="21" t="str">
        <f t="shared" si="128"/>
        <v/>
      </c>
      <c r="C513" s="2" t="s">
        <v>84</v>
      </c>
      <c r="D513" s="2" t="s">
        <v>84</v>
      </c>
      <c r="E513" s="2" t="s">
        <v>84</v>
      </c>
      <c r="F513" s="2" t="s">
        <v>84</v>
      </c>
      <c r="G513" s="2" t="s">
        <v>596</v>
      </c>
      <c r="H513" s="2" t="s">
        <v>84</v>
      </c>
      <c r="I513" s="19" t="str">
        <f t="shared" si="118"/>
        <v/>
      </c>
      <c r="J513" s="2" t="str">
        <f t="shared" si="119"/>
        <v/>
      </c>
      <c r="K513" s="2">
        <f t="shared" si="120"/>
        <v>3</v>
      </c>
      <c r="L513" s="2" t="str">
        <f t="shared" si="121"/>
        <v/>
      </c>
      <c r="M513" s="2" t="str">
        <f t="shared" si="122"/>
        <v/>
      </c>
      <c r="N513" s="2" t="str">
        <f t="shared" si="123"/>
        <v/>
      </c>
      <c r="O513" s="19">
        <f t="shared" si="124"/>
        <v>3</v>
      </c>
      <c r="Q513" s="2" t="str">
        <f t="shared" si="125"/>
        <v/>
      </c>
      <c r="R513" s="21" t="str">
        <f t="shared" si="126"/>
        <v/>
      </c>
      <c r="S513" s="2" t="str">
        <f t="shared" si="127"/>
        <v/>
      </c>
      <c r="T513" s="2">
        <f t="shared" si="129"/>
        <v>1</v>
      </c>
      <c r="U513" s="19" t="str">
        <f t="shared" si="115"/>
        <v/>
      </c>
    </row>
    <row r="514" spans="1:21" x14ac:dyDescent="0.2">
      <c r="A514" s="2">
        <v>513</v>
      </c>
      <c r="B514" s="21" t="str">
        <f t="shared" si="128"/>
        <v>2.4.09</v>
      </c>
      <c r="C514" s="2">
        <v>2</v>
      </c>
      <c r="D514" s="2">
        <v>4</v>
      </c>
      <c r="E514" s="2">
        <v>9</v>
      </c>
      <c r="F514" s="2" t="s">
        <v>84</v>
      </c>
      <c r="G514" s="2" t="s">
        <v>597</v>
      </c>
      <c r="H514" s="2" t="s">
        <v>89</v>
      </c>
      <c r="I514" s="19" t="str">
        <f t="shared" si="118"/>
        <v/>
      </c>
      <c r="J514" s="2" t="str">
        <f t="shared" si="119"/>
        <v/>
      </c>
      <c r="K514" s="2" t="str">
        <f t="shared" si="120"/>
        <v/>
      </c>
      <c r="L514" s="2">
        <f t="shared" si="121"/>
        <v>4</v>
      </c>
      <c r="M514" s="2" t="str">
        <f t="shared" si="122"/>
        <v/>
      </c>
      <c r="N514" s="2" t="str">
        <f t="shared" si="123"/>
        <v/>
      </c>
      <c r="O514" s="19">
        <f t="shared" si="124"/>
        <v>4</v>
      </c>
      <c r="Q514" s="2" t="str">
        <f t="shared" si="125"/>
        <v>09</v>
      </c>
      <c r="R514" s="21" t="str">
        <f t="shared" si="126"/>
        <v>2.4.09</v>
      </c>
      <c r="S514" s="2" t="str">
        <f t="shared" si="127"/>
        <v/>
      </c>
      <c r="T514" s="2" t="str">
        <f t="shared" si="129"/>
        <v/>
      </c>
      <c r="U514" s="19" t="str">
        <f t="shared" si="115"/>
        <v/>
      </c>
    </row>
    <row r="515" spans="1:21" x14ac:dyDescent="0.2">
      <c r="A515" s="2">
        <v>514</v>
      </c>
      <c r="B515" s="21" t="str">
        <f t="shared" si="128"/>
        <v>2.4.09a</v>
      </c>
      <c r="C515" s="2">
        <v>2</v>
      </c>
      <c r="D515" s="2">
        <v>4</v>
      </c>
      <c r="E515" s="2">
        <v>9</v>
      </c>
      <c r="F515" s="2" t="s">
        <v>90</v>
      </c>
      <c r="G515" s="2" t="s">
        <v>598</v>
      </c>
      <c r="H515" s="2">
        <v>4</v>
      </c>
      <c r="I515" s="19" t="str">
        <f t="shared" si="118"/>
        <v/>
      </c>
      <c r="J515" s="2" t="str">
        <f t="shared" si="119"/>
        <v/>
      </c>
      <c r="K515" s="2" t="str">
        <f t="shared" si="120"/>
        <v/>
      </c>
      <c r="L515" s="2" t="str">
        <f t="shared" si="121"/>
        <v/>
      </c>
      <c r="M515" s="2" t="str">
        <f t="shared" si="122"/>
        <v/>
      </c>
      <c r="N515" s="2">
        <f t="shared" si="123"/>
        <v>6</v>
      </c>
      <c r="O515" s="19">
        <f t="shared" si="124"/>
        <v>6</v>
      </c>
      <c r="Q515" s="2" t="str">
        <f t="shared" si="125"/>
        <v>09</v>
      </c>
      <c r="R515" s="21" t="str">
        <f t="shared" si="126"/>
        <v>2.4.09a</v>
      </c>
      <c r="S515" s="2" t="str">
        <f t="shared" si="127"/>
        <v/>
      </c>
      <c r="T515" s="2" t="str">
        <f t="shared" si="129"/>
        <v/>
      </c>
      <c r="U515" s="19" t="str">
        <f t="shared" ref="U515:U578" si="130">IF(O515&lt;4,IF(LEN(H515)=0,"",1),IF(O515=4,IF(H515="N/A","",1),IF(AND(O515&gt;4,O515&lt;7),IF(AND(H515&gt;0,H515&lt;6),"",1),1)))</f>
        <v/>
      </c>
    </row>
    <row r="516" spans="1:21" x14ac:dyDescent="0.2">
      <c r="A516" s="2">
        <v>515</v>
      </c>
      <c r="B516" s="21" t="str">
        <f t="shared" si="128"/>
        <v>2.4.09b</v>
      </c>
      <c r="C516" s="2">
        <v>2</v>
      </c>
      <c r="D516" s="2">
        <v>4</v>
      </c>
      <c r="E516" s="2">
        <v>9</v>
      </c>
      <c r="F516" s="2" t="s">
        <v>92</v>
      </c>
      <c r="G516" s="2" t="s">
        <v>599</v>
      </c>
      <c r="H516" s="2">
        <v>4</v>
      </c>
      <c r="I516" s="19" t="str">
        <f t="shared" si="118"/>
        <v/>
      </c>
      <c r="J516" s="2" t="str">
        <f t="shared" si="119"/>
        <v/>
      </c>
      <c r="K516" s="2" t="str">
        <f t="shared" si="120"/>
        <v/>
      </c>
      <c r="L516" s="2" t="str">
        <f t="shared" si="121"/>
        <v/>
      </c>
      <c r="M516" s="2" t="str">
        <f t="shared" si="122"/>
        <v/>
      </c>
      <c r="N516" s="2">
        <f t="shared" si="123"/>
        <v>6</v>
      </c>
      <c r="O516" s="19">
        <f t="shared" si="124"/>
        <v>6</v>
      </c>
      <c r="Q516" s="2" t="str">
        <f t="shared" si="125"/>
        <v>09</v>
      </c>
      <c r="R516" s="21" t="str">
        <f t="shared" si="126"/>
        <v>2.4.09b</v>
      </c>
      <c r="S516" s="2" t="str">
        <f t="shared" si="127"/>
        <v/>
      </c>
      <c r="T516" s="2" t="str">
        <f t="shared" si="129"/>
        <v/>
      </c>
      <c r="U516" s="19" t="str">
        <f t="shared" si="130"/>
        <v/>
      </c>
    </row>
    <row r="517" spans="1:21" x14ac:dyDescent="0.2">
      <c r="A517" s="2">
        <v>516</v>
      </c>
      <c r="B517" s="21" t="str">
        <f t="shared" si="128"/>
        <v>2.4.10</v>
      </c>
      <c r="C517" s="2">
        <v>2</v>
      </c>
      <c r="D517" s="2">
        <v>4</v>
      </c>
      <c r="E517" s="2">
        <v>10</v>
      </c>
      <c r="F517" s="2" t="s">
        <v>84</v>
      </c>
      <c r="G517" s="2" t="s">
        <v>600</v>
      </c>
      <c r="H517" s="2" t="s">
        <v>89</v>
      </c>
      <c r="I517" s="19" t="str">
        <f t="shared" si="118"/>
        <v/>
      </c>
      <c r="J517" s="2" t="str">
        <f t="shared" si="119"/>
        <v/>
      </c>
      <c r="K517" s="2" t="str">
        <f t="shared" si="120"/>
        <v/>
      </c>
      <c r="L517" s="2">
        <f t="shared" si="121"/>
        <v>4</v>
      </c>
      <c r="M517" s="2" t="str">
        <f t="shared" si="122"/>
        <v/>
      </c>
      <c r="N517" s="2" t="str">
        <f t="shared" si="123"/>
        <v/>
      </c>
      <c r="O517" s="19">
        <f t="shared" si="124"/>
        <v>4</v>
      </c>
      <c r="Q517" s="2" t="str">
        <f t="shared" si="125"/>
        <v>10</v>
      </c>
      <c r="R517" s="21" t="str">
        <f t="shared" si="126"/>
        <v>2.4.10</v>
      </c>
      <c r="S517" s="2" t="str">
        <f t="shared" si="127"/>
        <v/>
      </c>
      <c r="T517" s="2" t="str">
        <f t="shared" si="129"/>
        <v/>
      </c>
      <c r="U517" s="19" t="str">
        <f t="shared" si="130"/>
        <v/>
      </c>
    </row>
    <row r="518" spans="1:21" x14ac:dyDescent="0.2">
      <c r="A518" s="2">
        <v>517</v>
      </c>
      <c r="B518" s="21" t="str">
        <f t="shared" si="128"/>
        <v>2.4.10a</v>
      </c>
      <c r="C518" s="2">
        <v>2</v>
      </c>
      <c r="D518" s="2">
        <v>4</v>
      </c>
      <c r="E518" s="2">
        <v>10</v>
      </c>
      <c r="F518" s="2" t="s">
        <v>90</v>
      </c>
      <c r="G518" s="2" t="s">
        <v>601</v>
      </c>
      <c r="H518" s="2">
        <v>5</v>
      </c>
      <c r="I518" s="19" t="str">
        <f t="shared" si="118"/>
        <v/>
      </c>
      <c r="J518" s="2" t="str">
        <f t="shared" si="119"/>
        <v/>
      </c>
      <c r="K518" s="2" t="str">
        <f t="shared" si="120"/>
        <v/>
      </c>
      <c r="L518" s="2" t="str">
        <f t="shared" si="121"/>
        <v/>
      </c>
      <c r="M518" s="2" t="str">
        <f t="shared" si="122"/>
        <v/>
      </c>
      <c r="N518" s="2">
        <f t="shared" si="123"/>
        <v>6</v>
      </c>
      <c r="O518" s="19">
        <f t="shared" si="124"/>
        <v>6</v>
      </c>
      <c r="Q518" s="2" t="str">
        <f t="shared" si="125"/>
        <v>10</v>
      </c>
      <c r="R518" s="21" t="str">
        <f t="shared" si="126"/>
        <v>2.4.10a</v>
      </c>
      <c r="S518" s="2" t="str">
        <f t="shared" si="127"/>
        <v/>
      </c>
      <c r="T518" s="2" t="str">
        <f t="shared" si="129"/>
        <v/>
      </c>
      <c r="U518" s="19" t="str">
        <f t="shared" si="130"/>
        <v/>
      </c>
    </row>
    <row r="519" spans="1:21" x14ac:dyDescent="0.2">
      <c r="A519" s="2">
        <v>518</v>
      </c>
      <c r="B519" s="21" t="str">
        <f t="shared" si="128"/>
        <v>2.4.10b</v>
      </c>
      <c r="C519" s="2">
        <v>2</v>
      </c>
      <c r="D519" s="2">
        <v>4</v>
      </c>
      <c r="E519" s="2">
        <v>10</v>
      </c>
      <c r="F519" s="2" t="s">
        <v>92</v>
      </c>
      <c r="G519" s="2" t="s">
        <v>602</v>
      </c>
      <c r="H519" s="2">
        <v>5</v>
      </c>
      <c r="I519" s="19" t="str">
        <f t="shared" si="118"/>
        <v/>
      </c>
      <c r="J519" s="2" t="str">
        <f t="shared" si="119"/>
        <v/>
      </c>
      <c r="K519" s="2" t="str">
        <f t="shared" si="120"/>
        <v/>
      </c>
      <c r="L519" s="2" t="str">
        <f t="shared" si="121"/>
        <v/>
      </c>
      <c r="M519" s="2" t="str">
        <f t="shared" si="122"/>
        <v/>
      </c>
      <c r="N519" s="2">
        <f t="shared" si="123"/>
        <v>6</v>
      </c>
      <c r="O519" s="19">
        <f t="shared" si="124"/>
        <v>6</v>
      </c>
      <c r="Q519" s="2" t="str">
        <f t="shared" si="125"/>
        <v>10</v>
      </c>
      <c r="R519" s="21" t="str">
        <f t="shared" si="126"/>
        <v>2.4.10b</v>
      </c>
      <c r="S519" s="2" t="str">
        <f t="shared" si="127"/>
        <v/>
      </c>
      <c r="T519" s="2" t="str">
        <f t="shared" si="129"/>
        <v/>
      </c>
      <c r="U519" s="19" t="str">
        <f t="shared" si="130"/>
        <v/>
      </c>
    </row>
    <row r="520" spans="1:21" x14ac:dyDescent="0.2">
      <c r="A520" s="2">
        <v>519</v>
      </c>
      <c r="B520" s="21" t="str">
        <f t="shared" si="128"/>
        <v>2.4.11</v>
      </c>
      <c r="C520" s="2">
        <v>2</v>
      </c>
      <c r="D520" s="2">
        <v>4</v>
      </c>
      <c r="E520" s="2">
        <v>11</v>
      </c>
      <c r="F520" s="2" t="s">
        <v>84</v>
      </c>
      <c r="G520" s="2" t="s">
        <v>603</v>
      </c>
      <c r="H520" s="2" t="s">
        <v>89</v>
      </c>
      <c r="I520" s="19" t="str">
        <f t="shared" si="118"/>
        <v/>
      </c>
      <c r="J520" s="2" t="str">
        <f t="shared" si="119"/>
        <v/>
      </c>
      <c r="K520" s="2" t="str">
        <f t="shared" si="120"/>
        <v/>
      </c>
      <c r="L520" s="2">
        <f t="shared" si="121"/>
        <v>4</v>
      </c>
      <c r="M520" s="2" t="str">
        <f t="shared" si="122"/>
        <v/>
      </c>
      <c r="N520" s="2" t="str">
        <f t="shared" si="123"/>
        <v/>
      </c>
      <c r="O520" s="19">
        <f t="shared" si="124"/>
        <v>4</v>
      </c>
      <c r="Q520" s="2" t="str">
        <f t="shared" si="125"/>
        <v>11</v>
      </c>
      <c r="R520" s="21" t="str">
        <f t="shared" si="126"/>
        <v>2.4.11</v>
      </c>
      <c r="S520" s="2" t="str">
        <f t="shared" si="127"/>
        <v/>
      </c>
      <c r="T520" s="2" t="str">
        <f t="shared" si="129"/>
        <v/>
      </c>
      <c r="U520" s="19" t="str">
        <f t="shared" si="130"/>
        <v/>
      </c>
    </row>
    <row r="521" spans="1:21" x14ac:dyDescent="0.2">
      <c r="A521" s="2">
        <v>520</v>
      </c>
      <c r="B521" s="21" t="str">
        <f t="shared" si="128"/>
        <v>2.4.11a</v>
      </c>
      <c r="C521" s="2">
        <v>2</v>
      </c>
      <c r="D521" s="2">
        <v>4</v>
      </c>
      <c r="E521" s="2">
        <v>11</v>
      </c>
      <c r="F521" s="2" t="s">
        <v>90</v>
      </c>
      <c r="G521" s="2" t="s">
        <v>604</v>
      </c>
      <c r="H521" s="2">
        <v>3</v>
      </c>
      <c r="I521" s="19" t="str">
        <f t="shared" si="118"/>
        <v/>
      </c>
      <c r="J521" s="2" t="str">
        <f t="shared" si="119"/>
        <v/>
      </c>
      <c r="K521" s="2" t="str">
        <f t="shared" si="120"/>
        <v/>
      </c>
      <c r="L521" s="2" t="str">
        <f t="shared" si="121"/>
        <v/>
      </c>
      <c r="M521" s="2" t="str">
        <f t="shared" si="122"/>
        <v/>
      </c>
      <c r="N521" s="2">
        <f t="shared" si="123"/>
        <v>6</v>
      </c>
      <c r="O521" s="19">
        <f t="shared" si="124"/>
        <v>6</v>
      </c>
      <c r="Q521" s="2" t="str">
        <f t="shared" si="125"/>
        <v>11</v>
      </c>
      <c r="R521" s="21" t="str">
        <f t="shared" si="126"/>
        <v>2.4.11a</v>
      </c>
      <c r="S521" s="2" t="str">
        <f t="shared" si="127"/>
        <v/>
      </c>
      <c r="T521" s="2" t="str">
        <f t="shared" si="129"/>
        <v/>
      </c>
      <c r="U521" s="19" t="str">
        <f t="shared" si="130"/>
        <v/>
      </c>
    </row>
    <row r="522" spans="1:21" x14ac:dyDescent="0.2">
      <c r="A522" s="2">
        <v>521</v>
      </c>
      <c r="B522" s="21" t="str">
        <f t="shared" si="128"/>
        <v>2.4.11b</v>
      </c>
      <c r="C522" s="2">
        <v>2</v>
      </c>
      <c r="D522" s="2">
        <v>4</v>
      </c>
      <c r="E522" s="2">
        <v>11</v>
      </c>
      <c r="F522" s="2" t="s">
        <v>92</v>
      </c>
      <c r="G522" s="2" t="s">
        <v>605</v>
      </c>
      <c r="H522" s="2">
        <v>3</v>
      </c>
      <c r="I522" s="19" t="str">
        <f t="shared" si="118"/>
        <v/>
      </c>
      <c r="J522" s="2" t="str">
        <f t="shared" si="119"/>
        <v/>
      </c>
      <c r="K522" s="2" t="str">
        <f t="shared" si="120"/>
        <v/>
      </c>
      <c r="L522" s="2" t="str">
        <f t="shared" si="121"/>
        <v/>
      </c>
      <c r="M522" s="2" t="str">
        <f t="shared" si="122"/>
        <v/>
      </c>
      <c r="N522" s="2">
        <f t="shared" si="123"/>
        <v>6</v>
      </c>
      <c r="O522" s="19">
        <f t="shared" si="124"/>
        <v>6</v>
      </c>
      <c r="Q522" s="2" t="str">
        <f t="shared" si="125"/>
        <v>11</v>
      </c>
      <c r="R522" s="21" t="str">
        <f t="shared" si="126"/>
        <v>2.4.11b</v>
      </c>
      <c r="S522" s="2" t="str">
        <f t="shared" si="127"/>
        <v/>
      </c>
      <c r="T522" s="2" t="str">
        <f t="shared" si="129"/>
        <v/>
      </c>
      <c r="U522" s="19" t="str">
        <f t="shared" si="130"/>
        <v/>
      </c>
    </row>
    <row r="523" spans="1:21" x14ac:dyDescent="0.2">
      <c r="A523" s="2">
        <v>522</v>
      </c>
      <c r="B523" s="21">
        <f t="shared" si="128"/>
        <v>3</v>
      </c>
      <c r="C523" s="2">
        <v>3</v>
      </c>
      <c r="D523" s="2" t="s">
        <v>84</v>
      </c>
      <c r="E523" s="2" t="s">
        <v>84</v>
      </c>
      <c r="F523" s="2" t="s">
        <v>84</v>
      </c>
      <c r="G523" s="2" t="s">
        <v>606</v>
      </c>
      <c r="H523" s="2" t="s">
        <v>84</v>
      </c>
      <c r="I523" s="19">
        <f t="shared" si="118"/>
        <v>1</v>
      </c>
      <c r="J523" s="2" t="str">
        <f t="shared" si="119"/>
        <v/>
      </c>
      <c r="K523" s="2" t="str">
        <f t="shared" si="120"/>
        <v/>
      </c>
      <c r="L523" s="2" t="str">
        <f t="shared" si="121"/>
        <v/>
      </c>
      <c r="M523" s="2" t="str">
        <f t="shared" si="122"/>
        <v/>
      </c>
      <c r="N523" s="2" t="str">
        <f t="shared" si="123"/>
        <v/>
      </c>
      <c r="O523" s="19">
        <f t="shared" si="124"/>
        <v>1</v>
      </c>
      <c r="Q523" s="2" t="str">
        <f t="shared" si="125"/>
        <v/>
      </c>
      <c r="R523" s="21">
        <f t="shared" si="126"/>
        <v>3</v>
      </c>
      <c r="S523" s="2" t="str">
        <f t="shared" si="127"/>
        <v/>
      </c>
      <c r="T523" s="2">
        <f t="shared" si="129"/>
        <v>1</v>
      </c>
      <c r="U523" s="19" t="str">
        <f t="shared" si="130"/>
        <v/>
      </c>
    </row>
    <row r="524" spans="1:21" x14ac:dyDescent="0.2">
      <c r="A524" s="2">
        <v>523</v>
      </c>
      <c r="B524" s="21" t="str">
        <f t="shared" si="128"/>
        <v>3.1</v>
      </c>
      <c r="C524" s="2">
        <v>3</v>
      </c>
      <c r="D524" s="2">
        <v>1</v>
      </c>
      <c r="E524" s="2" t="s">
        <v>84</v>
      </c>
      <c r="F524" s="2" t="s">
        <v>84</v>
      </c>
      <c r="G524" s="2" t="s">
        <v>607</v>
      </c>
      <c r="H524" s="2" t="s">
        <v>84</v>
      </c>
      <c r="I524" s="19" t="str">
        <f t="shared" si="118"/>
        <v/>
      </c>
      <c r="J524" s="2">
        <f t="shared" si="119"/>
        <v>2</v>
      </c>
      <c r="K524" s="2" t="str">
        <f t="shared" si="120"/>
        <v/>
      </c>
      <c r="L524" s="2" t="str">
        <f t="shared" si="121"/>
        <v/>
      </c>
      <c r="M524" s="2" t="str">
        <f t="shared" si="122"/>
        <v/>
      </c>
      <c r="N524" s="2" t="str">
        <f t="shared" si="123"/>
        <v/>
      </c>
      <c r="O524" s="19">
        <f t="shared" si="124"/>
        <v>2</v>
      </c>
      <c r="Q524" s="2" t="str">
        <f t="shared" si="125"/>
        <v/>
      </c>
      <c r="R524" s="21" t="str">
        <f t="shared" si="126"/>
        <v>3.1</v>
      </c>
      <c r="S524" s="2" t="str">
        <f t="shared" si="127"/>
        <v/>
      </c>
      <c r="T524" s="2" t="str">
        <f t="shared" si="129"/>
        <v/>
      </c>
      <c r="U524" s="19" t="str">
        <f t="shared" si="130"/>
        <v/>
      </c>
    </row>
    <row r="525" spans="1:21" x14ac:dyDescent="0.2">
      <c r="A525" s="2">
        <v>524</v>
      </c>
      <c r="B525" s="21" t="str">
        <f t="shared" si="128"/>
        <v>3.1.01</v>
      </c>
      <c r="C525" s="2">
        <v>3</v>
      </c>
      <c r="D525" s="2">
        <v>1</v>
      </c>
      <c r="E525" s="2">
        <v>1</v>
      </c>
      <c r="F525" s="2" t="s">
        <v>84</v>
      </c>
      <c r="G525" s="2" t="s">
        <v>608</v>
      </c>
      <c r="H525" s="2">
        <v>1</v>
      </c>
      <c r="I525" s="19" t="str">
        <f t="shared" si="118"/>
        <v/>
      </c>
      <c r="J525" s="2" t="str">
        <f t="shared" si="119"/>
        <v/>
      </c>
      <c r="K525" s="2" t="str">
        <f t="shared" si="120"/>
        <v/>
      </c>
      <c r="L525" s="2" t="str">
        <f t="shared" si="121"/>
        <v/>
      </c>
      <c r="M525" s="2">
        <f t="shared" si="122"/>
        <v>5</v>
      </c>
      <c r="N525" s="2" t="str">
        <f t="shared" si="123"/>
        <v/>
      </c>
      <c r="O525" s="19">
        <f t="shared" si="124"/>
        <v>5</v>
      </c>
      <c r="Q525" s="2" t="str">
        <f t="shared" si="125"/>
        <v>01</v>
      </c>
      <c r="R525" s="21" t="str">
        <f t="shared" si="126"/>
        <v>3.1.01</v>
      </c>
      <c r="S525" s="2" t="str">
        <f t="shared" si="127"/>
        <v/>
      </c>
      <c r="T525" s="2" t="str">
        <f t="shared" si="129"/>
        <v/>
      </c>
      <c r="U525" s="19" t="str">
        <f t="shared" si="130"/>
        <v/>
      </c>
    </row>
    <row r="526" spans="1:21" x14ac:dyDescent="0.2">
      <c r="A526" s="2">
        <v>525</v>
      </c>
      <c r="B526" s="21" t="str">
        <f t="shared" si="128"/>
        <v>3.1.02</v>
      </c>
      <c r="C526" s="2">
        <v>3</v>
      </c>
      <c r="D526" s="2">
        <v>1</v>
      </c>
      <c r="E526" s="2">
        <v>2</v>
      </c>
      <c r="F526" s="2" t="s">
        <v>84</v>
      </c>
      <c r="G526" s="2" t="s">
        <v>609</v>
      </c>
      <c r="H526" s="2">
        <v>2</v>
      </c>
      <c r="I526" s="19" t="str">
        <f t="shared" si="118"/>
        <v/>
      </c>
      <c r="J526" s="2" t="str">
        <f t="shared" si="119"/>
        <v/>
      </c>
      <c r="K526" s="2" t="str">
        <f t="shared" si="120"/>
        <v/>
      </c>
      <c r="L526" s="2" t="str">
        <f t="shared" si="121"/>
        <v/>
      </c>
      <c r="M526" s="2">
        <f t="shared" si="122"/>
        <v>5</v>
      </c>
      <c r="N526" s="2" t="str">
        <f t="shared" si="123"/>
        <v/>
      </c>
      <c r="O526" s="19">
        <f t="shared" si="124"/>
        <v>5</v>
      </c>
      <c r="Q526" s="2" t="str">
        <f t="shared" si="125"/>
        <v>02</v>
      </c>
      <c r="R526" s="21" t="str">
        <f t="shared" si="126"/>
        <v>3.1.02</v>
      </c>
      <c r="S526" s="2" t="str">
        <f t="shared" si="127"/>
        <v/>
      </c>
      <c r="T526" s="2" t="str">
        <f t="shared" si="129"/>
        <v/>
      </c>
      <c r="U526" s="19" t="str">
        <f t="shared" si="130"/>
        <v/>
      </c>
    </row>
    <row r="527" spans="1:21" x14ac:dyDescent="0.2">
      <c r="A527" s="2">
        <v>526</v>
      </c>
      <c r="B527" s="21" t="str">
        <f t="shared" si="128"/>
        <v>3.1.03</v>
      </c>
      <c r="C527" s="2">
        <v>3</v>
      </c>
      <c r="D527" s="2">
        <v>1</v>
      </c>
      <c r="E527" s="2">
        <v>3</v>
      </c>
      <c r="F527" s="2" t="s">
        <v>84</v>
      </c>
      <c r="G527" s="2" t="s">
        <v>610</v>
      </c>
      <c r="H527" s="2">
        <v>3</v>
      </c>
      <c r="I527" s="19" t="str">
        <f t="shared" si="118"/>
        <v/>
      </c>
      <c r="J527" s="2" t="str">
        <f t="shared" si="119"/>
        <v/>
      </c>
      <c r="K527" s="2" t="str">
        <f t="shared" si="120"/>
        <v/>
      </c>
      <c r="L527" s="2" t="str">
        <f t="shared" si="121"/>
        <v/>
      </c>
      <c r="M527" s="2">
        <f t="shared" si="122"/>
        <v>5</v>
      </c>
      <c r="N527" s="2" t="str">
        <f t="shared" si="123"/>
        <v/>
      </c>
      <c r="O527" s="19">
        <f t="shared" si="124"/>
        <v>5</v>
      </c>
      <c r="Q527" s="2" t="str">
        <f t="shared" si="125"/>
        <v>03</v>
      </c>
      <c r="R527" s="21" t="str">
        <f t="shared" si="126"/>
        <v>3.1.03</v>
      </c>
      <c r="S527" s="2" t="str">
        <f t="shared" si="127"/>
        <v/>
      </c>
      <c r="T527" s="2" t="str">
        <f t="shared" si="129"/>
        <v/>
      </c>
      <c r="U527" s="19" t="str">
        <f t="shared" si="130"/>
        <v/>
      </c>
    </row>
    <row r="528" spans="1:21" x14ac:dyDescent="0.2">
      <c r="A528" s="2">
        <v>527</v>
      </c>
      <c r="B528" s="21" t="str">
        <f t="shared" si="128"/>
        <v>3.1.04</v>
      </c>
      <c r="C528" s="2">
        <v>3</v>
      </c>
      <c r="D528" s="2">
        <v>1</v>
      </c>
      <c r="E528" s="2">
        <v>4</v>
      </c>
      <c r="F528" s="2" t="s">
        <v>84</v>
      </c>
      <c r="G528" s="2" t="s">
        <v>611</v>
      </c>
      <c r="H528" s="2">
        <v>4</v>
      </c>
      <c r="I528" s="19" t="str">
        <f t="shared" si="118"/>
        <v/>
      </c>
      <c r="J528" s="2" t="str">
        <f t="shared" si="119"/>
        <v/>
      </c>
      <c r="K528" s="2" t="str">
        <f t="shared" si="120"/>
        <v/>
      </c>
      <c r="L528" s="2" t="str">
        <f t="shared" si="121"/>
        <v/>
      </c>
      <c r="M528" s="2">
        <f t="shared" si="122"/>
        <v>5</v>
      </c>
      <c r="N528" s="2" t="str">
        <f t="shared" si="123"/>
        <v/>
      </c>
      <c r="O528" s="19">
        <f t="shared" si="124"/>
        <v>5</v>
      </c>
      <c r="Q528" s="2" t="str">
        <f t="shared" si="125"/>
        <v>04</v>
      </c>
      <c r="R528" s="21" t="str">
        <f t="shared" si="126"/>
        <v>3.1.04</v>
      </c>
      <c r="S528" s="2" t="str">
        <f t="shared" si="127"/>
        <v/>
      </c>
      <c r="T528" s="2" t="str">
        <f t="shared" si="129"/>
        <v/>
      </c>
      <c r="U528" s="19" t="str">
        <f t="shared" si="130"/>
        <v/>
      </c>
    </row>
    <row r="529" spans="1:21" x14ac:dyDescent="0.2">
      <c r="A529" s="2">
        <v>528</v>
      </c>
      <c r="B529" s="21" t="str">
        <f t="shared" si="128"/>
        <v>3.1.05</v>
      </c>
      <c r="C529" s="2">
        <v>3</v>
      </c>
      <c r="D529" s="2">
        <v>1</v>
      </c>
      <c r="E529" s="2">
        <v>5</v>
      </c>
      <c r="F529" s="2" t="s">
        <v>84</v>
      </c>
      <c r="G529" s="2" t="s">
        <v>612</v>
      </c>
      <c r="H529" s="2">
        <v>3</v>
      </c>
      <c r="I529" s="19" t="str">
        <f t="shared" si="118"/>
        <v/>
      </c>
      <c r="J529" s="2" t="str">
        <f t="shared" si="119"/>
        <v/>
      </c>
      <c r="K529" s="2" t="str">
        <f t="shared" si="120"/>
        <v/>
      </c>
      <c r="L529" s="2" t="str">
        <f t="shared" si="121"/>
        <v/>
      </c>
      <c r="M529" s="2">
        <f t="shared" si="122"/>
        <v>5</v>
      </c>
      <c r="N529" s="2" t="str">
        <f t="shared" si="123"/>
        <v/>
      </c>
      <c r="O529" s="19">
        <f t="shared" si="124"/>
        <v>5</v>
      </c>
      <c r="Q529" s="2" t="str">
        <f t="shared" si="125"/>
        <v>05</v>
      </c>
      <c r="R529" s="21" t="str">
        <f t="shared" si="126"/>
        <v>3.1.05</v>
      </c>
      <c r="S529" s="2" t="str">
        <f t="shared" si="127"/>
        <v/>
      </c>
      <c r="T529" s="2" t="str">
        <f t="shared" si="129"/>
        <v/>
      </c>
      <c r="U529" s="19" t="str">
        <f t="shared" si="130"/>
        <v/>
      </c>
    </row>
    <row r="530" spans="1:21" x14ac:dyDescent="0.2">
      <c r="A530" s="2">
        <v>529</v>
      </c>
      <c r="B530" s="21" t="str">
        <f t="shared" si="128"/>
        <v>3.1.06</v>
      </c>
      <c r="C530" s="2">
        <v>3</v>
      </c>
      <c r="D530" s="2">
        <v>1</v>
      </c>
      <c r="E530" s="2">
        <v>6</v>
      </c>
      <c r="F530" s="2" t="s">
        <v>84</v>
      </c>
      <c r="G530" s="2" t="s">
        <v>613</v>
      </c>
      <c r="H530" s="2">
        <v>4</v>
      </c>
      <c r="I530" s="19" t="str">
        <f t="shared" si="118"/>
        <v/>
      </c>
      <c r="J530" s="2" t="str">
        <f t="shared" si="119"/>
        <v/>
      </c>
      <c r="K530" s="2" t="str">
        <f t="shared" si="120"/>
        <v/>
      </c>
      <c r="L530" s="2" t="str">
        <f t="shared" si="121"/>
        <v/>
      </c>
      <c r="M530" s="2">
        <f t="shared" si="122"/>
        <v>5</v>
      </c>
      <c r="N530" s="2" t="str">
        <f t="shared" si="123"/>
        <v/>
      </c>
      <c r="O530" s="19">
        <f t="shared" si="124"/>
        <v>5</v>
      </c>
      <c r="Q530" s="2" t="str">
        <f t="shared" si="125"/>
        <v>06</v>
      </c>
      <c r="R530" s="21" t="str">
        <f t="shared" si="126"/>
        <v>3.1.06</v>
      </c>
      <c r="S530" s="2" t="str">
        <f t="shared" si="127"/>
        <v/>
      </c>
      <c r="T530" s="2" t="str">
        <f t="shared" si="129"/>
        <v/>
      </c>
      <c r="U530" s="19" t="str">
        <f t="shared" si="130"/>
        <v/>
      </c>
    </row>
    <row r="531" spans="1:21" x14ac:dyDescent="0.2">
      <c r="A531" s="2">
        <v>530</v>
      </c>
      <c r="B531" s="21" t="str">
        <f t="shared" si="128"/>
        <v>3.1.07</v>
      </c>
      <c r="C531" s="2">
        <v>3</v>
      </c>
      <c r="D531" s="2">
        <v>1</v>
      </c>
      <c r="E531" s="2">
        <v>7</v>
      </c>
      <c r="F531" s="2" t="s">
        <v>84</v>
      </c>
      <c r="G531" s="2" t="s">
        <v>614</v>
      </c>
      <c r="H531" s="2">
        <v>5</v>
      </c>
      <c r="I531" s="19" t="str">
        <f t="shared" si="118"/>
        <v/>
      </c>
      <c r="J531" s="2" t="str">
        <f t="shared" si="119"/>
        <v/>
      </c>
      <c r="K531" s="2" t="str">
        <f t="shared" si="120"/>
        <v/>
      </c>
      <c r="L531" s="2" t="str">
        <f t="shared" si="121"/>
        <v/>
      </c>
      <c r="M531" s="2">
        <f t="shared" si="122"/>
        <v>5</v>
      </c>
      <c r="N531" s="2" t="str">
        <f t="shared" si="123"/>
        <v/>
      </c>
      <c r="O531" s="19">
        <f t="shared" si="124"/>
        <v>5</v>
      </c>
      <c r="Q531" s="2" t="str">
        <f t="shared" si="125"/>
        <v>07</v>
      </c>
      <c r="R531" s="21" t="str">
        <f t="shared" si="126"/>
        <v>3.1.07</v>
      </c>
      <c r="S531" s="2" t="str">
        <f t="shared" si="127"/>
        <v/>
      </c>
      <c r="T531" s="2" t="str">
        <f t="shared" si="129"/>
        <v/>
      </c>
      <c r="U531" s="19" t="str">
        <f t="shared" si="130"/>
        <v/>
      </c>
    </row>
    <row r="532" spans="1:21" x14ac:dyDescent="0.2">
      <c r="A532" s="2">
        <v>531</v>
      </c>
      <c r="B532" s="21" t="str">
        <f t="shared" si="128"/>
        <v>3.1.08</v>
      </c>
      <c r="C532" s="2">
        <v>3</v>
      </c>
      <c r="D532" s="2">
        <v>1</v>
      </c>
      <c r="E532" s="2">
        <v>8</v>
      </c>
      <c r="F532" s="2" t="s">
        <v>84</v>
      </c>
      <c r="G532" s="2" t="s">
        <v>615</v>
      </c>
      <c r="H532" s="2">
        <v>4</v>
      </c>
      <c r="I532" s="19" t="str">
        <f t="shared" si="118"/>
        <v/>
      </c>
      <c r="J532" s="2" t="str">
        <f t="shared" si="119"/>
        <v/>
      </c>
      <c r="K532" s="2" t="str">
        <f t="shared" si="120"/>
        <v/>
      </c>
      <c r="L532" s="2" t="str">
        <f t="shared" si="121"/>
        <v/>
      </c>
      <c r="M532" s="2">
        <f t="shared" si="122"/>
        <v>5</v>
      </c>
      <c r="N532" s="2" t="str">
        <f t="shared" si="123"/>
        <v/>
      </c>
      <c r="O532" s="19">
        <f t="shared" si="124"/>
        <v>5</v>
      </c>
      <c r="Q532" s="2" t="str">
        <f t="shared" si="125"/>
        <v>08</v>
      </c>
      <c r="R532" s="21" t="str">
        <f t="shared" si="126"/>
        <v>3.1.08</v>
      </c>
      <c r="S532" s="2" t="str">
        <f t="shared" si="127"/>
        <v/>
      </c>
      <c r="T532" s="2" t="str">
        <f t="shared" si="129"/>
        <v/>
      </c>
      <c r="U532" s="19" t="str">
        <f t="shared" si="130"/>
        <v/>
      </c>
    </row>
    <row r="533" spans="1:21" x14ac:dyDescent="0.2">
      <c r="A533" s="2">
        <v>532</v>
      </c>
      <c r="B533" s="21" t="str">
        <f t="shared" si="128"/>
        <v>3.1.09</v>
      </c>
      <c r="C533" s="2">
        <v>3</v>
      </c>
      <c r="D533" s="2">
        <v>1</v>
      </c>
      <c r="E533" s="2">
        <v>9</v>
      </c>
      <c r="F533" s="2" t="s">
        <v>84</v>
      </c>
      <c r="G533" s="2" t="s">
        <v>616</v>
      </c>
      <c r="H533" s="2">
        <v>5</v>
      </c>
      <c r="I533" s="19" t="str">
        <f t="shared" si="118"/>
        <v/>
      </c>
      <c r="J533" s="2" t="str">
        <f t="shared" si="119"/>
        <v/>
      </c>
      <c r="K533" s="2" t="str">
        <f t="shared" si="120"/>
        <v/>
      </c>
      <c r="L533" s="2" t="str">
        <f t="shared" si="121"/>
        <v/>
      </c>
      <c r="M533" s="2">
        <f t="shared" si="122"/>
        <v>5</v>
      </c>
      <c r="N533" s="2" t="str">
        <f t="shared" si="123"/>
        <v/>
      </c>
      <c r="O533" s="19">
        <f t="shared" si="124"/>
        <v>5</v>
      </c>
      <c r="Q533" s="2" t="str">
        <f t="shared" si="125"/>
        <v>09</v>
      </c>
      <c r="R533" s="21" t="str">
        <f t="shared" si="126"/>
        <v>3.1.09</v>
      </c>
      <c r="S533" s="2" t="str">
        <f t="shared" si="127"/>
        <v/>
      </c>
      <c r="T533" s="2" t="str">
        <f t="shared" si="129"/>
        <v/>
      </c>
      <c r="U533" s="19" t="str">
        <f t="shared" si="130"/>
        <v/>
      </c>
    </row>
    <row r="534" spans="1:21" x14ac:dyDescent="0.2">
      <c r="A534" s="2">
        <v>533</v>
      </c>
      <c r="B534" s="21" t="str">
        <f t="shared" si="128"/>
        <v>3.1.10</v>
      </c>
      <c r="C534" s="2">
        <v>3</v>
      </c>
      <c r="D534" s="2">
        <v>1</v>
      </c>
      <c r="E534" s="2">
        <v>10</v>
      </c>
      <c r="F534" s="2" t="s">
        <v>84</v>
      </c>
      <c r="G534" s="2" t="s">
        <v>617</v>
      </c>
      <c r="H534" s="2">
        <v>5</v>
      </c>
      <c r="I534" s="19" t="str">
        <f t="shared" si="118"/>
        <v/>
      </c>
      <c r="J534" s="2" t="str">
        <f t="shared" si="119"/>
        <v/>
      </c>
      <c r="K534" s="2" t="str">
        <f t="shared" si="120"/>
        <v/>
      </c>
      <c r="L534" s="2" t="str">
        <f t="shared" si="121"/>
        <v/>
      </c>
      <c r="M534" s="2">
        <f t="shared" si="122"/>
        <v>5</v>
      </c>
      <c r="N534" s="2" t="str">
        <f t="shared" si="123"/>
        <v/>
      </c>
      <c r="O534" s="19">
        <f t="shared" si="124"/>
        <v>5</v>
      </c>
      <c r="Q534" s="2" t="str">
        <f t="shared" si="125"/>
        <v>10</v>
      </c>
      <c r="R534" s="21" t="str">
        <f t="shared" si="126"/>
        <v>3.1.10</v>
      </c>
      <c r="S534" s="2" t="str">
        <f t="shared" si="127"/>
        <v/>
      </c>
      <c r="T534" s="2" t="str">
        <f t="shared" si="129"/>
        <v/>
      </c>
      <c r="U534" s="19" t="str">
        <f t="shared" si="130"/>
        <v/>
      </c>
    </row>
    <row r="535" spans="1:21" x14ac:dyDescent="0.2">
      <c r="A535" s="2">
        <v>534</v>
      </c>
      <c r="B535" s="21" t="str">
        <f t="shared" si="128"/>
        <v>3.1.11</v>
      </c>
      <c r="C535" s="2">
        <v>3</v>
      </c>
      <c r="D535" s="2">
        <v>1</v>
      </c>
      <c r="E535" s="2">
        <v>11</v>
      </c>
      <c r="F535" s="2" t="s">
        <v>84</v>
      </c>
      <c r="G535" s="2" t="s">
        <v>618</v>
      </c>
      <c r="H535" s="2">
        <v>5</v>
      </c>
      <c r="I535" s="19" t="str">
        <f t="shared" si="118"/>
        <v/>
      </c>
      <c r="J535" s="2" t="str">
        <f t="shared" si="119"/>
        <v/>
      </c>
      <c r="K535" s="2" t="str">
        <f t="shared" si="120"/>
        <v/>
      </c>
      <c r="L535" s="2" t="str">
        <f t="shared" si="121"/>
        <v/>
      </c>
      <c r="M535" s="2">
        <f t="shared" si="122"/>
        <v>5</v>
      </c>
      <c r="N535" s="2" t="str">
        <f t="shared" si="123"/>
        <v/>
      </c>
      <c r="O535" s="19">
        <f t="shared" si="124"/>
        <v>5</v>
      </c>
      <c r="Q535" s="2" t="str">
        <f t="shared" si="125"/>
        <v>11</v>
      </c>
      <c r="R535" s="21" t="str">
        <f t="shared" si="126"/>
        <v>3.1.11</v>
      </c>
      <c r="S535" s="2" t="str">
        <f t="shared" si="127"/>
        <v/>
      </c>
      <c r="T535" s="2" t="str">
        <f t="shared" si="129"/>
        <v/>
      </c>
      <c r="U535" s="19" t="str">
        <f t="shared" si="130"/>
        <v/>
      </c>
    </row>
    <row r="536" spans="1:21" x14ac:dyDescent="0.2">
      <c r="A536" s="2">
        <v>535</v>
      </c>
      <c r="B536" s="21" t="str">
        <f t="shared" si="128"/>
        <v>3.2</v>
      </c>
      <c r="C536" s="2">
        <v>3</v>
      </c>
      <c r="D536" s="2">
        <v>2</v>
      </c>
      <c r="E536" s="2" t="s">
        <v>84</v>
      </c>
      <c r="F536" s="2" t="s">
        <v>84</v>
      </c>
      <c r="G536" s="2" t="s">
        <v>619</v>
      </c>
      <c r="H536" s="2" t="s">
        <v>84</v>
      </c>
      <c r="I536" s="19" t="str">
        <f t="shared" si="118"/>
        <v/>
      </c>
      <c r="J536" s="2">
        <f t="shared" si="119"/>
        <v>2</v>
      </c>
      <c r="K536" s="2" t="str">
        <f t="shared" si="120"/>
        <v/>
      </c>
      <c r="L536" s="2" t="str">
        <f t="shared" si="121"/>
        <v/>
      </c>
      <c r="M536" s="2" t="str">
        <f t="shared" si="122"/>
        <v/>
      </c>
      <c r="N536" s="2" t="str">
        <f t="shared" si="123"/>
        <v/>
      </c>
      <c r="O536" s="19">
        <f t="shared" si="124"/>
        <v>2</v>
      </c>
      <c r="Q536" s="2" t="str">
        <f t="shared" si="125"/>
        <v/>
      </c>
      <c r="R536" s="21" t="str">
        <f t="shared" si="126"/>
        <v>3.2</v>
      </c>
      <c r="S536" s="2" t="str">
        <f t="shared" ref="S536" si="131">IF(O536=O535,IF(NOT(R536&gt;R535),1,""),"")</f>
        <v/>
      </c>
      <c r="T536" s="2" t="str">
        <f t="shared" ref="T536" si="132">IF(NOT(R536&gt;R535),1,"")</f>
        <v/>
      </c>
      <c r="U536" s="19" t="str">
        <f t="shared" si="130"/>
        <v/>
      </c>
    </row>
    <row r="537" spans="1:21" x14ac:dyDescent="0.2">
      <c r="A537" s="2">
        <v>536</v>
      </c>
      <c r="B537" s="21" t="str">
        <f t="shared" si="128"/>
        <v>3.2.01</v>
      </c>
      <c r="C537" s="2">
        <v>3</v>
      </c>
      <c r="D537" s="2">
        <v>2</v>
      </c>
      <c r="E537" s="2">
        <v>1</v>
      </c>
      <c r="F537" s="2" t="s">
        <v>84</v>
      </c>
      <c r="G537" s="2" t="s">
        <v>620</v>
      </c>
      <c r="H537" s="2">
        <v>1</v>
      </c>
      <c r="I537" s="19" t="str">
        <f t="shared" si="118"/>
        <v/>
      </c>
      <c r="J537" s="2" t="str">
        <f t="shared" si="119"/>
        <v/>
      </c>
      <c r="K537" s="2" t="str">
        <f t="shared" si="120"/>
        <v/>
      </c>
      <c r="L537" s="2" t="str">
        <f t="shared" si="121"/>
        <v/>
      </c>
      <c r="M537" s="2">
        <f t="shared" si="122"/>
        <v>5</v>
      </c>
      <c r="N537" s="2" t="str">
        <f t="shared" si="123"/>
        <v/>
      </c>
      <c r="O537" s="19">
        <f t="shared" si="124"/>
        <v>5</v>
      </c>
      <c r="Q537" s="2" t="str">
        <f t="shared" si="125"/>
        <v>01</v>
      </c>
      <c r="R537" s="21" t="str">
        <f t="shared" si="126"/>
        <v>3.2.01</v>
      </c>
      <c r="S537" s="2" t="str">
        <f t="shared" si="127"/>
        <v/>
      </c>
      <c r="T537" s="2" t="str">
        <f t="shared" si="129"/>
        <v/>
      </c>
      <c r="U537" s="19" t="str">
        <f t="shared" si="130"/>
        <v/>
      </c>
    </row>
    <row r="538" spans="1:21" x14ac:dyDescent="0.2">
      <c r="A538" s="2">
        <v>537</v>
      </c>
      <c r="B538" s="21" t="str">
        <f t="shared" si="128"/>
        <v>3.2.02</v>
      </c>
      <c r="C538" s="2">
        <v>3</v>
      </c>
      <c r="D538" s="2">
        <v>2</v>
      </c>
      <c r="E538" s="2">
        <v>2</v>
      </c>
      <c r="F538" s="2" t="s">
        <v>84</v>
      </c>
      <c r="G538" s="2" t="s">
        <v>621</v>
      </c>
      <c r="H538" s="2" t="s">
        <v>89</v>
      </c>
      <c r="I538" s="19" t="str">
        <f t="shared" si="118"/>
        <v/>
      </c>
      <c r="J538" s="2" t="str">
        <f t="shared" si="119"/>
        <v/>
      </c>
      <c r="K538" s="2" t="str">
        <f t="shared" si="120"/>
        <v/>
      </c>
      <c r="L538" s="2">
        <f t="shared" si="121"/>
        <v>4</v>
      </c>
      <c r="M538" s="2" t="str">
        <f t="shared" si="122"/>
        <v/>
      </c>
      <c r="N538" s="2" t="str">
        <f t="shared" si="123"/>
        <v/>
      </c>
      <c r="O538" s="19">
        <f t="shared" si="124"/>
        <v>4</v>
      </c>
      <c r="Q538" s="2" t="str">
        <f t="shared" si="125"/>
        <v>02</v>
      </c>
      <c r="R538" s="21" t="str">
        <f t="shared" si="126"/>
        <v>3.2.02</v>
      </c>
      <c r="S538" s="2" t="str">
        <f t="shared" si="127"/>
        <v/>
      </c>
      <c r="T538" s="2" t="str">
        <f t="shared" si="129"/>
        <v/>
      </c>
      <c r="U538" s="19" t="str">
        <f t="shared" si="130"/>
        <v/>
      </c>
    </row>
    <row r="539" spans="1:21" x14ac:dyDescent="0.2">
      <c r="A539" s="2">
        <v>538</v>
      </c>
      <c r="B539" s="21" t="str">
        <f t="shared" si="128"/>
        <v>3.2.02a</v>
      </c>
      <c r="C539" s="2">
        <v>3</v>
      </c>
      <c r="D539" s="2">
        <v>2</v>
      </c>
      <c r="E539" s="2">
        <v>2</v>
      </c>
      <c r="F539" s="2" t="s">
        <v>90</v>
      </c>
      <c r="G539" s="2" t="s">
        <v>622</v>
      </c>
      <c r="H539" s="2">
        <v>2</v>
      </c>
      <c r="I539" s="19" t="str">
        <f t="shared" si="118"/>
        <v/>
      </c>
      <c r="J539" s="2" t="str">
        <f t="shared" si="119"/>
        <v/>
      </c>
      <c r="K539" s="2" t="str">
        <f t="shared" si="120"/>
        <v/>
      </c>
      <c r="L539" s="2" t="str">
        <f t="shared" si="121"/>
        <v/>
      </c>
      <c r="M539" s="2" t="str">
        <f t="shared" si="122"/>
        <v/>
      </c>
      <c r="N539" s="2">
        <f t="shared" si="123"/>
        <v>6</v>
      </c>
      <c r="O539" s="19">
        <f t="shared" si="124"/>
        <v>6</v>
      </c>
      <c r="Q539" s="2" t="str">
        <f t="shared" si="125"/>
        <v>02</v>
      </c>
      <c r="R539" s="21" t="str">
        <f t="shared" si="126"/>
        <v>3.2.02a</v>
      </c>
      <c r="S539" s="2" t="str">
        <f t="shared" si="127"/>
        <v/>
      </c>
      <c r="T539" s="2" t="str">
        <f t="shared" si="129"/>
        <v/>
      </c>
      <c r="U539" s="19" t="str">
        <f t="shared" si="130"/>
        <v/>
      </c>
    </row>
    <row r="540" spans="1:21" x14ac:dyDescent="0.2">
      <c r="A540" s="2">
        <v>539</v>
      </c>
      <c r="B540" s="21" t="str">
        <f t="shared" si="128"/>
        <v>3.2.02b</v>
      </c>
      <c r="C540" s="2">
        <v>3</v>
      </c>
      <c r="D540" s="2">
        <v>2</v>
      </c>
      <c r="E540" s="2">
        <v>2</v>
      </c>
      <c r="F540" s="2" t="s">
        <v>92</v>
      </c>
      <c r="G540" s="2" t="s">
        <v>623</v>
      </c>
      <c r="H540" s="2">
        <v>2</v>
      </c>
      <c r="I540" s="19" t="str">
        <f t="shared" si="118"/>
        <v/>
      </c>
      <c r="J540" s="2" t="str">
        <f t="shared" si="119"/>
        <v/>
      </c>
      <c r="K540" s="2" t="str">
        <f t="shared" si="120"/>
        <v/>
      </c>
      <c r="L540" s="2" t="str">
        <f t="shared" si="121"/>
        <v/>
      </c>
      <c r="M540" s="2" t="str">
        <f t="shared" si="122"/>
        <v/>
      </c>
      <c r="N540" s="2">
        <f t="shared" si="123"/>
        <v>6</v>
      </c>
      <c r="O540" s="19">
        <f t="shared" si="124"/>
        <v>6</v>
      </c>
      <c r="Q540" s="2" t="str">
        <f t="shared" si="125"/>
        <v>02</v>
      </c>
      <c r="R540" s="21" t="str">
        <f t="shared" si="126"/>
        <v>3.2.02b</v>
      </c>
      <c r="S540" s="2" t="str">
        <f t="shared" si="127"/>
        <v/>
      </c>
      <c r="T540" s="2" t="str">
        <f t="shared" si="129"/>
        <v/>
      </c>
      <c r="U540" s="19" t="str">
        <f t="shared" si="130"/>
        <v/>
      </c>
    </row>
    <row r="541" spans="1:21" x14ac:dyDescent="0.2">
      <c r="A541" s="2">
        <v>540</v>
      </c>
      <c r="B541" s="21" t="str">
        <f t="shared" si="128"/>
        <v>3.2.02c</v>
      </c>
      <c r="C541" s="2">
        <v>3</v>
      </c>
      <c r="D541" s="2">
        <v>2</v>
      </c>
      <c r="E541" s="2">
        <v>2</v>
      </c>
      <c r="F541" s="2" t="s">
        <v>94</v>
      </c>
      <c r="G541" s="2" t="s">
        <v>624</v>
      </c>
      <c r="H541" s="2">
        <v>2</v>
      </c>
      <c r="I541" s="19" t="str">
        <f t="shared" si="118"/>
        <v/>
      </c>
      <c r="J541" s="2" t="str">
        <f t="shared" si="119"/>
        <v/>
      </c>
      <c r="K541" s="2" t="str">
        <f t="shared" si="120"/>
        <v/>
      </c>
      <c r="L541" s="2" t="str">
        <f t="shared" si="121"/>
        <v/>
      </c>
      <c r="M541" s="2" t="str">
        <f t="shared" si="122"/>
        <v/>
      </c>
      <c r="N541" s="2">
        <f t="shared" si="123"/>
        <v>6</v>
      </c>
      <c r="O541" s="19">
        <f t="shared" si="124"/>
        <v>6</v>
      </c>
      <c r="Q541" s="2" t="str">
        <f t="shared" si="125"/>
        <v>02</v>
      </c>
      <c r="R541" s="21" t="str">
        <f t="shared" si="126"/>
        <v>3.2.02c</v>
      </c>
      <c r="S541" s="2" t="str">
        <f t="shared" si="127"/>
        <v/>
      </c>
      <c r="T541" s="2" t="str">
        <f t="shared" si="129"/>
        <v/>
      </c>
      <c r="U541" s="19" t="str">
        <f t="shared" si="130"/>
        <v/>
      </c>
    </row>
    <row r="542" spans="1:21" x14ac:dyDescent="0.2">
      <c r="A542" s="2">
        <v>541</v>
      </c>
      <c r="B542" s="21" t="str">
        <f t="shared" si="128"/>
        <v>3.2.02d</v>
      </c>
      <c r="C542" s="2">
        <v>3</v>
      </c>
      <c r="D542" s="2">
        <v>2</v>
      </c>
      <c r="E542" s="2">
        <v>2</v>
      </c>
      <c r="F542" s="2" t="s">
        <v>112</v>
      </c>
      <c r="G542" s="2" t="s">
        <v>625</v>
      </c>
      <c r="H542" s="2">
        <v>2</v>
      </c>
      <c r="I542" s="19" t="str">
        <f t="shared" si="118"/>
        <v/>
      </c>
      <c r="J542" s="2" t="str">
        <f t="shared" si="119"/>
        <v/>
      </c>
      <c r="K542" s="2" t="str">
        <f t="shared" si="120"/>
        <v/>
      </c>
      <c r="L542" s="2" t="str">
        <f t="shared" si="121"/>
        <v/>
      </c>
      <c r="M542" s="2" t="str">
        <f t="shared" si="122"/>
        <v/>
      </c>
      <c r="N542" s="2">
        <f t="shared" si="123"/>
        <v>6</v>
      </c>
      <c r="O542" s="19">
        <f t="shared" si="124"/>
        <v>6</v>
      </c>
      <c r="Q542" s="2" t="str">
        <f t="shared" si="125"/>
        <v>02</v>
      </c>
      <c r="R542" s="21" t="str">
        <f t="shared" si="126"/>
        <v>3.2.02d</v>
      </c>
      <c r="S542" s="2" t="str">
        <f t="shared" si="127"/>
        <v/>
      </c>
      <c r="T542" s="2" t="str">
        <f t="shared" si="129"/>
        <v/>
      </c>
      <c r="U542" s="19" t="str">
        <f t="shared" si="130"/>
        <v/>
      </c>
    </row>
    <row r="543" spans="1:21" x14ac:dyDescent="0.2">
      <c r="A543" s="2">
        <v>542</v>
      </c>
      <c r="B543" s="21" t="str">
        <f t="shared" si="128"/>
        <v>3.2.02e</v>
      </c>
      <c r="C543" s="2">
        <v>3</v>
      </c>
      <c r="D543" s="2">
        <v>2</v>
      </c>
      <c r="E543" s="2">
        <v>2</v>
      </c>
      <c r="F543" s="2" t="s">
        <v>114</v>
      </c>
      <c r="G543" s="2" t="s">
        <v>626</v>
      </c>
      <c r="H543" s="2">
        <v>2</v>
      </c>
      <c r="I543" s="19" t="str">
        <f t="shared" si="118"/>
        <v/>
      </c>
      <c r="J543" s="2" t="str">
        <f t="shared" si="119"/>
        <v/>
      </c>
      <c r="K543" s="2" t="str">
        <f t="shared" si="120"/>
        <v/>
      </c>
      <c r="L543" s="2" t="str">
        <f t="shared" si="121"/>
        <v/>
      </c>
      <c r="M543" s="2" t="str">
        <f t="shared" si="122"/>
        <v/>
      </c>
      <c r="N543" s="2">
        <f t="shared" si="123"/>
        <v>6</v>
      </c>
      <c r="O543" s="19">
        <f t="shared" si="124"/>
        <v>6</v>
      </c>
      <c r="Q543" s="2" t="str">
        <f t="shared" si="125"/>
        <v>02</v>
      </c>
      <c r="R543" s="21" t="str">
        <f t="shared" si="126"/>
        <v>3.2.02e</v>
      </c>
      <c r="S543" s="2" t="str">
        <f t="shared" si="127"/>
        <v/>
      </c>
      <c r="T543" s="2" t="str">
        <f t="shared" si="129"/>
        <v/>
      </c>
      <c r="U543" s="19" t="str">
        <f t="shared" si="130"/>
        <v/>
      </c>
    </row>
    <row r="544" spans="1:21" x14ac:dyDescent="0.2">
      <c r="A544" s="2">
        <v>543</v>
      </c>
      <c r="B544" s="21" t="str">
        <f t="shared" si="128"/>
        <v>3.2.03</v>
      </c>
      <c r="C544" s="2">
        <v>3</v>
      </c>
      <c r="D544" s="2">
        <v>2</v>
      </c>
      <c r="E544" s="2">
        <v>3</v>
      </c>
      <c r="F544" s="2" t="s">
        <v>84</v>
      </c>
      <c r="G544" s="2" t="s">
        <v>627</v>
      </c>
      <c r="H544" s="2">
        <v>3</v>
      </c>
      <c r="I544" s="19" t="str">
        <f t="shared" si="118"/>
        <v/>
      </c>
      <c r="J544" s="2" t="str">
        <f t="shared" si="119"/>
        <v/>
      </c>
      <c r="K544" s="2" t="str">
        <f t="shared" si="120"/>
        <v/>
      </c>
      <c r="L544" s="2" t="str">
        <f t="shared" si="121"/>
        <v/>
      </c>
      <c r="M544" s="2">
        <f t="shared" si="122"/>
        <v>5</v>
      </c>
      <c r="N544" s="2" t="str">
        <f t="shared" si="123"/>
        <v/>
      </c>
      <c r="O544" s="19">
        <f t="shared" si="124"/>
        <v>5</v>
      </c>
      <c r="Q544" s="2" t="str">
        <f t="shared" si="125"/>
        <v>03</v>
      </c>
      <c r="R544" s="21" t="str">
        <f t="shared" si="126"/>
        <v>3.2.03</v>
      </c>
      <c r="S544" s="2" t="str">
        <f t="shared" si="127"/>
        <v/>
      </c>
      <c r="T544" s="2" t="str">
        <f t="shared" si="129"/>
        <v/>
      </c>
      <c r="U544" s="19" t="str">
        <f t="shared" si="130"/>
        <v/>
      </c>
    </row>
    <row r="545" spans="1:21" x14ac:dyDescent="0.2">
      <c r="A545" s="2">
        <v>544</v>
      </c>
      <c r="B545" s="21" t="str">
        <f t="shared" si="128"/>
        <v>3.2.04</v>
      </c>
      <c r="C545" s="2">
        <v>3</v>
      </c>
      <c r="D545" s="2">
        <v>2</v>
      </c>
      <c r="E545" s="2">
        <v>4</v>
      </c>
      <c r="F545" s="2" t="s">
        <v>84</v>
      </c>
      <c r="G545" s="2" t="s">
        <v>628</v>
      </c>
      <c r="H545" s="2">
        <v>3</v>
      </c>
      <c r="I545" s="19" t="str">
        <f t="shared" si="118"/>
        <v/>
      </c>
      <c r="J545" s="2" t="str">
        <f t="shared" si="119"/>
        <v/>
      </c>
      <c r="K545" s="2" t="str">
        <f t="shared" si="120"/>
        <v/>
      </c>
      <c r="L545" s="2" t="str">
        <f t="shared" si="121"/>
        <v/>
      </c>
      <c r="M545" s="2">
        <f t="shared" si="122"/>
        <v>5</v>
      </c>
      <c r="N545" s="2" t="str">
        <f t="shared" si="123"/>
        <v/>
      </c>
      <c r="O545" s="19">
        <f t="shared" si="124"/>
        <v>5</v>
      </c>
      <c r="Q545" s="2" t="str">
        <f t="shared" si="125"/>
        <v>04</v>
      </c>
      <c r="R545" s="21" t="str">
        <f t="shared" si="126"/>
        <v>3.2.04</v>
      </c>
      <c r="S545" s="2" t="str">
        <f t="shared" si="127"/>
        <v/>
      </c>
      <c r="T545" s="2" t="str">
        <f t="shared" si="129"/>
        <v/>
      </c>
      <c r="U545" s="19" t="str">
        <f t="shared" si="130"/>
        <v/>
      </c>
    </row>
    <row r="546" spans="1:21" x14ac:dyDescent="0.2">
      <c r="A546" s="2">
        <v>545</v>
      </c>
      <c r="B546" s="21" t="str">
        <f t="shared" si="128"/>
        <v>3.2.05</v>
      </c>
      <c r="C546" s="2">
        <v>3</v>
      </c>
      <c r="D546" s="2">
        <v>2</v>
      </c>
      <c r="E546" s="2">
        <v>5</v>
      </c>
      <c r="F546" s="2" t="s">
        <v>84</v>
      </c>
      <c r="G546" s="2" t="s">
        <v>629</v>
      </c>
      <c r="H546" s="2" t="s">
        <v>89</v>
      </c>
      <c r="I546" s="19" t="str">
        <f t="shared" si="118"/>
        <v/>
      </c>
      <c r="J546" s="2" t="str">
        <f t="shared" si="119"/>
        <v/>
      </c>
      <c r="K546" s="2" t="str">
        <f t="shared" si="120"/>
        <v/>
      </c>
      <c r="L546" s="2">
        <f t="shared" si="121"/>
        <v>4</v>
      </c>
      <c r="M546" s="2" t="str">
        <f t="shared" si="122"/>
        <v/>
      </c>
      <c r="N546" s="2" t="str">
        <f t="shared" si="123"/>
        <v/>
      </c>
      <c r="O546" s="19">
        <f t="shared" si="124"/>
        <v>4</v>
      </c>
      <c r="Q546" s="2" t="str">
        <f t="shared" si="125"/>
        <v>05</v>
      </c>
      <c r="R546" s="21" t="str">
        <f t="shared" si="126"/>
        <v>3.2.05</v>
      </c>
      <c r="S546" s="2" t="str">
        <f t="shared" si="127"/>
        <v/>
      </c>
      <c r="T546" s="2" t="str">
        <f t="shared" si="129"/>
        <v/>
      </c>
      <c r="U546" s="19" t="str">
        <f t="shared" si="130"/>
        <v/>
      </c>
    </row>
    <row r="547" spans="1:21" x14ac:dyDescent="0.2">
      <c r="A547" s="2">
        <v>546</v>
      </c>
      <c r="B547" s="21" t="str">
        <f t="shared" si="128"/>
        <v>3.2.05a</v>
      </c>
      <c r="C547" s="2">
        <v>3</v>
      </c>
      <c r="D547" s="2">
        <v>2</v>
      </c>
      <c r="E547" s="2">
        <v>5</v>
      </c>
      <c r="F547" s="2" t="s">
        <v>90</v>
      </c>
      <c r="G547" s="2" t="s">
        <v>630</v>
      </c>
      <c r="H547" s="2">
        <v>4</v>
      </c>
      <c r="I547" s="19" t="str">
        <f t="shared" si="118"/>
        <v/>
      </c>
      <c r="J547" s="2" t="str">
        <f t="shared" si="119"/>
        <v/>
      </c>
      <c r="K547" s="2" t="str">
        <f t="shared" si="120"/>
        <v/>
      </c>
      <c r="L547" s="2" t="str">
        <f t="shared" si="121"/>
        <v/>
      </c>
      <c r="M547" s="2" t="str">
        <f t="shared" si="122"/>
        <v/>
      </c>
      <c r="N547" s="2">
        <f t="shared" si="123"/>
        <v>6</v>
      </c>
      <c r="O547" s="19">
        <f t="shared" si="124"/>
        <v>6</v>
      </c>
      <c r="Q547" s="2" t="str">
        <f t="shared" si="125"/>
        <v>05</v>
      </c>
      <c r="R547" s="21" t="str">
        <f t="shared" si="126"/>
        <v>3.2.05a</v>
      </c>
      <c r="S547" s="2" t="str">
        <f t="shared" si="127"/>
        <v/>
      </c>
      <c r="T547" s="2" t="str">
        <f t="shared" si="129"/>
        <v/>
      </c>
      <c r="U547" s="19" t="str">
        <f t="shared" si="130"/>
        <v/>
      </c>
    </row>
    <row r="548" spans="1:21" x14ac:dyDescent="0.2">
      <c r="A548" s="2">
        <v>547</v>
      </c>
      <c r="B548" s="21" t="str">
        <f t="shared" si="128"/>
        <v>3.2.05b</v>
      </c>
      <c r="C548" s="2">
        <v>3</v>
      </c>
      <c r="D548" s="2">
        <v>2</v>
      </c>
      <c r="E548" s="2">
        <v>5</v>
      </c>
      <c r="F548" s="2" t="s">
        <v>92</v>
      </c>
      <c r="G548" s="2" t="s">
        <v>631</v>
      </c>
      <c r="H548" s="2">
        <v>4</v>
      </c>
      <c r="I548" s="19" t="str">
        <f t="shared" si="118"/>
        <v/>
      </c>
      <c r="J548" s="2" t="str">
        <f t="shared" si="119"/>
        <v/>
      </c>
      <c r="K548" s="2" t="str">
        <f t="shared" si="120"/>
        <v/>
      </c>
      <c r="L548" s="2" t="str">
        <f t="shared" si="121"/>
        <v/>
      </c>
      <c r="M548" s="2" t="str">
        <f t="shared" si="122"/>
        <v/>
      </c>
      <c r="N548" s="2">
        <f t="shared" si="123"/>
        <v>6</v>
      </c>
      <c r="O548" s="19">
        <f t="shared" si="124"/>
        <v>6</v>
      </c>
      <c r="Q548" s="2" t="str">
        <f t="shared" si="125"/>
        <v>05</v>
      </c>
      <c r="R548" s="21" t="str">
        <f t="shared" si="126"/>
        <v>3.2.05b</v>
      </c>
      <c r="S548" s="2" t="str">
        <f t="shared" si="127"/>
        <v/>
      </c>
      <c r="T548" s="2" t="str">
        <f t="shared" si="129"/>
        <v/>
      </c>
      <c r="U548" s="19" t="str">
        <f t="shared" si="130"/>
        <v/>
      </c>
    </row>
    <row r="549" spans="1:21" x14ac:dyDescent="0.2">
      <c r="A549" s="2">
        <v>548</v>
      </c>
      <c r="B549" s="21" t="str">
        <f t="shared" si="128"/>
        <v>3.2.05c</v>
      </c>
      <c r="C549" s="2">
        <v>3</v>
      </c>
      <c r="D549" s="2">
        <v>2</v>
      </c>
      <c r="E549" s="2">
        <v>5</v>
      </c>
      <c r="F549" s="2" t="s">
        <v>94</v>
      </c>
      <c r="G549" s="12" t="s">
        <v>632</v>
      </c>
      <c r="H549" s="2">
        <v>4</v>
      </c>
      <c r="I549" s="19" t="str">
        <f t="shared" si="118"/>
        <v/>
      </c>
      <c r="J549" s="2" t="str">
        <f t="shared" si="119"/>
        <v/>
      </c>
      <c r="K549" s="2" t="str">
        <f t="shared" si="120"/>
        <v/>
      </c>
      <c r="L549" s="2" t="str">
        <f t="shared" si="121"/>
        <v/>
      </c>
      <c r="M549" s="2" t="str">
        <f t="shared" si="122"/>
        <v/>
      </c>
      <c r="N549" s="2">
        <f t="shared" si="123"/>
        <v>6</v>
      </c>
      <c r="O549" s="19">
        <f t="shared" si="124"/>
        <v>6</v>
      </c>
      <c r="Q549" s="2" t="str">
        <f t="shared" si="125"/>
        <v>05</v>
      </c>
      <c r="R549" s="21" t="str">
        <f t="shared" si="126"/>
        <v>3.2.05c</v>
      </c>
      <c r="S549" s="2" t="str">
        <f t="shared" si="127"/>
        <v/>
      </c>
      <c r="T549" s="2" t="str">
        <f t="shared" si="129"/>
        <v/>
      </c>
      <c r="U549" s="19" t="str">
        <f t="shared" si="130"/>
        <v/>
      </c>
    </row>
    <row r="550" spans="1:21" x14ac:dyDescent="0.2">
      <c r="A550" s="2">
        <v>549</v>
      </c>
      <c r="B550" s="21" t="str">
        <f t="shared" si="128"/>
        <v>3.2.06</v>
      </c>
      <c r="C550" s="2">
        <v>3</v>
      </c>
      <c r="D550" s="2">
        <v>2</v>
      </c>
      <c r="E550" s="2">
        <v>6</v>
      </c>
      <c r="F550" s="2" t="s">
        <v>84</v>
      </c>
      <c r="G550" s="2" t="s">
        <v>633</v>
      </c>
      <c r="H550" s="2">
        <v>5</v>
      </c>
      <c r="I550" s="19" t="str">
        <f t="shared" si="118"/>
        <v/>
      </c>
      <c r="J550" s="2" t="str">
        <f t="shared" si="119"/>
        <v/>
      </c>
      <c r="K550" s="2" t="str">
        <f t="shared" si="120"/>
        <v/>
      </c>
      <c r="L550" s="2" t="str">
        <f t="shared" si="121"/>
        <v/>
      </c>
      <c r="M550" s="2">
        <f t="shared" si="122"/>
        <v>5</v>
      </c>
      <c r="N550" s="2" t="str">
        <f t="shared" si="123"/>
        <v/>
      </c>
      <c r="O550" s="19">
        <f t="shared" si="124"/>
        <v>5</v>
      </c>
      <c r="Q550" s="2" t="str">
        <f t="shared" si="125"/>
        <v>06</v>
      </c>
      <c r="R550" s="21" t="str">
        <f t="shared" si="126"/>
        <v>3.2.06</v>
      </c>
      <c r="S550" s="2" t="str">
        <f t="shared" si="127"/>
        <v/>
      </c>
      <c r="T550" s="2" t="str">
        <f t="shared" si="129"/>
        <v/>
      </c>
      <c r="U550" s="19" t="str">
        <f t="shared" si="130"/>
        <v/>
      </c>
    </row>
    <row r="551" spans="1:21" x14ac:dyDescent="0.2">
      <c r="A551" s="2">
        <v>550</v>
      </c>
      <c r="B551" s="21" t="str">
        <f t="shared" si="128"/>
        <v>3.2.07</v>
      </c>
      <c r="C551" s="2">
        <v>3</v>
      </c>
      <c r="D551" s="2">
        <v>2</v>
      </c>
      <c r="E551" s="2">
        <v>7</v>
      </c>
      <c r="F551" s="2" t="s">
        <v>84</v>
      </c>
      <c r="G551" s="2" t="s">
        <v>634</v>
      </c>
      <c r="H551" s="2">
        <v>5</v>
      </c>
      <c r="I551" s="19" t="str">
        <f t="shared" si="118"/>
        <v/>
      </c>
      <c r="J551" s="2" t="str">
        <f t="shared" si="119"/>
        <v/>
      </c>
      <c r="K551" s="2" t="str">
        <f t="shared" si="120"/>
        <v/>
      </c>
      <c r="L551" s="2" t="str">
        <f t="shared" si="121"/>
        <v/>
      </c>
      <c r="M551" s="2">
        <f t="shared" si="122"/>
        <v>5</v>
      </c>
      <c r="N551" s="2" t="str">
        <f t="shared" si="123"/>
        <v/>
      </c>
      <c r="O551" s="19">
        <f t="shared" si="124"/>
        <v>5</v>
      </c>
      <c r="Q551" s="2" t="str">
        <f t="shared" si="125"/>
        <v>07</v>
      </c>
      <c r="R551" s="21" t="str">
        <f t="shared" si="126"/>
        <v>3.2.07</v>
      </c>
      <c r="S551" s="2" t="str">
        <f t="shared" si="127"/>
        <v/>
      </c>
      <c r="T551" s="2" t="str">
        <f t="shared" si="129"/>
        <v/>
      </c>
      <c r="U551" s="19" t="str">
        <f t="shared" si="130"/>
        <v/>
      </c>
    </row>
    <row r="552" spans="1:21" x14ac:dyDescent="0.2">
      <c r="A552" s="2">
        <v>551</v>
      </c>
      <c r="B552" s="21" t="str">
        <f t="shared" si="128"/>
        <v>3.3</v>
      </c>
      <c r="C552" s="2">
        <v>3</v>
      </c>
      <c r="D552" s="2">
        <v>3</v>
      </c>
      <c r="E552" s="2" t="s">
        <v>84</v>
      </c>
      <c r="F552" s="2" t="s">
        <v>84</v>
      </c>
      <c r="G552" s="2" t="s">
        <v>635</v>
      </c>
      <c r="H552" s="2" t="s">
        <v>84</v>
      </c>
      <c r="I552" s="19" t="str">
        <f t="shared" si="118"/>
        <v/>
      </c>
      <c r="J552" s="2">
        <f t="shared" si="119"/>
        <v>2</v>
      </c>
      <c r="K552" s="2" t="str">
        <f t="shared" si="120"/>
        <v/>
      </c>
      <c r="L552" s="2" t="str">
        <f t="shared" si="121"/>
        <v/>
      </c>
      <c r="M552" s="2" t="str">
        <f t="shared" si="122"/>
        <v/>
      </c>
      <c r="N552" s="2" t="str">
        <f t="shared" si="123"/>
        <v/>
      </c>
      <c r="O552" s="19">
        <f t="shared" si="124"/>
        <v>2</v>
      </c>
      <c r="Q552" s="2" t="str">
        <f t="shared" si="125"/>
        <v/>
      </c>
      <c r="R552" s="21" t="str">
        <f t="shared" si="126"/>
        <v>3.3</v>
      </c>
      <c r="S552" s="2" t="str">
        <f t="shared" ref="S552" si="133">IF(O552=O551,IF(NOT(R552&gt;R551),1,""),"")</f>
        <v/>
      </c>
      <c r="T552" s="2" t="str">
        <f t="shared" ref="T552" si="134">IF(NOT(R552&gt;R551),1,"")</f>
        <v/>
      </c>
      <c r="U552" s="19" t="str">
        <f t="shared" si="130"/>
        <v/>
      </c>
    </row>
    <row r="553" spans="1:21" x14ac:dyDescent="0.2">
      <c r="A553" s="2">
        <v>552</v>
      </c>
      <c r="B553" s="21" t="str">
        <f t="shared" si="128"/>
        <v>3.3.01</v>
      </c>
      <c r="C553" s="2">
        <v>3</v>
      </c>
      <c r="D553" s="2">
        <v>3</v>
      </c>
      <c r="E553" s="2">
        <v>1</v>
      </c>
      <c r="F553" s="2" t="s">
        <v>84</v>
      </c>
      <c r="G553" s="2" t="s">
        <v>636</v>
      </c>
      <c r="H553" s="2">
        <v>1</v>
      </c>
      <c r="I553" s="19" t="str">
        <f t="shared" si="118"/>
        <v/>
      </c>
      <c r="J553" s="2" t="str">
        <f t="shared" si="119"/>
        <v/>
      </c>
      <c r="K553" s="2" t="str">
        <f t="shared" si="120"/>
        <v/>
      </c>
      <c r="L553" s="2" t="str">
        <f t="shared" si="121"/>
        <v/>
      </c>
      <c r="M553" s="2">
        <f t="shared" si="122"/>
        <v>5</v>
      </c>
      <c r="N553" s="2" t="str">
        <f t="shared" si="123"/>
        <v/>
      </c>
      <c r="O553" s="19">
        <f t="shared" si="124"/>
        <v>5</v>
      </c>
      <c r="Q553" s="2" t="str">
        <f t="shared" si="125"/>
        <v>01</v>
      </c>
      <c r="R553" s="21" t="str">
        <f t="shared" si="126"/>
        <v>3.3.01</v>
      </c>
      <c r="S553" s="2" t="str">
        <f t="shared" si="127"/>
        <v/>
      </c>
      <c r="T553" s="2" t="str">
        <f t="shared" si="129"/>
        <v/>
      </c>
      <c r="U553" s="19" t="str">
        <f t="shared" si="130"/>
        <v/>
      </c>
    </row>
    <row r="554" spans="1:21" x14ac:dyDescent="0.2">
      <c r="A554" s="2">
        <v>553</v>
      </c>
      <c r="B554" s="21" t="str">
        <f t="shared" si="128"/>
        <v>3.3.02</v>
      </c>
      <c r="C554" s="2">
        <v>3</v>
      </c>
      <c r="D554" s="2">
        <v>3</v>
      </c>
      <c r="E554" s="2">
        <v>2</v>
      </c>
      <c r="F554" s="2" t="s">
        <v>84</v>
      </c>
      <c r="G554" s="2" t="s">
        <v>637</v>
      </c>
      <c r="H554" s="2">
        <v>2</v>
      </c>
      <c r="I554" s="19" t="str">
        <f t="shared" si="118"/>
        <v/>
      </c>
      <c r="J554" s="2" t="str">
        <f t="shared" si="119"/>
        <v/>
      </c>
      <c r="K554" s="2" t="str">
        <f t="shared" si="120"/>
        <v/>
      </c>
      <c r="L554" s="2" t="str">
        <f t="shared" si="121"/>
        <v/>
      </c>
      <c r="M554" s="2">
        <f t="shared" si="122"/>
        <v>5</v>
      </c>
      <c r="N554" s="2" t="str">
        <f t="shared" si="123"/>
        <v/>
      </c>
      <c r="O554" s="19">
        <f t="shared" si="124"/>
        <v>5</v>
      </c>
      <c r="Q554" s="2" t="str">
        <f t="shared" si="125"/>
        <v>02</v>
      </c>
      <c r="R554" s="21" t="str">
        <f t="shared" si="126"/>
        <v>3.3.02</v>
      </c>
      <c r="S554" s="2" t="str">
        <f t="shared" si="127"/>
        <v/>
      </c>
      <c r="T554" s="2" t="str">
        <f t="shared" si="129"/>
        <v/>
      </c>
      <c r="U554" s="19" t="str">
        <f t="shared" si="130"/>
        <v/>
      </c>
    </row>
    <row r="555" spans="1:21" x14ac:dyDescent="0.2">
      <c r="A555" s="2">
        <v>554</v>
      </c>
      <c r="B555" s="21" t="str">
        <f t="shared" si="128"/>
        <v>3.3.03</v>
      </c>
      <c r="C555" s="2">
        <v>3</v>
      </c>
      <c r="D555" s="2">
        <v>3</v>
      </c>
      <c r="E555" s="2">
        <v>3</v>
      </c>
      <c r="F555" s="2" t="s">
        <v>84</v>
      </c>
      <c r="G555" s="2" t="s">
        <v>638</v>
      </c>
      <c r="H555" s="2" t="s">
        <v>89</v>
      </c>
      <c r="I555" s="19" t="str">
        <f t="shared" si="118"/>
        <v/>
      </c>
      <c r="J555" s="2" t="str">
        <f t="shared" si="119"/>
        <v/>
      </c>
      <c r="K555" s="2" t="str">
        <f t="shared" si="120"/>
        <v/>
      </c>
      <c r="L555" s="2">
        <f t="shared" si="121"/>
        <v>4</v>
      </c>
      <c r="M555" s="2" t="str">
        <f t="shared" si="122"/>
        <v/>
      </c>
      <c r="N555" s="2" t="str">
        <f t="shared" si="123"/>
        <v/>
      </c>
      <c r="O555" s="19">
        <f t="shared" si="124"/>
        <v>4</v>
      </c>
      <c r="Q555" s="2" t="str">
        <f t="shared" si="125"/>
        <v>03</v>
      </c>
      <c r="R555" s="21" t="str">
        <f t="shared" si="126"/>
        <v>3.3.03</v>
      </c>
      <c r="S555" s="2" t="str">
        <f t="shared" si="127"/>
        <v/>
      </c>
      <c r="T555" s="2" t="str">
        <f t="shared" si="129"/>
        <v/>
      </c>
      <c r="U555" s="19" t="str">
        <f t="shared" si="130"/>
        <v/>
      </c>
    </row>
    <row r="556" spans="1:21" x14ac:dyDescent="0.2">
      <c r="A556" s="2">
        <v>555</v>
      </c>
      <c r="B556" s="21" t="str">
        <f t="shared" si="128"/>
        <v>3.3.03a</v>
      </c>
      <c r="C556" s="2">
        <v>3</v>
      </c>
      <c r="D556" s="2">
        <v>3</v>
      </c>
      <c r="E556" s="2">
        <v>3</v>
      </c>
      <c r="F556" s="2" t="s">
        <v>90</v>
      </c>
      <c r="G556" s="2" t="s">
        <v>639</v>
      </c>
      <c r="H556" s="2">
        <v>3</v>
      </c>
      <c r="I556" s="19" t="str">
        <f t="shared" si="118"/>
        <v/>
      </c>
      <c r="J556" s="2" t="str">
        <f t="shared" si="119"/>
        <v/>
      </c>
      <c r="K556" s="2" t="str">
        <f t="shared" si="120"/>
        <v/>
      </c>
      <c r="L556" s="2" t="str">
        <f t="shared" si="121"/>
        <v/>
      </c>
      <c r="M556" s="2" t="str">
        <f t="shared" si="122"/>
        <v/>
      </c>
      <c r="N556" s="2">
        <f t="shared" si="123"/>
        <v>6</v>
      </c>
      <c r="O556" s="19">
        <f t="shared" si="124"/>
        <v>6</v>
      </c>
      <c r="Q556" s="2" t="str">
        <f t="shared" si="125"/>
        <v>03</v>
      </c>
      <c r="R556" s="21" t="str">
        <f t="shared" si="126"/>
        <v>3.3.03a</v>
      </c>
      <c r="S556" s="2" t="str">
        <f t="shared" si="127"/>
        <v/>
      </c>
      <c r="T556" s="2" t="str">
        <f t="shared" si="129"/>
        <v/>
      </c>
      <c r="U556" s="19" t="str">
        <f t="shared" si="130"/>
        <v/>
      </c>
    </row>
    <row r="557" spans="1:21" x14ac:dyDescent="0.2">
      <c r="A557" s="2">
        <v>556</v>
      </c>
      <c r="B557" s="21" t="str">
        <f t="shared" si="128"/>
        <v>3.3.03b</v>
      </c>
      <c r="C557" s="2">
        <v>3</v>
      </c>
      <c r="D557" s="2">
        <v>3</v>
      </c>
      <c r="E557" s="2">
        <v>3</v>
      </c>
      <c r="F557" s="2" t="s">
        <v>92</v>
      </c>
      <c r="G557" s="2" t="s">
        <v>640</v>
      </c>
      <c r="H557" s="2">
        <v>5</v>
      </c>
      <c r="I557" s="19" t="str">
        <f t="shared" si="118"/>
        <v/>
      </c>
      <c r="J557" s="2" t="str">
        <f t="shared" si="119"/>
        <v/>
      </c>
      <c r="K557" s="2" t="str">
        <f t="shared" si="120"/>
        <v/>
      </c>
      <c r="L557" s="2" t="str">
        <f t="shared" si="121"/>
        <v/>
      </c>
      <c r="M557" s="2" t="str">
        <f t="shared" si="122"/>
        <v/>
      </c>
      <c r="N557" s="2">
        <f t="shared" si="123"/>
        <v>6</v>
      </c>
      <c r="O557" s="19">
        <f t="shared" si="124"/>
        <v>6</v>
      </c>
      <c r="Q557" s="2" t="str">
        <f t="shared" si="125"/>
        <v>03</v>
      </c>
      <c r="R557" s="21" t="str">
        <f t="shared" si="126"/>
        <v>3.3.03b</v>
      </c>
      <c r="S557" s="2" t="str">
        <f t="shared" si="127"/>
        <v/>
      </c>
      <c r="T557" s="2" t="str">
        <f t="shared" si="129"/>
        <v/>
      </c>
      <c r="U557" s="19" t="str">
        <f t="shared" si="130"/>
        <v/>
      </c>
    </row>
    <row r="558" spans="1:21" x14ac:dyDescent="0.2">
      <c r="A558" s="2">
        <v>557</v>
      </c>
      <c r="B558" s="21" t="str">
        <f t="shared" si="128"/>
        <v>3.3.03c</v>
      </c>
      <c r="C558" s="2">
        <v>3</v>
      </c>
      <c r="D558" s="2">
        <v>3</v>
      </c>
      <c r="E558" s="2">
        <v>3</v>
      </c>
      <c r="F558" s="2" t="s">
        <v>94</v>
      </c>
      <c r="G558" s="2" t="s">
        <v>641</v>
      </c>
      <c r="H558" s="2">
        <v>5</v>
      </c>
      <c r="I558" s="19" t="str">
        <f t="shared" si="118"/>
        <v/>
      </c>
      <c r="J558" s="2" t="str">
        <f t="shared" si="119"/>
        <v/>
      </c>
      <c r="K558" s="2" t="str">
        <f t="shared" si="120"/>
        <v/>
      </c>
      <c r="L558" s="2" t="str">
        <f t="shared" si="121"/>
        <v/>
      </c>
      <c r="M558" s="2" t="str">
        <f t="shared" si="122"/>
        <v/>
      </c>
      <c r="N558" s="2">
        <f t="shared" si="123"/>
        <v>6</v>
      </c>
      <c r="O558" s="19">
        <f t="shared" si="124"/>
        <v>6</v>
      </c>
      <c r="Q558" s="2" t="str">
        <f t="shared" si="125"/>
        <v>03</v>
      </c>
      <c r="R558" s="21" t="str">
        <f t="shared" si="126"/>
        <v>3.3.03c</v>
      </c>
      <c r="S558" s="2" t="str">
        <f t="shared" si="127"/>
        <v/>
      </c>
      <c r="T558" s="2" t="str">
        <f t="shared" si="129"/>
        <v/>
      </c>
      <c r="U558" s="19" t="str">
        <f t="shared" si="130"/>
        <v/>
      </c>
    </row>
    <row r="559" spans="1:21" x14ac:dyDescent="0.2">
      <c r="A559" s="2">
        <v>558</v>
      </c>
      <c r="B559" s="21" t="str">
        <f t="shared" si="128"/>
        <v>3.3.03d</v>
      </c>
      <c r="C559" s="2">
        <v>3</v>
      </c>
      <c r="D559" s="2">
        <v>3</v>
      </c>
      <c r="E559" s="2">
        <v>3</v>
      </c>
      <c r="F559" s="2" t="s">
        <v>112</v>
      </c>
      <c r="G559" s="2" t="s">
        <v>642</v>
      </c>
      <c r="H559" s="2">
        <v>4</v>
      </c>
      <c r="I559" s="19" t="str">
        <f t="shared" si="118"/>
        <v/>
      </c>
      <c r="J559" s="2" t="str">
        <f t="shared" si="119"/>
        <v/>
      </c>
      <c r="K559" s="2" t="str">
        <f t="shared" si="120"/>
        <v/>
      </c>
      <c r="L559" s="2" t="str">
        <f t="shared" si="121"/>
        <v/>
      </c>
      <c r="M559" s="2" t="str">
        <f t="shared" si="122"/>
        <v/>
      </c>
      <c r="N559" s="2">
        <f t="shared" si="123"/>
        <v>6</v>
      </c>
      <c r="O559" s="19">
        <f t="shared" si="124"/>
        <v>6</v>
      </c>
      <c r="Q559" s="2" t="str">
        <f t="shared" si="125"/>
        <v>03</v>
      </c>
      <c r="R559" s="21" t="str">
        <f t="shared" si="126"/>
        <v>3.3.03d</v>
      </c>
      <c r="S559" s="2" t="str">
        <f t="shared" si="127"/>
        <v/>
      </c>
      <c r="T559" s="2" t="str">
        <f t="shared" si="129"/>
        <v/>
      </c>
      <c r="U559" s="19" t="str">
        <f t="shared" si="130"/>
        <v/>
      </c>
    </row>
    <row r="560" spans="1:21" x14ac:dyDescent="0.2">
      <c r="A560" s="2">
        <v>559</v>
      </c>
      <c r="B560" s="21" t="str">
        <f t="shared" si="128"/>
        <v>3.3.03e</v>
      </c>
      <c r="C560" s="2">
        <v>3</v>
      </c>
      <c r="D560" s="2">
        <v>3</v>
      </c>
      <c r="E560" s="2">
        <v>3</v>
      </c>
      <c r="F560" s="2" t="s">
        <v>114</v>
      </c>
      <c r="G560" s="2" t="s">
        <v>643</v>
      </c>
      <c r="H560" s="2">
        <v>3</v>
      </c>
      <c r="I560" s="19" t="str">
        <f t="shared" si="118"/>
        <v/>
      </c>
      <c r="J560" s="2" t="str">
        <f t="shared" si="119"/>
        <v/>
      </c>
      <c r="K560" s="2" t="str">
        <f t="shared" si="120"/>
        <v/>
      </c>
      <c r="L560" s="2" t="str">
        <f t="shared" si="121"/>
        <v/>
      </c>
      <c r="M560" s="2" t="str">
        <f t="shared" si="122"/>
        <v/>
      </c>
      <c r="N560" s="2">
        <f t="shared" si="123"/>
        <v>6</v>
      </c>
      <c r="O560" s="19">
        <f t="shared" si="124"/>
        <v>6</v>
      </c>
      <c r="Q560" s="2" t="str">
        <f t="shared" si="125"/>
        <v>03</v>
      </c>
      <c r="R560" s="21" t="str">
        <f t="shared" si="126"/>
        <v>3.3.03e</v>
      </c>
      <c r="S560" s="2" t="str">
        <f t="shared" si="127"/>
        <v/>
      </c>
      <c r="T560" s="2" t="str">
        <f t="shared" si="129"/>
        <v/>
      </c>
      <c r="U560" s="19" t="str">
        <f t="shared" si="130"/>
        <v/>
      </c>
    </row>
    <row r="561" spans="1:21" x14ac:dyDescent="0.2">
      <c r="A561" s="2">
        <v>560</v>
      </c>
      <c r="B561" s="21" t="str">
        <f t="shared" si="128"/>
        <v>3.3.03f</v>
      </c>
      <c r="C561" s="2">
        <v>3</v>
      </c>
      <c r="D561" s="2">
        <v>3</v>
      </c>
      <c r="E561" s="2">
        <v>3</v>
      </c>
      <c r="F561" s="2" t="s">
        <v>129</v>
      </c>
      <c r="G561" s="2" t="s">
        <v>644</v>
      </c>
      <c r="H561" s="2">
        <v>3</v>
      </c>
      <c r="I561" s="19" t="str">
        <f t="shared" si="118"/>
        <v/>
      </c>
      <c r="J561" s="2" t="str">
        <f t="shared" si="119"/>
        <v/>
      </c>
      <c r="K561" s="2" t="str">
        <f t="shared" si="120"/>
        <v/>
      </c>
      <c r="L561" s="2" t="str">
        <f t="shared" si="121"/>
        <v/>
      </c>
      <c r="M561" s="2" t="str">
        <f t="shared" si="122"/>
        <v/>
      </c>
      <c r="N561" s="2">
        <f t="shared" si="123"/>
        <v>6</v>
      </c>
      <c r="O561" s="19">
        <f t="shared" si="124"/>
        <v>6</v>
      </c>
      <c r="Q561" s="2" t="str">
        <f t="shared" si="125"/>
        <v>03</v>
      </c>
      <c r="R561" s="21" t="str">
        <f t="shared" si="126"/>
        <v>3.3.03f</v>
      </c>
      <c r="S561" s="2" t="str">
        <f t="shared" si="127"/>
        <v/>
      </c>
      <c r="T561" s="2" t="str">
        <f t="shared" si="129"/>
        <v/>
      </c>
      <c r="U561" s="19" t="str">
        <f t="shared" si="130"/>
        <v/>
      </c>
    </row>
    <row r="562" spans="1:21" x14ac:dyDescent="0.2">
      <c r="A562" s="2">
        <v>561</v>
      </c>
      <c r="B562" s="21" t="str">
        <f t="shared" si="128"/>
        <v>3.3.03g</v>
      </c>
      <c r="C562" s="2">
        <v>3</v>
      </c>
      <c r="D562" s="2">
        <v>3</v>
      </c>
      <c r="E562" s="2">
        <v>3</v>
      </c>
      <c r="F562" s="2" t="s">
        <v>206</v>
      </c>
      <c r="G562" s="2" t="s">
        <v>645</v>
      </c>
      <c r="H562" s="2">
        <v>3</v>
      </c>
      <c r="I562" s="19" t="str">
        <f t="shared" si="118"/>
        <v/>
      </c>
      <c r="J562" s="2" t="str">
        <f t="shared" si="119"/>
        <v/>
      </c>
      <c r="K562" s="2" t="str">
        <f t="shared" si="120"/>
        <v/>
      </c>
      <c r="L562" s="2" t="str">
        <f t="shared" si="121"/>
        <v/>
      </c>
      <c r="M562" s="2" t="str">
        <f t="shared" si="122"/>
        <v/>
      </c>
      <c r="N562" s="2">
        <f t="shared" si="123"/>
        <v>6</v>
      </c>
      <c r="O562" s="19">
        <f t="shared" si="124"/>
        <v>6</v>
      </c>
      <c r="Q562" s="2" t="str">
        <f t="shared" si="125"/>
        <v>03</v>
      </c>
      <c r="R562" s="21" t="str">
        <f t="shared" si="126"/>
        <v>3.3.03g</v>
      </c>
      <c r="S562" s="2" t="str">
        <f t="shared" si="127"/>
        <v/>
      </c>
      <c r="T562" s="2" t="str">
        <f t="shared" si="129"/>
        <v/>
      </c>
      <c r="U562" s="19" t="str">
        <f t="shared" si="130"/>
        <v/>
      </c>
    </row>
    <row r="563" spans="1:21" x14ac:dyDescent="0.2">
      <c r="A563" s="2">
        <v>562</v>
      </c>
      <c r="B563" s="21" t="str">
        <f t="shared" si="128"/>
        <v>3.3.03h</v>
      </c>
      <c r="C563" s="2">
        <v>3</v>
      </c>
      <c r="D563" s="2">
        <v>3</v>
      </c>
      <c r="E563" s="2">
        <v>3</v>
      </c>
      <c r="F563" s="2" t="s">
        <v>208</v>
      </c>
      <c r="G563" s="2" t="s">
        <v>646</v>
      </c>
      <c r="H563" s="2">
        <v>3</v>
      </c>
      <c r="I563" s="19" t="str">
        <f t="shared" si="118"/>
        <v/>
      </c>
      <c r="J563" s="2" t="str">
        <f t="shared" si="119"/>
        <v/>
      </c>
      <c r="K563" s="2" t="str">
        <f t="shared" si="120"/>
        <v/>
      </c>
      <c r="L563" s="2" t="str">
        <f t="shared" si="121"/>
        <v/>
      </c>
      <c r="M563" s="2" t="str">
        <f t="shared" si="122"/>
        <v/>
      </c>
      <c r="N563" s="2">
        <f t="shared" si="123"/>
        <v>6</v>
      </c>
      <c r="O563" s="19">
        <f t="shared" si="124"/>
        <v>6</v>
      </c>
      <c r="Q563" s="2" t="str">
        <f t="shared" si="125"/>
        <v>03</v>
      </c>
      <c r="R563" s="21" t="str">
        <f t="shared" si="126"/>
        <v>3.3.03h</v>
      </c>
      <c r="S563" s="2" t="str">
        <f t="shared" si="127"/>
        <v/>
      </c>
      <c r="T563" s="2" t="str">
        <f t="shared" si="129"/>
        <v/>
      </c>
      <c r="U563" s="19" t="str">
        <f t="shared" si="130"/>
        <v/>
      </c>
    </row>
    <row r="564" spans="1:21" x14ac:dyDescent="0.2">
      <c r="A564" s="2">
        <v>563</v>
      </c>
      <c r="B564" s="21" t="str">
        <f t="shared" si="128"/>
        <v>3.3.03i</v>
      </c>
      <c r="C564" s="2">
        <v>3</v>
      </c>
      <c r="D564" s="2">
        <v>3</v>
      </c>
      <c r="E564" s="2">
        <v>3</v>
      </c>
      <c r="F564" s="2" t="s">
        <v>647</v>
      </c>
      <c r="G564" s="2" t="s">
        <v>648</v>
      </c>
      <c r="H564" s="2">
        <v>3</v>
      </c>
      <c r="I564" s="19" t="str">
        <f t="shared" si="118"/>
        <v/>
      </c>
      <c r="J564" s="2" t="str">
        <f t="shared" si="119"/>
        <v/>
      </c>
      <c r="K564" s="2" t="str">
        <f t="shared" si="120"/>
        <v/>
      </c>
      <c r="L564" s="2" t="str">
        <f t="shared" si="121"/>
        <v/>
      </c>
      <c r="M564" s="2" t="str">
        <f t="shared" si="122"/>
        <v/>
      </c>
      <c r="N564" s="2">
        <f t="shared" si="123"/>
        <v>6</v>
      </c>
      <c r="O564" s="19">
        <f t="shared" si="124"/>
        <v>6</v>
      </c>
      <c r="Q564" s="2" t="str">
        <f t="shared" si="125"/>
        <v>03</v>
      </c>
      <c r="R564" s="21" t="str">
        <f t="shared" si="126"/>
        <v>3.3.03i</v>
      </c>
      <c r="S564" s="2" t="str">
        <f t="shared" si="127"/>
        <v/>
      </c>
      <c r="T564" s="2" t="str">
        <f t="shared" si="129"/>
        <v/>
      </c>
      <c r="U564" s="19" t="str">
        <f t="shared" si="130"/>
        <v/>
      </c>
    </row>
    <row r="565" spans="1:21" x14ac:dyDescent="0.2">
      <c r="A565" s="2">
        <v>564</v>
      </c>
      <c r="B565" s="21" t="str">
        <f t="shared" si="128"/>
        <v>3.3.04</v>
      </c>
      <c r="C565" s="2">
        <v>3</v>
      </c>
      <c r="D565" s="2">
        <v>3</v>
      </c>
      <c r="E565" s="2">
        <v>4</v>
      </c>
      <c r="F565" s="2" t="s">
        <v>84</v>
      </c>
      <c r="G565" s="2" t="s">
        <v>649</v>
      </c>
      <c r="H565" s="2" t="s">
        <v>89</v>
      </c>
      <c r="I565" s="19" t="str">
        <f t="shared" si="118"/>
        <v/>
      </c>
      <c r="J565" s="2" t="str">
        <f t="shared" si="119"/>
        <v/>
      </c>
      <c r="K565" s="2" t="str">
        <f t="shared" si="120"/>
        <v/>
      </c>
      <c r="L565" s="2">
        <f t="shared" si="121"/>
        <v>4</v>
      </c>
      <c r="M565" s="2" t="str">
        <f t="shared" si="122"/>
        <v/>
      </c>
      <c r="N565" s="2" t="str">
        <f t="shared" si="123"/>
        <v/>
      </c>
      <c r="O565" s="19">
        <f t="shared" si="124"/>
        <v>4</v>
      </c>
      <c r="Q565" s="2" t="str">
        <f t="shared" si="125"/>
        <v>04</v>
      </c>
      <c r="R565" s="21" t="str">
        <f t="shared" si="126"/>
        <v>3.3.04</v>
      </c>
      <c r="S565" s="2" t="str">
        <f t="shared" si="127"/>
        <v/>
      </c>
      <c r="T565" s="2" t="str">
        <f t="shared" si="129"/>
        <v/>
      </c>
      <c r="U565" s="19" t="str">
        <f t="shared" si="130"/>
        <v/>
      </c>
    </row>
    <row r="566" spans="1:21" x14ac:dyDescent="0.2">
      <c r="A566" s="2">
        <v>565</v>
      </c>
      <c r="B566" s="21" t="str">
        <f t="shared" si="128"/>
        <v>3.3.04a</v>
      </c>
      <c r="C566" s="2">
        <v>3</v>
      </c>
      <c r="D566" s="2">
        <v>3</v>
      </c>
      <c r="E566" s="2">
        <v>4</v>
      </c>
      <c r="F566" s="2" t="s">
        <v>90</v>
      </c>
      <c r="G566" s="2" t="s">
        <v>650</v>
      </c>
      <c r="H566" s="2">
        <v>3</v>
      </c>
      <c r="I566" s="19" t="str">
        <f t="shared" si="118"/>
        <v/>
      </c>
      <c r="J566" s="2" t="str">
        <f t="shared" si="119"/>
        <v/>
      </c>
      <c r="K566" s="2" t="str">
        <f t="shared" si="120"/>
        <v/>
      </c>
      <c r="L566" s="2" t="str">
        <f t="shared" si="121"/>
        <v/>
      </c>
      <c r="M566" s="2" t="str">
        <f t="shared" si="122"/>
        <v/>
      </c>
      <c r="N566" s="2">
        <f t="shared" si="123"/>
        <v>6</v>
      </c>
      <c r="O566" s="19">
        <f t="shared" si="124"/>
        <v>6</v>
      </c>
      <c r="Q566" s="2" t="str">
        <f t="shared" si="125"/>
        <v>04</v>
      </c>
      <c r="R566" s="21" t="str">
        <f t="shared" si="126"/>
        <v>3.3.04a</v>
      </c>
      <c r="S566" s="2" t="str">
        <f t="shared" si="127"/>
        <v/>
      </c>
      <c r="T566" s="2" t="str">
        <f t="shared" si="129"/>
        <v/>
      </c>
      <c r="U566" s="19" t="str">
        <f t="shared" si="130"/>
        <v/>
      </c>
    </row>
    <row r="567" spans="1:21" x14ac:dyDescent="0.2">
      <c r="A567" s="2">
        <v>566</v>
      </c>
      <c r="B567" s="21" t="str">
        <f t="shared" si="128"/>
        <v>3.3.04b</v>
      </c>
      <c r="C567" s="2">
        <v>3</v>
      </c>
      <c r="D567" s="2">
        <v>3</v>
      </c>
      <c r="E567" s="2">
        <v>4</v>
      </c>
      <c r="F567" s="2" t="s">
        <v>92</v>
      </c>
      <c r="G567" s="2" t="s">
        <v>651</v>
      </c>
      <c r="H567" s="2">
        <v>3</v>
      </c>
      <c r="I567" s="19" t="str">
        <f t="shared" si="118"/>
        <v/>
      </c>
      <c r="J567" s="2" t="str">
        <f t="shared" si="119"/>
        <v/>
      </c>
      <c r="K567" s="2" t="str">
        <f t="shared" si="120"/>
        <v/>
      </c>
      <c r="L567" s="2" t="str">
        <f t="shared" si="121"/>
        <v/>
      </c>
      <c r="M567" s="2" t="str">
        <f t="shared" si="122"/>
        <v/>
      </c>
      <c r="N567" s="2">
        <f t="shared" si="123"/>
        <v>6</v>
      </c>
      <c r="O567" s="19">
        <f t="shared" si="124"/>
        <v>6</v>
      </c>
      <c r="Q567" s="2" t="str">
        <f t="shared" si="125"/>
        <v>04</v>
      </c>
      <c r="R567" s="21" t="str">
        <f t="shared" si="126"/>
        <v>3.3.04b</v>
      </c>
      <c r="S567" s="2" t="str">
        <f t="shared" si="127"/>
        <v/>
      </c>
      <c r="T567" s="2" t="str">
        <f t="shared" si="129"/>
        <v/>
      </c>
      <c r="U567" s="19" t="str">
        <f t="shared" si="130"/>
        <v/>
      </c>
    </row>
    <row r="568" spans="1:21" x14ac:dyDescent="0.2">
      <c r="A568" s="2">
        <v>567</v>
      </c>
      <c r="B568" s="21" t="str">
        <f t="shared" si="128"/>
        <v>3.3.04c</v>
      </c>
      <c r="C568" s="2">
        <v>3</v>
      </c>
      <c r="D568" s="2">
        <v>3</v>
      </c>
      <c r="E568" s="2">
        <v>4</v>
      </c>
      <c r="F568" s="2" t="s">
        <v>94</v>
      </c>
      <c r="G568" s="2" t="s">
        <v>652</v>
      </c>
      <c r="H568" s="2">
        <v>3</v>
      </c>
      <c r="I568" s="19" t="str">
        <f t="shared" si="118"/>
        <v/>
      </c>
      <c r="J568" s="2" t="str">
        <f t="shared" si="119"/>
        <v/>
      </c>
      <c r="K568" s="2" t="str">
        <f t="shared" si="120"/>
        <v/>
      </c>
      <c r="L568" s="2" t="str">
        <f t="shared" si="121"/>
        <v/>
      </c>
      <c r="M568" s="2" t="str">
        <f t="shared" si="122"/>
        <v/>
      </c>
      <c r="N568" s="2">
        <f t="shared" si="123"/>
        <v>6</v>
      </c>
      <c r="O568" s="19">
        <f t="shared" si="124"/>
        <v>6</v>
      </c>
      <c r="Q568" s="2" t="str">
        <f t="shared" si="125"/>
        <v>04</v>
      </c>
      <c r="R568" s="21" t="str">
        <f t="shared" si="126"/>
        <v>3.3.04c</v>
      </c>
      <c r="S568" s="2" t="str">
        <f t="shared" si="127"/>
        <v/>
      </c>
      <c r="T568" s="2" t="str">
        <f t="shared" si="129"/>
        <v/>
      </c>
      <c r="U568" s="19" t="str">
        <f t="shared" si="130"/>
        <v/>
      </c>
    </row>
    <row r="569" spans="1:21" x14ac:dyDescent="0.2">
      <c r="A569" s="2">
        <v>568</v>
      </c>
      <c r="B569" s="21" t="str">
        <f t="shared" si="128"/>
        <v>3.3.04d</v>
      </c>
      <c r="C569" s="2">
        <v>3</v>
      </c>
      <c r="D569" s="2">
        <v>3</v>
      </c>
      <c r="E569" s="2">
        <v>4</v>
      </c>
      <c r="F569" s="2" t="s">
        <v>112</v>
      </c>
      <c r="G569" s="2" t="s">
        <v>653</v>
      </c>
      <c r="H569" s="2">
        <v>4</v>
      </c>
      <c r="I569" s="19" t="str">
        <f t="shared" ref="I569:I578" si="135">IF(AND(LEN(C569)=1,LEN(D569)=0),1,"")</f>
        <v/>
      </c>
      <c r="J569" s="2" t="str">
        <f t="shared" ref="J569:J578" si="136">IF(AND(LEN(C569)=1,LEN(D569)=1,LEN(E569)=0,LEN(F569)=0),2,"")</f>
        <v/>
      </c>
      <c r="K569" s="2" t="str">
        <f t="shared" ref="K569:K578" si="137">IF(AND(LEN(C569)=0,LEN(E569)=0),3,"")</f>
        <v/>
      </c>
      <c r="L569" s="2" t="str">
        <f t="shared" ref="L569:L578" si="138">IF(AND(LEN(C569)&gt;0,LEN(D569&gt;0),LEN(E569)&gt;0,LEN(F569)=0,H569="N/A"),4,"")</f>
        <v/>
      </c>
      <c r="M569" s="2" t="str">
        <f t="shared" ref="M569:M578" si="139">IF(AND(LEN(C569)&gt;0,LEN(D569&gt;0),LEN(E569)&gt;0,LEN(F569)=0,H569&gt;0,H569&lt;6),5,"")</f>
        <v/>
      </c>
      <c r="N569" s="2">
        <f t="shared" ref="N569:N578" si="140">IF(AND(LEN(C569)&gt;0,LEN(D569&gt;0),LEN(E569)&gt;0,LEN(F569)&gt;0,H569&gt;0,H569&lt;6),6,"")</f>
        <v>6</v>
      </c>
      <c r="O569" s="19">
        <f t="shared" ref="O569:O578" si="141">SUM(I569:N569)</f>
        <v>6</v>
      </c>
      <c r="Q569" s="2" t="str">
        <f t="shared" ref="Q569:Q578" si="142">IF(LEN(E569)&gt;0,TEXT(E569,"00"),"")</f>
        <v>04</v>
      </c>
      <c r="R569" s="21" t="str">
        <f t="shared" ref="R569:R578" si="143">IF(O569=1,C569,IF(O569=2,C569&amp;"."&amp;D569,IF(O569=3,"",IF(O569=4,C569&amp;"."&amp;D569&amp;"."&amp;Q569,IF(O569=5,C569&amp;"."&amp;D569&amp;"."&amp;Q569,IF(O569=6,C569&amp;"."&amp;D569&amp;"."&amp;Q569&amp;F569,""))))))</f>
        <v>3.3.04d</v>
      </c>
      <c r="S569" s="2" t="str">
        <f t="shared" ref="S569:S578" si="144">IF(O569=O568,IF(NOT(R569&gt;R568),1,""),"")</f>
        <v/>
      </c>
      <c r="T569" s="2" t="str">
        <f t="shared" si="129"/>
        <v/>
      </c>
      <c r="U569" s="19" t="str">
        <f t="shared" si="130"/>
        <v/>
      </c>
    </row>
    <row r="570" spans="1:21" x14ac:dyDescent="0.2">
      <c r="A570" s="2">
        <v>569</v>
      </c>
      <c r="B570" s="21" t="str">
        <f t="shared" ref="B570:B630" si="145">R570</f>
        <v>3.3.04e</v>
      </c>
      <c r="C570" s="2">
        <v>3</v>
      </c>
      <c r="D570" s="2">
        <v>3</v>
      </c>
      <c r="E570" s="2">
        <v>4</v>
      </c>
      <c r="F570" s="2" t="s">
        <v>114</v>
      </c>
      <c r="G570" s="2" t="s">
        <v>654</v>
      </c>
      <c r="H570" s="2">
        <v>4</v>
      </c>
      <c r="I570" s="19" t="str">
        <f t="shared" si="135"/>
        <v/>
      </c>
      <c r="J570" s="2" t="str">
        <f t="shared" si="136"/>
        <v/>
      </c>
      <c r="K570" s="2" t="str">
        <f t="shared" si="137"/>
        <v/>
      </c>
      <c r="L570" s="2" t="str">
        <f t="shared" si="138"/>
        <v/>
      </c>
      <c r="M570" s="2" t="str">
        <f t="shared" si="139"/>
        <v/>
      </c>
      <c r="N570" s="2">
        <f t="shared" si="140"/>
        <v>6</v>
      </c>
      <c r="O570" s="19">
        <f t="shared" si="141"/>
        <v>6</v>
      </c>
      <c r="Q570" s="2" t="str">
        <f t="shared" si="142"/>
        <v>04</v>
      </c>
      <c r="R570" s="21" t="str">
        <f t="shared" si="143"/>
        <v>3.3.04e</v>
      </c>
      <c r="S570" s="2" t="str">
        <f t="shared" si="144"/>
        <v/>
      </c>
      <c r="T570" s="2" t="str">
        <f t="shared" ref="T570:T578" si="146">IF(NOT(R570&gt;R569),1,"")</f>
        <v/>
      </c>
      <c r="U570" s="19" t="str">
        <f t="shared" si="130"/>
        <v/>
      </c>
    </row>
    <row r="571" spans="1:21" x14ac:dyDescent="0.2">
      <c r="A571" s="2">
        <v>570</v>
      </c>
      <c r="B571" s="21" t="str">
        <f t="shared" si="145"/>
        <v>3.3.05</v>
      </c>
      <c r="C571" s="2">
        <v>3</v>
      </c>
      <c r="D571" s="2">
        <v>3</v>
      </c>
      <c r="E571" s="2">
        <v>5</v>
      </c>
      <c r="F571" s="2" t="s">
        <v>84</v>
      </c>
      <c r="G571" s="2" t="s">
        <v>655</v>
      </c>
      <c r="H571" s="2">
        <v>3</v>
      </c>
      <c r="I571" s="19" t="str">
        <f t="shared" si="135"/>
        <v/>
      </c>
      <c r="J571" s="2" t="str">
        <f t="shared" si="136"/>
        <v/>
      </c>
      <c r="K571" s="2" t="str">
        <f t="shared" si="137"/>
        <v/>
      </c>
      <c r="L571" s="2" t="str">
        <f t="shared" si="138"/>
        <v/>
      </c>
      <c r="M571" s="2">
        <f t="shared" si="139"/>
        <v>5</v>
      </c>
      <c r="N571" s="2" t="str">
        <f t="shared" si="140"/>
        <v/>
      </c>
      <c r="O571" s="19">
        <f t="shared" si="141"/>
        <v>5</v>
      </c>
      <c r="Q571" s="2" t="str">
        <f t="shared" si="142"/>
        <v>05</v>
      </c>
      <c r="R571" s="21" t="str">
        <f t="shared" si="143"/>
        <v>3.3.05</v>
      </c>
      <c r="S571" s="2" t="str">
        <f t="shared" si="144"/>
        <v/>
      </c>
      <c r="T571" s="2" t="str">
        <f t="shared" si="146"/>
        <v/>
      </c>
      <c r="U571" s="19" t="str">
        <f t="shared" si="130"/>
        <v/>
      </c>
    </row>
    <row r="572" spans="1:21" x14ac:dyDescent="0.2">
      <c r="A572" s="2">
        <v>571</v>
      </c>
      <c r="B572" s="21" t="str">
        <f t="shared" si="145"/>
        <v>3.3.06</v>
      </c>
      <c r="C572" s="2">
        <v>3</v>
      </c>
      <c r="D572" s="2">
        <v>3</v>
      </c>
      <c r="E572" s="2">
        <v>6</v>
      </c>
      <c r="F572" s="2" t="s">
        <v>84</v>
      </c>
      <c r="G572" s="2" t="s">
        <v>656</v>
      </c>
      <c r="H572" s="2">
        <v>4</v>
      </c>
      <c r="I572" s="19" t="str">
        <f t="shared" si="135"/>
        <v/>
      </c>
      <c r="J572" s="2" t="str">
        <f t="shared" si="136"/>
        <v/>
      </c>
      <c r="K572" s="2" t="str">
        <f t="shared" si="137"/>
        <v/>
      </c>
      <c r="L572" s="2" t="str">
        <f t="shared" si="138"/>
        <v/>
      </c>
      <c r="M572" s="2">
        <f t="shared" si="139"/>
        <v>5</v>
      </c>
      <c r="N572" s="2" t="str">
        <f t="shared" si="140"/>
        <v/>
      </c>
      <c r="O572" s="19">
        <f t="shared" si="141"/>
        <v>5</v>
      </c>
      <c r="Q572" s="2" t="str">
        <f t="shared" si="142"/>
        <v>06</v>
      </c>
      <c r="R572" s="21" t="str">
        <f t="shared" si="143"/>
        <v>3.3.06</v>
      </c>
      <c r="S572" s="2" t="str">
        <f t="shared" si="144"/>
        <v/>
      </c>
      <c r="T572" s="2" t="str">
        <f t="shared" si="146"/>
        <v/>
      </c>
      <c r="U572" s="19" t="str">
        <f t="shared" si="130"/>
        <v/>
      </c>
    </row>
    <row r="573" spans="1:21" x14ac:dyDescent="0.2">
      <c r="A573" s="2">
        <v>572</v>
      </c>
      <c r="B573" s="21" t="str">
        <f t="shared" si="145"/>
        <v>3.3.07</v>
      </c>
      <c r="C573" s="2">
        <v>3</v>
      </c>
      <c r="D573" s="2">
        <v>3</v>
      </c>
      <c r="E573" s="2">
        <v>7</v>
      </c>
      <c r="F573" s="2" t="s">
        <v>84</v>
      </c>
      <c r="G573" s="2" t="s">
        <v>657</v>
      </c>
      <c r="H573" s="2">
        <v>4</v>
      </c>
      <c r="I573" s="19" t="str">
        <f t="shared" si="135"/>
        <v/>
      </c>
      <c r="J573" s="2" t="str">
        <f t="shared" si="136"/>
        <v/>
      </c>
      <c r="K573" s="2" t="str">
        <f t="shared" si="137"/>
        <v/>
      </c>
      <c r="L573" s="2" t="str">
        <f t="shared" si="138"/>
        <v/>
      </c>
      <c r="M573" s="2">
        <f t="shared" si="139"/>
        <v>5</v>
      </c>
      <c r="N573" s="2" t="str">
        <f t="shared" si="140"/>
        <v/>
      </c>
      <c r="O573" s="19">
        <f t="shared" si="141"/>
        <v>5</v>
      </c>
      <c r="Q573" s="2" t="str">
        <f t="shared" si="142"/>
        <v>07</v>
      </c>
      <c r="R573" s="21" t="str">
        <f t="shared" si="143"/>
        <v>3.3.07</v>
      </c>
      <c r="S573" s="2" t="str">
        <f t="shared" si="144"/>
        <v/>
      </c>
      <c r="T573" s="2" t="str">
        <f t="shared" si="146"/>
        <v/>
      </c>
      <c r="U573" s="19" t="str">
        <f t="shared" si="130"/>
        <v/>
      </c>
    </row>
    <row r="574" spans="1:21" x14ac:dyDescent="0.2">
      <c r="A574" s="2">
        <v>573</v>
      </c>
      <c r="B574" s="21" t="str">
        <f t="shared" si="145"/>
        <v>3.4</v>
      </c>
      <c r="C574" s="2">
        <v>3</v>
      </c>
      <c r="D574" s="2">
        <v>4</v>
      </c>
      <c r="E574" s="2" t="s">
        <v>84</v>
      </c>
      <c r="F574" s="2" t="s">
        <v>84</v>
      </c>
      <c r="G574" s="2" t="s">
        <v>658</v>
      </c>
      <c r="H574" s="2" t="s">
        <v>84</v>
      </c>
      <c r="I574" s="19" t="str">
        <f t="shared" si="135"/>
        <v/>
      </c>
      <c r="J574" s="2">
        <f t="shared" si="136"/>
        <v>2</v>
      </c>
      <c r="K574" s="2" t="str">
        <f t="shared" si="137"/>
        <v/>
      </c>
      <c r="L574" s="2" t="str">
        <f t="shared" si="138"/>
        <v/>
      </c>
      <c r="M574" s="2" t="str">
        <f t="shared" si="139"/>
        <v/>
      </c>
      <c r="N574" s="2" t="str">
        <f t="shared" si="140"/>
        <v/>
      </c>
      <c r="O574" s="19">
        <f t="shared" si="141"/>
        <v>2</v>
      </c>
      <c r="Q574" s="2" t="str">
        <f t="shared" si="142"/>
        <v/>
      </c>
      <c r="R574" s="21" t="str">
        <f t="shared" si="143"/>
        <v>3.4</v>
      </c>
      <c r="S574" s="2" t="str">
        <f t="shared" ref="S574" si="147">IF(O574=O573,IF(NOT(R574&gt;R573),1,""),"")</f>
        <v/>
      </c>
      <c r="T574" s="2" t="str">
        <f t="shared" ref="T574" si="148">IF(NOT(R574&gt;R573),1,"")</f>
        <v/>
      </c>
      <c r="U574" s="19" t="str">
        <f t="shared" si="130"/>
        <v/>
      </c>
    </row>
    <row r="575" spans="1:21" x14ac:dyDescent="0.2">
      <c r="A575" s="2">
        <v>574</v>
      </c>
      <c r="B575" s="21" t="str">
        <f t="shared" si="145"/>
        <v>3.4.01</v>
      </c>
      <c r="C575" s="2">
        <v>3</v>
      </c>
      <c r="D575" s="2">
        <v>4</v>
      </c>
      <c r="E575" s="2">
        <v>1</v>
      </c>
      <c r="F575" s="2" t="s">
        <v>84</v>
      </c>
      <c r="G575" s="2" t="s">
        <v>659</v>
      </c>
      <c r="H575" s="2">
        <v>1</v>
      </c>
      <c r="I575" s="19" t="str">
        <f t="shared" si="135"/>
        <v/>
      </c>
      <c r="J575" s="2" t="str">
        <f t="shared" si="136"/>
        <v/>
      </c>
      <c r="K575" s="2" t="str">
        <f t="shared" si="137"/>
        <v/>
      </c>
      <c r="L575" s="2" t="str">
        <f t="shared" si="138"/>
        <v/>
      </c>
      <c r="M575" s="2">
        <f t="shared" si="139"/>
        <v>5</v>
      </c>
      <c r="N575" s="2" t="str">
        <f t="shared" si="140"/>
        <v/>
      </c>
      <c r="O575" s="19">
        <f t="shared" si="141"/>
        <v>5</v>
      </c>
      <c r="Q575" s="2" t="str">
        <f t="shared" si="142"/>
        <v>01</v>
      </c>
      <c r="R575" s="21" t="str">
        <f t="shared" si="143"/>
        <v>3.4.01</v>
      </c>
      <c r="S575" s="2" t="str">
        <f t="shared" si="144"/>
        <v/>
      </c>
      <c r="T575" s="2" t="str">
        <f t="shared" si="146"/>
        <v/>
      </c>
      <c r="U575" s="19" t="str">
        <f t="shared" si="130"/>
        <v/>
      </c>
    </row>
    <row r="576" spans="1:21" x14ac:dyDescent="0.2">
      <c r="A576" s="2">
        <v>575</v>
      </c>
      <c r="B576" s="21" t="str">
        <f t="shared" si="145"/>
        <v>3.4.02</v>
      </c>
      <c r="C576" s="2">
        <v>3</v>
      </c>
      <c r="D576" s="2">
        <v>4</v>
      </c>
      <c r="E576" s="2">
        <v>2</v>
      </c>
      <c r="F576" s="2" t="s">
        <v>84</v>
      </c>
      <c r="G576" s="2" t="s">
        <v>660</v>
      </c>
      <c r="H576" s="2" t="s">
        <v>89</v>
      </c>
      <c r="I576" s="19" t="str">
        <f t="shared" si="135"/>
        <v/>
      </c>
      <c r="J576" s="2" t="str">
        <f t="shared" si="136"/>
        <v/>
      </c>
      <c r="K576" s="2" t="str">
        <f t="shared" si="137"/>
        <v/>
      </c>
      <c r="L576" s="2">
        <f t="shared" si="138"/>
        <v>4</v>
      </c>
      <c r="M576" s="2" t="str">
        <f t="shared" si="139"/>
        <v/>
      </c>
      <c r="N576" s="2" t="str">
        <f t="shared" si="140"/>
        <v/>
      </c>
      <c r="O576" s="19">
        <f t="shared" si="141"/>
        <v>4</v>
      </c>
      <c r="Q576" s="2" t="str">
        <f t="shared" si="142"/>
        <v>02</v>
      </c>
      <c r="R576" s="21" t="str">
        <f t="shared" si="143"/>
        <v>3.4.02</v>
      </c>
      <c r="S576" s="2" t="str">
        <f t="shared" si="144"/>
        <v/>
      </c>
      <c r="T576" s="2" t="str">
        <f t="shared" si="146"/>
        <v/>
      </c>
      <c r="U576" s="19" t="str">
        <f t="shared" si="130"/>
        <v/>
      </c>
    </row>
    <row r="577" spans="1:21" x14ac:dyDescent="0.2">
      <c r="A577" s="2">
        <v>576</v>
      </c>
      <c r="B577" s="21" t="str">
        <f t="shared" si="145"/>
        <v>3.4.02a</v>
      </c>
      <c r="C577" s="2">
        <v>3</v>
      </c>
      <c r="D577" s="2">
        <v>4</v>
      </c>
      <c r="E577" s="2">
        <v>2</v>
      </c>
      <c r="F577" s="2" t="s">
        <v>90</v>
      </c>
      <c r="G577" s="2" t="s">
        <v>661</v>
      </c>
      <c r="H577" s="2">
        <v>2</v>
      </c>
      <c r="I577" s="19" t="str">
        <f t="shared" si="135"/>
        <v/>
      </c>
      <c r="J577" s="2" t="str">
        <f t="shared" si="136"/>
        <v/>
      </c>
      <c r="K577" s="2" t="str">
        <f t="shared" si="137"/>
        <v/>
      </c>
      <c r="L577" s="2" t="str">
        <f t="shared" si="138"/>
        <v/>
      </c>
      <c r="M577" s="2" t="str">
        <f t="shared" si="139"/>
        <v/>
      </c>
      <c r="N577" s="2">
        <f t="shared" si="140"/>
        <v>6</v>
      </c>
      <c r="O577" s="19">
        <f t="shared" si="141"/>
        <v>6</v>
      </c>
      <c r="Q577" s="2" t="str">
        <f t="shared" si="142"/>
        <v>02</v>
      </c>
      <c r="R577" s="21" t="str">
        <f t="shared" si="143"/>
        <v>3.4.02a</v>
      </c>
      <c r="S577" s="2" t="str">
        <f t="shared" si="144"/>
        <v/>
      </c>
      <c r="T577" s="2" t="str">
        <f t="shared" si="146"/>
        <v/>
      </c>
      <c r="U577" s="19" t="str">
        <f t="shared" si="130"/>
        <v/>
      </c>
    </row>
    <row r="578" spans="1:21" x14ac:dyDescent="0.2">
      <c r="A578" s="2">
        <v>577</v>
      </c>
      <c r="B578" s="21" t="str">
        <f t="shared" si="145"/>
        <v>3.4.02b</v>
      </c>
      <c r="C578" s="2">
        <v>3</v>
      </c>
      <c r="D578" s="2">
        <v>4</v>
      </c>
      <c r="E578" s="2">
        <v>2</v>
      </c>
      <c r="F578" s="2" t="s">
        <v>92</v>
      </c>
      <c r="G578" s="2" t="s">
        <v>662</v>
      </c>
      <c r="H578" s="2">
        <v>2</v>
      </c>
      <c r="I578" s="19" t="str">
        <f t="shared" si="135"/>
        <v/>
      </c>
      <c r="J578" s="2" t="str">
        <f t="shared" si="136"/>
        <v/>
      </c>
      <c r="K578" s="2" t="str">
        <f t="shared" si="137"/>
        <v/>
      </c>
      <c r="L578" s="2" t="str">
        <f t="shared" si="138"/>
        <v/>
      </c>
      <c r="M578" s="2" t="str">
        <f t="shared" si="139"/>
        <v/>
      </c>
      <c r="N578" s="2">
        <f t="shared" si="140"/>
        <v>6</v>
      </c>
      <c r="O578" s="19">
        <f t="shared" si="141"/>
        <v>6</v>
      </c>
      <c r="Q578" s="2" t="str">
        <f t="shared" si="142"/>
        <v>02</v>
      </c>
      <c r="R578" s="21" t="str">
        <f t="shared" si="143"/>
        <v>3.4.02b</v>
      </c>
      <c r="S578" s="2" t="str">
        <f t="shared" si="144"/>
        <v/>
      </c>
      <c r="T578" s="2" t="str">
        <f t="shared" si="146"/>
        <v/>
      </c>
      <c r="U578" s="19" t="str">
        <f t="shared" si="130"/>
        <v/>
      </c>
    </row>
    <row r="579" spans="1:21" x14ac:dyDescent="0.2">
      <c r="A579" s="2">
        <v>578</v>
      </c>
      <c r="B579" s="21" t="str">
        <f t="shared" si="145"/>
        <v>3.4.02c</v>
      </c>
      <c r="C579" s="2">
        <v>3</v>
      </c>
      <c r="D579" s="2">
        <v>4</v>
      </c>
      <c r="E579" s="2">
        <v>2</v>
      </c>
      <c r="F579" s="2" t="s">
        <v>94</v>
      </c>
      <c r="G579" s="2" t="s">
        <v>663</v>
      </c>
      <c r="H579" s="2">
        <v>3</v>
      </c>
      <c r="I579" s="19" t="str">
        <f t="shared" ref="I579:I640" si="149">IF(AND(LEN(C579)=1,LEN(D579)=0),1,"")</f>
        <v/>
      </c>
      <c r="J579" s="2" t="str">
        <f t="shared" ref="J579:J640" si="150">IF(AND(LEN(C579)=1,LEN(D579)=1,LEN(E579)=0,LEN(F579)=0),2,"")</f>
        <v/>
      </c>
      <c r="K579" s="2" t="str">
        <f t="shared" ref="K579:K640" si="151">IF(AND(LEN(C579)=0,LEN(E579)=0),3,"")</f>
        <v/>
      </c>
      <c r="L579" s="2" t="str">
        <f t="shared" ref="L579:L640" si="152">IF(AND(LEN(C579)&gt;0,LEN(D579&gt;0),LEN(E579)&gt;0,LEN(F579)=0,H579="N/A"),4,"")</f>
        <v/>
      </c>
      <c r="M579" s="2" t="str">
        <f t="shared" ref="M579:M640" si="153">IF(AND(LEN(C579)&gt;0,LEN(D579&gt;0),LEN(E579)&gt;0,LEN(F579)=0,H579&gt;0,H579&lt;6),5,"")</f>
        <v/>
      </c>
      <c r="N579" s="2">
        <f t="shared" ref="N579:N640" si="154">IF(AND(LEN(C579)&gt;0,LEN(D579&gt;0),LEN(E579)&gt;0,LEN(F579)&gt;0,H579&gt;0,H579&lt;6),6,"")</f>
        <v>6</v>
      </c>
      <c r="O579" s="19">
        <f t="shared" ref="O579:O640" si="155">SUM(I579:N579)</f>
        <v>6</v>
      </c>
      <c r="Q579" s="2" t="str">
        <f t="shared" ref="Q579:Q640" si="156">IF(LEN(E579)&gt;0,TEXT(E579,"00"),"")</f>
        <v>02</v>
      </c>
      <c r="R579" s="21" t="str">
        <f t="shared" ref="R579:R640" si="157">IF(O579=1,C579,IF(O579=2,C579&amp;"."&amp;D579,IF(O579=3,"",IF(O579=4,C579&amp;"."&amp;D579&amp;"."&amp;Q579,IF(O579=5,C579&amp;"."&amp;D579&amp;"."&amp;Q579,IF(O579=6,C579&amp;"."&amp;D579&amp;"."&amp;Q579&amp;F579,""))))))</f>
        <v>3.4.02c</v>
      </c>
      <c r="S579" s="2" t="str">
        <f t="shared" ref="S579:S642" si="158">IF(O579=O578,IF(NOT(R579&gt;R578),1,""),"")</f>
        <v/>
      </c>
      <c r="T579" s="2" t="str">
        <f t="shared" ref="T579:T642" si="159">IF(NOT(R579&gt;R578),1,"")</f>
        <v/>
      </c>
      <c r="U579" s="19" t="str">
        <f t="shared" ref="U579:U642" si="160">IF(O579&lt;4,IF(LEN(H579)=0,"",1),IF(O579=4,IF(H579="N/A","",1),IF(AND(O579&gt;4,O579&lt;7),IF(AND(H579&gt;0,H579&lt;6),"",1),1)))</f>
        <v/>
      </c>
    </row>
    <row r="580" spans="1:21" x14ac:dyDescent="0.2">
      <c r="A580" s="2">
        <v>579</v>
      </c>
      <c r="B580" s="21" t="str">
        <f t="shared" si="145"/>
        <v>3.4.02d</v>
      </c>
      <c r="C580" s="2">
        <v>3</v>
      </c>
      <c r="D580" s="2">
        <v>4</v>
      </c>
      <c r="E580" s="2">
        <v>2</v>
      </c>
      <c r="F580" s="2" t="s">
        <v>112</v>
      </c>
      <c r="G580" s="2" t="s">
        <v>664</v>
      </c>
      <c r="H580" s="2">
        <v>4</v>
      </c>
      <c r="I580" s="19" t="str">
        <f t="shared" si="149"/>
        <v/>
      </c>
      <c r="J580" s="2" t="str">
        <f t="shared" si="150"/>
        <v/>
      </c>
      <c r="K580" s="2" t="str">
        <f t="shared" si="151"/>
        <v/>
      </c>
      <c r="L580" s="2" t="str">
        <f t="shared" si="152"/>
        <v/>
      </c>
      <c r="M580" s="2" t="str">
        <f t="shared" si="153"/>
        <v/>
      </c>
      <c r="N580" s="2">
        <f t="shared" si="154"/>
        <v>6</v>
      </c>
      <c r="O580" s="19">
        <f t="shared" si="155"/>
        <v>6</v>
      </c>
      <c r="Q580" s="2" t="str">
        <f t="shared" si="156"/>
        <v>02</v>
      </c>
      <c r="R580" s="21" t="str">
        <f t="shared" si="157"/>
        <v>3.4.02d</v>
      </c>
      <c r="S580" s="2" t="str">
        <f t="shared" si="158"/>
        <v/>
      </c>
      <c r="T580" s="2" t="str">
        <f t="shared" si="159"/>
        <v/>
      </c>
      <c r="U580" s="19" t="str">
        <f t="shared" si="160"/>
        <v/>
      </c>
    </row>
    <row r="581" spans="1:21" x14ac:dyDescent="0.2">
      <c r="A581" s="2">
        <v>580</v>
      </c>
      <c r="B581" s="21" t="str">
        <f t="shared" si="145"/>
        <v>3.4.03</v>
      </c>
      <c r="C581" s="2">
        <v>3</v>
      </c>
      <c r="D581" s="2">
        <v>4</v>
      </c>
      <c r="E581" s="2">
        <v>3</v>
      </c>
      <c r="F581" s="2" t="s">
        <v>84</v>
      </c>
      <c r="G581" s="2" t="s">
        <v>665</v>
      </c>
      <c r="H581" s="2" t="s">
        <v>89</v>
      </c>
      <c r="I581" s="19" t="str">
        <f t="shared" si="149"/>
        <v/>
      </c>
      <c r="J581" s="2" t="str">
        <f t="shared" si="150"/>
        <v/>
      </c>
      <c r="K581" s="2" t="str">
        <f t="shared" si="151"/>
        <v/>
      </c>
      <c r="L581" s="2">
        <f t="shared" si="152"/>
        <v>4</v>
      </c>
      <c r="M581" s="2" t="str">
        <f t="shared" si="153"/>
        <v/>
      </c>
      <c r="N581" s="2" t="str">
        <f t="shared" si="154"/>
        <v/>
      </c>
      <c r="O581" s="19">
        <f t="shared" si="155"/>
        <v>4</v>
      </c>
      <c r="Q581" s="2" t="str">
        <f t="shared" si="156"/>
        <v>03</v>
      </c>
      <c r="R581" s="21" t="str">
        <f t="shared" si="157"/>
        <v>3.4.03</v>
      </c>
      <c r="S581" s="2" t="str">
        <f t="shared" si="158"/>
        <v/>
      </c>
      <c r="T581" s="2" t="str">
        <f t="shared" si="159"/>
        <v/>
      </c>
      <c r="U581" s="19" t="str">
        <f t="shared" si="160"/>
        <v/>
      </c>
    </row>
    <row r="582" spans="1:21" x14ac:dyDescent="0.2">
      <c r="A582" s="2">
        <v>581</v>
      </c>
      <c r="B582" s="21" t="str">
        <f t="shared" si="145"/>
        <v>3.4.03a</v>
      </c>
      <c r="C582" s="2">
        <v>3</v>
      </c>
      <c r="D582" s="2">
        <v>4</v>
      </c>
      <c r="E582" s="2">
        <v>3</v>
      </c>
      <c r="F582" s="2" t="s">
        <v>90</v>
      </c>
      <c r="G582" s="2" t="s">
        <v>666</v>
      </c>
      <c r="H582" s="2">
        <v>2</v>
      </c>
      <c r="I582" s="19" t="str">
        <f t="shared" si="149"/>
        <v/>
      </c>
      <c r="J582" s="2" t="str">
        <f t="shared" si="150"/>
        <v/>
      </c>
      <c r="K582" s="2" t="str">
        <f t="shared" si="151"/>
        <v/>
      </c>
      <c r="L582" s="2" t="str">
        <f t="shared" si="152"/>
        <v/>
      </c>
      <c r="M582" s="2" t="str">
        <f t="shared" si="153"/>
        <v/>
      </c>
      <c r="N582" s="2">
        <f t="shared" si="154"/>
        <v>6</v>
      </c>
      <c r="O582" s="19">
        <f t="shared" si="155"/>
        <v>6</v>
      </c>
      <c r="Q582" s="2" t="str">
        <f t="shared" si="156"/>
        <v>03</v>
      </c>
      <c r="R582" s="21" t="str">
        <f t="shared" si="157"/>
        <v>3.4.03a</v>
      </c>
      <c r="S582" s="2" t="str">
        <f t="shared" si="158"/>
        <v/>
      </c>
      <c r="T582" s="2" t="str">
        <f t="shared" si="159"/>
        <v/>
      </c>
      <c r="U582" s="19" t="str">
        <f t="shared" si="160"/>
        <v/>
      </c>
    </row>
    <row r="583" spans="1:21" x14ac:dyDescent="0.2">
      <c r="A583" s="2">
        <v>582</v>
      </c>
      <c r="B583" s="21" t="str">
        <f t="shared" si="145"/>
        <v>3.4.03b</v>
      </c>
      <c r="C583" s="2">
        <v>3</v>
      </c>
      <c r="D583" s="2">
        <v>4</v>
      </c>
      <c r="E583" s="2">
        <v>3</v>
      </c>
      <c r="F583" s="2" t="s">
        <v>92</v>
      </c>
      <c r="G583" s="2" t="s">
        <v>667</v>
      </c>
      <c r="H583" s="2">
        <v>2</v>
      </c>
      <c r="I583" s="19" t="str">
        <f t="shared" si="149"/>
        <v/>
      </c>
      <c r="J583" s="2" t="str">
        <f t="shared" si="150"/>
        <v/>
      </c>
      <c r="K583" s="2" t="str">
        <f t="shared" si="151"/>
        <v/>
      </c>
      <c r="L583" s="2" t="str">
        <f t="shared" si="152"/>
        <v/>
      </c>
      <c r="M583" s="2" t="str">
        <f t="shared" si="153"/>
        <v/>
      </c>
      <c r="N583" s="2">
        <f t="shared" si="154"/>
        <v>6</v>
      </c>
      <c r="O583" s="19">
        <f t="shared" si="155"/>
        <v>6</v>
      </c>
      <c r="Q583" s="2" t="str">
        <f t="shared" si="156"/>
        <v>03</v>
      </c>
      <c r="R583" s="21" t="str">
        <f t="shared" si="157"/>
        <v>3.4.03b</v>
      </c>
      <c r="S583" s="2" t="str">
        <f t="shared" si="158"/>
        <v/>
      </c>
      <c r="T583" s="2" t="str">
        <f t="shared" si="159"/>
        <v/>
      </c>
      <c r="U583" s="19" t="str">
        <f t="shared" si="160"/>
        <v/>
      </c>
    </row>
    <row r="584" spans="1:21" x14ac:dyDescent="0.2">
      <c r="A584" s="2">
        <v>583</v>
      </c>
      <c r="B584" s="21" t="str">
        <f t="shared" si="145"/>
        <v>3.4.04</v>
      </c>
      <c r="C584" s="2">
        <v>3</v>
      </c>
      <c r="D584" s="2">
        <v>4</v>
      </c>
      <c r="E584" s="2">
        <v>4</v>
      </c>
      <c r="F584" s="2" t="s">
        <v>84</v>
      </c>
      <c r="G584" s="2" t="s">
        <v>668</v>
      </c>
      <c r="H584" s="2" t="s">
        <v>89</v>
      </c>
      <c r="I584" s="19" t="str">
        <f t="shared" si="149"/>
        <v/>
      </c>
      <c r="J584" s="2" t="str">
        <f t="shared" si="150"/>
        <v/>
      </c>
      <c r="K584" s="2" t="str">
        <f t="shared" si="151"/>
        <v/>
      </c>
      <c r="L584" s="2">
        <f t="shared" si="152"/>
        <v>4</v>
      </c>
      <c r="M584" s="2" t="str">
        <f t="shared" si="153"/>
        <v/>
      </c>
      <c r="N584" s="2" t="str">
        <f t="shared" si="154"/>
        <v/>
      </c>
      <c r="O584" s="19">
        <f t="shared" si="155"/>
        <v>4</v>
      </c>
      <c r="Q584" s="2" t="str">
        <f t="shared" si="156"/>
        <v>04</v>
      </c>
      <c r="R584" s="21" t="str">
        <f t="shared" si="157"/>
        <v>3.4.04</v>
      </c>
      <c r="S584" s="2" t="str">
        <f t="shared" si="158"/>
        <v/>
      </c>
      <c r="T584" s="2" t="str">
        <f t="shared" si="159"/>
        <v/>
      </c>
      <c r="U584" s="19" t="str">
        <f t="shared" si="160"/>
        <v/>
      </c>
    </row>
    <row r="585" spans="1:21" x14ac:dyDescent="0.2">
      <c r="A585" s="2">
        <v>584</v>
      </c>
      <c r="B585" s="21" t="str">
        <f t="shared" si="145"/>
        <v>3.4.04a</v>
      </c>
      <c r="C585" s="2">
        <v>3</v>
      </c>
      <c r="D585" s="2">
        <v>4</v>
      </c>
      <c r="E585" s="2">
        <v>4</v>
      </c>
      <c r="F585" s="2" t="s">
        <v>90</v>
      </c>
      <c r="G585" s="2" t="s">
        <v>669</v>
      </c>
      <c r="H585" s="2">
        <v>2</v>
      </c>
      <c r="I585" s="19" t="str">
        <f t="shared" si="149"/>
        <v/>
      </c>
      <c r="J585" s="2" t="str">
        <f t="shared" si="150"/>
        <v/>
      </c>
      <c r="K585" s="2" t="str">
        <f t="shared" si="151"/>
        <v/>
      </c>
      <c r="L585" s="2" t="str">
        <f t="shared" si="152"/>
        <v/>
      </c>
      <c r="M585" s="2" t="str">
        <f t="shared" si="153"/>
        <v/>
      </c>
      <c r="N585" s="2">
        <f t="shared" si="154"/>
        <v>6</v>
      </c>
      <c r="O585" s="19">
        <f t="shared" si="155"/>
        <v>6</v>
      </c>
      <c r="Q585" s="2" t="str">
        <f t="shared" si="156"/>
        <v>04</v>
      </c>
      <c r="R585" s="21" t="str">
        <f t="shared" si="157"/>
        <v>3.4.04a</v>
      </c>
      <c r="S585" s="2" t="str">
        <f t="shared" si="158"/>
        <v/>
      </c>
      <c r="T585" s="2" t="str">
        <f t="shared" si="159"/>
        <v/>
      </c>
      <c r="U585" s="19" t="str">
        <f t="shared" si="160"/>
        <v/>
      </c>
    </row>
    <row r="586" spans="1:21" x14ac:dyDescent="0.2">
      <c r="A586" s="2">
        <v>585</v>
      </c>
      <c r="B586" s="21" t="str">
        <f t="shared" si="145"/>
        <v>3.4.04b</v>
      </c>
      <c r="C586" s="2">
        <v>3</v>
      </c>
      <c r="D586" s="2">
        <v>4</v>
      </c>
      <c r="E586" s="2">
        <v>4</v>
      </c>
      <c r="F586" s="2" t="s">
        <v>92</v>
      </c>
      <c r="G586" s="2" t="s">
        <v>670</v>
      </c>
      <c r="H586" s="2">
        <v>2</v>
      </c>
      <c r="I586" s="19" t="str">
        <f t="shared" si="149"/>
        <v/>
      </c>
      <c r="J586" s="2" t="str">
        <f t="shared" si="150"/>
        <v/>
      </c>
      <c r="K586" s="2" t="str">
        <f t="shared" si="151"/>
        <v/>
      </c>
      <c r="L586" s="2" t="str">
        <f t="shared" si="152"/>
        <v/>
      </c>
      <c r="M586" s="2" t="str">
        <f t="shared" si="153"/>
        <v/>
      </c>
      <c r="N586" s="2">
        <f t="shared" si="154"/>
        <v>6</v>
      </c>
      <c r="O586" s="19">
        <f t="shared" si="155"/>
        <v>6</v>
      </c>
      <c r="Q586" s="2" t="str">
        <f t="shared" si="156"/>
        <v>04</v>
      </c>
      <c r="R586" s="21" t="str">
        <f t="shared" si="157"/>
        <v>3.4.04b</v>
      </c>
      <c r="S586" s="2" t="str">
        <f t="shared" si="158"/>
        <v/>
      </c>
      <c r="T586" s="2" t="str">
        <f t="shared" si="159"/>
        <v/>
      </c>
      <c r="U586" s="19" t="str">
        <f t="shared" si="160"/>
        <v/>
      </c>
    </row>
    <row r="587" spans="1:21" x14ac:dyDescent="0.2">
      <c r="A587" s="2">
        <v>586</v>
      </c>
      <c r="B587" s="21" t="str">
        <f t="shared" si="145"/>
        <v>3.4.05</v>
      </c>
      <c r="C587" s="2">
        <v>3</v>
      </c>
      <c r="D587" s="2">
        <v>4</v>
      </c>
      <c r="E587" s="2">
        <v>5</v>
      </c>
      <c r="F587" s="2" t="s">
        <v>84</v>
      </c>
      <c r="G587" s="2" t="s">
        <v>671</v>
      </c>
      <c r="H587" s="2">
        <v>3</v>
      </c>
      <c r="I587" s="19" t="str">
        <f t="shared" si="149"/>
        <v/>
      </c>
      <c r="J587" s="2" t="str">
        <f t="shared" si="150"/>
        <v/>
      </c>
      <c r="K587" s="2" t="str">
        <f t="shared" si="151"/>
        <v/>
      </c>
      <c r="L587" s="2" t="str">
        <f t="shared" si="152"/>
        <v/>
      </c>
      <c r="M587" s="2">
        <f t="shared" si="153"/>
        <v>5</v>
      </c>
      <c r="N587" s="2" t="str">
        <f t="shared" si="154"/>
        <v/>
      </c>
      <c r="O587" s="19">
        <f t="shared" si="155"/>
        <v>5</v>
      </c>
      <c r="Q587" s="2" t="str">
        <f t="shared" si="156"/>
        <v>05</v>
      </c>
      <c r="R587" s="21" t="str">
        <f t="shared" si="157"/>
        <v>3.4.05</v>
      </c>
      <c r="S587" s="2" t="str">
        <f t="shared" si="158"/>
        <v/>
      </c>
      <c r="T587" s="2" t="str">
        <f t="shared" si="159"/>
        <v/>
      </c>
      <c r="U587" s="19" t="str">
        <f t="shared" si="160"/>
        <v/>
      </c>
    </row>
    <row r="588" spans="1:21" x14ac:dyDescent="0.2">
      <c r="A588" s="2">
        <v>587</v>
      </c>
      <c r="B588" s="21" t="str">
        <f t="shared" si="145"/>
        <v>3.4.06</v>
      </c>
      <c r="C588" s="2">
        <v>3</v>
      </c>
      <c r="D588" s="2">
        <v>4</v>
      </c>
      <c r="E588" s="2">
        <v>6</v>
      </c>
      <c r="F588" s="2" t="s">
        <v>84</v>
      </c>
      <c r="G588" s="2" t="s">
        <v>672</v>
      </c>
      <c r="H588" s="2" t="s">
        <v>89</v>
      </c>
      <c r="I588" s="19" t="str">
        <f t="shared" si="149"/>
        <v/>
      </c>
      <c r="J588" s="2" t="str">
        <f t="shared" si="150"/>
        <v/>
      </c>
      <c r="K588" s="2" t="str">
        <f t="shared" si="151"/>
        <v/>
      </c>
      <c r="L588" s="2">
        <f t="shared" si="152"/>
        <v>4</v>
      </c>
      <c r="M588" s="2" t="str">
        <f t="shared" si="153"/>
        <v/>
      </c>
      <c r="N588" s="2" t="str">
        <f t="shared" si="154"/>
        <v/>
      </c>
      <c r="O588" s="19">
        <f t="shared" si="155"/>
        <v>4</v>
      </c>
      <c r="Q588" s="2" t="str">
        <f t="shared" si="156"/>
        <v>06</v>
      </c>
      <c r="R588" s="21" t="str">
        <f t="shared" si="157"/>
        <v>3.4.06</v>
      </c>
      <c r="S588" s="2" t="str">
        <f t="shared" si="158"/>
        <v/>
      </c>
      <c r="T588" s="2" t="str">
        <f t="shared" si="159"/>
        <v/>
      </c>
      <c r="U588" s="19" t="str">
        <f t="shared" si="160"/>
        <v/>
      </c>
    </row>
    <row r="589" spans="1:21" x14ac:dyDescent="0.2">
      <c r="A589" s="2">
        <v>588</v>
      </c>
      <c r="B589" s="21" t="str">
        <f t="shared" si="145"/>
        <v>3.4.06a</v>
      </c>
      <c r="C589" s="2">
        <v>3</v>
      </c>
      <c r="D589" s="2">
        <v>4</v>
      </c>
      <c r="E589" s="2">
        <v>6</v>
      </c>
      <c r="F589" s="2" t="s">
        <v>90</v>
      </c>
      <c r="G589" s="2" t="s">
        <v>673</v>
      </c>
      <c r="H589" s="2">
        <v>3</v>
      </c>
      <c r="I589" s="19" t="str">
        <f t="shared" si="149"/>
        <v/>
      </c>
      <c r="J589" s="2" t="str">
        <f t="shared" si="150"/>
        <v/>
      </c>
      <c r="K589" s="2" t="str">
        <f t="shared" si="151"/>
        <v/>
      </c>
      <c r="L589" s="2" t="str">
        <f t="shared" si="152"/>
        <v/>
      </c>
      <c r="M589" s="2" t="str">
        <f t="shared" si="153"/>
        <v/>
      </c>
      <c r="N589" s="2">
        <f t="shared" si="154"/>
        <v>6</v>
      </c>
      <c r="O589" s="19">
        <f t="shared" si="155"/>
        <v>6</v>
      </c>
      <c r="Q589" s="2" t="str">
        <f t="shared" si="156"/>
        <v>06</v>
      </c>
      <c r="R589" s="21" t="str">
        <f t="shared" si="157"/>
        <v>3.4.06a</v>
      </c>
      <c r="S589" s="2" t="str">
        <f t="shared" si="158"/>
        <v/>
      </c>
      <c r="T589" s="2" t="str">
        <f t="shared" si="159"/>
        <v/>
      </c>
      <c r="U589" s="19" t="str">
        <f t="shared" si="160"/>
        <v/>
      </c>
    </row>
    <row r="590" spans="1:21" x14ac:dyDescent="0.2">
      <c r="A590" s="2">
        <v>589</v>
      </c>
      <c r="B590" s="21" t="str">
        <f t="shared" si="145"/>
        <v>3.4.06b</v>
      </c>
      <c r="C590" s="2">
        <v>3</v>
      </c>
      <c r="D590" s="2">
        <v>4</v>
      </c>
      <c r="E590" s="2">
        <v>6</v>
      </c>
      <c r="F590" s="2" t="s">
        <v>92</v>
      </c>
      <c r="G590" s="2" t="s">
        <v>674</v>
      </c>
      <c r="H590" s="2">
        <v>3</v>
      </c>
      <c r="I590" s="19" t="str">
        <f t="shared" si="149"/>
        <v/>
      </c>
      <c r="J590" s="2" t="str">
        <f t="shared" si="150"/>
        <v/>
      </c>
      <c r="K590" s="2" t="str">
        <f t="shared" si="151"/>
        <v/>
      </c>
      <c r="L590" s="2" t="str">
        <f t="shared" si="152"/>
        <v/>
      </c>
      <c r="M590" s="2" t="str">
        <f t="shared" si="153"/>
        <v/>
      </c>
      <c r="N590" s="2">
        <f t="shared" si="154"/>
        <v>6</v>
      </c>
      <c r="O590" s="19">
        <f t="shared" si="155"/>
        <v>6</v>
      </c>
      <c r="Q590" s="2" t="str">
        <f t="shared" si="156"/>
        <v>06</v>
      </c>
      <c r="R590" s="21" t="str">
        <f t="shared" si="157"/>
        <v>3.4.06b</v>
      </c>
      <c r="S590" s="2" t="str">
        <f t="shared" si="158"/>
        <v/>
      </c>
      <c r="T590" s="2" t="str">
        <f t="shared" si="159"/>
        <v/>
      </c>
      <c r="U590" s="19" t="str">
        <f t="shared" si="160"/>
        <v/>
      </c>
    </row>
    <row r="591" spans="1:21" x14ac:dyDescent="0.2">
      <c r="A591" s="2">
        <v>590</v>
      </c>
      <c r="B591" s="21" t="str">
        <f t="shared" si="145"/>
        <v>3.4.07</v>
      </c>
      <c r="C591" s="2">
        <v>3</v>
      </c>
      <c r="D591" s="2">
        <v>4</v>
      </c>
      <c r="E591" s="2">
        <v>7</v>
      </c>
      <c r="F591" s="2" t="s">
        <v>84</v>
      </c>
      <c r="G591" s="2" t="s">
        <v>675</v>
      </c>
      <c r="H591" s="2" t="s">
        <v>89</v>
      </c>
      <c r="I591" s="19" t="str">
        <f t="shared" si="149"/>
        <v/>
      </c>
      <c r="J591" s="2" t="str">
        <f t="shared" si="150"/>
        <v/>
      </c>
      <c r="K591" s="2" t="str">
        <f t="shared" si="151"/>
        <v/>
      </c>
      <c r="L591" s="2">
        <f t="shared" si="152"/>
        <v>4</v>
      </c>
      <c r="M591" s="2" t="str">
        <f t="shared" si="153"/>
        <v/>
      </c>
      <c r="N591" s="2" t="str">
        <f t="shared" si="154"/>
        <v/>
      </c>
      <c r="O591" s="19">
        <f t="shared" si="155"/>
        <v>4</v>
      </c>
      <c r="Q591" s="2" t="str">
        <f t="shared" si="156"/>
        <v>07</v>
      </c>
      <c r="R591" s="21" t="str">
        <f t="shared" si="157"/>
        <v>3.4.07</v>
      </c>
      <c r="S591" s="2" t="str">
        <f t="shared" si="158"/>
        <v/>
      </c>
      <c r="T591" s="2" t="str">
        <f t="shared" si="159"/>
        <v/>
      </c>
      <c r="U591" s="19" t="str">
        <f t="shared" si="160"/>
        <v/>
      </c>
    </row>
    <row r="592" spans="1:21" x14ac:dyDescent="0.2">
      <c r="A592" s="2">
        <v>591</v>
      </c>
      <c r="B592" s="21" t="str">
        <f t="shared" si="145"/>
        <v>3.4.07a</v>
      </c>
      <c r="C592" s="2">
        <v>3</v>
      </c>
      <c r="D592" s="2">
        <v>4</v>
      </c>
      <c r="E592" s="2">
        <v>7</v>
      </c>
      <c r="F592" s="2" t="s">
        <v>90</v>
      </c>
      <c r="G592" s="2" t="s">
        <v>676</v>
      </c>
      <c r="H592" s="2">
        <v>3</v>
      </c>
      <c r="I592" s="19" t="str">
        <f t="shared" si="149"/>
        <v/>
      </c>
      <c r="J592" s="2" t="str">
        <f t="shared" si="150"/>
        <v/>
      </c>
      <c r="K592" s="2" t="str">
        <f t="shared" si="151"/>
        <v/>
      </c>
      <c r="L592" s="2" t="str">
        <f t="shared" si="152"/>
        <v/>
      </c>
      <c r="M592" s="2" t="str">
        <f t="shared" si="153"/>
        <v/>
      </c>
      <c r="N592" s="2">
        <f t="shared" si="154"/>
        <v>6</v>
      </c>
      <c r="O592" s="19">
        <f t="shared" si="155"/>
        <v>6</v>
      </c>
      <c r="Q592" s="2" t="str">
        <f t="shared" si="156"/>
        <v>07</v>
      </c>
      <c r="R592" s="21" t="str">
        <f t="shared" si="157"/>
        <v>3.4.07a</v>
      </c>
      <c r="S592" s="2" t="str">
        <f t="shared" si="158"/>
        <v/>
      </c>
      <c r="T592" s="2" t="str">
        <f t="shared" si="159"/>
        <v/>
      </c>
      <c r="U592" s="19" t="str">
        <f t="shared" si="160"/>
        <v/>
      </c>
    </row>
    <row r="593" spans="1:21" x14ac:dyDescent="0.2">
      <c r="A593" s="2">
        <v>592</v>
      </c>
      <c r="B593" s="21" t="str">
        <f t="shared" si="145"/>
        <v>3.4.07b</v>
      </c>
      <c r="C593" s="2">
        <v>3</v>
      </c>
      <c r="D593" s="2">
        <v>4</v>
      </c>
      <c r="E593" s="2">
        <v>7</v>
      </c>
      <c r="F593" s="2" t="s">
        <v>92</v>
      </c>
      <c r="G593" s="2" t="s">
        <v>677</v>
      </c>
      <c r="H593" s="2">
        <v>3</v>
      </c>
      <c r="I593" s="19" t="str">
        <f t="shared" si="149"/>
        <v/>
      </c>
      <c r="J593" s="2" t="str">
        <f t="shared" si="150"/>
        <v/>
      </c>
      <c r="K593" s="2" t="str">
        <f t="shared" si="151"/>
        <v/>
      </c>
      <c r="L593" s="2" t="str">
        <f t="shared" si="152"/>
        <v/>
      </c>
      <c r="M593" s="2" t="str">
        <f t="shared" si="153"/>
        <v/>
      </c>
      <c r="N593" s="2">
        <f t="shared" si="154"/>
        <v>6</v>
      </c>
      <c r="O593" s="19">
        <f t="shared" si="155"/>
        <v>6</v>
      </c>
      <c r="Q593" s="2" t="str">
        <f t="shared" si="156"/>
        <v>07</v>
      </c>
      <c r="R593" s="21" t="str">
        <f t="shared" si="157"/>
        <v>3.4.07b</v>
      </c>
      <c r="S593" s="2" t="str">
        <f t="shared" si="158"/>
        <v/>
      </c>
      <c r="T593" s="2" t="str">
        <f t="shared" si="159"/>
        <v/>
      </c>
      <c r="U593" s="19" t="str">
        <f t="shared" si="160"/>
        <v/>
      </c>
    </row>
    <row r="594" spans="1:21" x14ac:dyDescent="0.2">
      <c r="A594" s="2">
        <v>593</v>
      </c>
      <c r="B594" s="21" t="str">
        <f t="shared" si="145"/>
        <v>3.4.08</v>
      </c>
      <c r="C594" s="2">
        <v>3</v>
      </c>
      <c r="D594" s="2">
        <v>4</v>
      </c>
      <c r="E594" s="2">
        <v>8</v>
      </c>
      <c r="F594" s="2" t="s">
        <v>84</v>
      </c>
      <c r="G594" s="2" t="s">
        <v>678</v>
      </c>
      <c r="H594" s="2" t="s">
        <v>89</v>
      </c>
      <c r="I594" s="19" t="str">
        <f t="shared" si="149"/>
        <v/>
      </c>
      <c r="J594" s="2" t="str">
        <f t="shared" si="150"/>
        <v/>
      </c>
      <c r="K594" s="2" t="str">
        <f t="shared" si="151"/>
        <v/>
      </c>
      <c r="L594" s="2">
        <f t="shared" si="152"/>
        <v>4</v>
      </c>
      <c r="M594" s="2" t="str">
        <f t="shared" si="153"/>
        <v/>
      </c>
      <c r="N594" s="2" t="str">
        <f t="shared" si="154"/>
        <v/>
      </c>
      <c r="O594" s="19">
        <f t="shared" si="155"/>
        <v>4</v>
      </c>
      <c r="Q594" s="2" t="str">
        <f t="shared" si="156"/>
        <v>08</v>
      </c>
      <c r="R594" s="21" t="str">
        <f t="shared" si="157"/>
        <v>3.4.08</v>
      </c>
      <c r="S594" s="2" t="str">
        <f t="shared" si="158"/>
        <v/>
      </c>
      <c r="T594" s="2" t="str">
        <f t="shared" si="159"/>
        <v/>
      </c>
      <c r="U594" s="19" t="str">
        <f t="shared" si="160"/>
        <v/>
      </c>
    </row>
    <row r="595" spans="1:21" x14ac:dyDescent="0.2">
      <c r="A595" s="2">
        <v>594</v>
      </c>
      <c r="B595" s="21" t="str">
        <f t="shared" si="145"/>
        <v>3.4.08a</v>
      </c>
      <c r="C595" s="2">
        <v>3</v>
      </c>
      <c r="D595" s="2">
        <v>4</v>
      </c>
      <c r="E595" s="2">
        <v>8</v>
      </c>
      <c r="F595" s="2" t="s">
        <v>90</v>
      </c>
      <c r="G595" s="2" t="s">
        <v>679</v>
      </c>
      <c r="H595" s="2">
        <v>4</v>
      </c>
      <c r="I595" s="19" t="str">
        <f t="shared" si="149"/>
        <v/>
      </c>
      <c r="J595" s="2" t="str">
        <f t="shared" si="150"/>
        <v/>
      </c>
      <c r="K595" s="2" t="str">
        <f t="shared" si="151"/>
        <v/>
      </c>
      <c r="L595" s="2" t="str">
        <f t="shared" si="152"/>
        <v/>
      </c>
      <c r="M595" s="2" t="str">
        <f t="shared" si="153"/>
        <v/>
      </c>
      <c r="N595" s="2">
        <f t="shared" si="154"/>
        <v>6</v>
      </c>
      <c r="O595" s="19">
        <f t="shared" si="155"/>
        <v>6</v>
      </c>
      <c r="Q595" s="2" t="str">
        <f t="shared" si="156"/>
        <v>08</v>
      </c>
      <c r="R595" s="21" t="str">
        <f t="shared" si="157"/>
        <v>3.4.08a</v>
      </c>
      <c r="S595" s="2" t="str">
        <f t="shared" si="158"/>
        <v/>
      </c>
      <c r="T595" s="2" t="str">
        <f t="shared" si="159"/>
        <v/>
      </c>
      <c r="U595" s="19" t="str">
        <f t="shared" si="160"/>
        <v/>
      </c>
    </row>
    <row r="596" spans="1:21" x14ac:dyDescent="0.2">
      <c r="A596" s="2">
        <v>595</v>
      </c>
      <c r="B596" s="21" t="str">
        <f t="shared" si="145"/>
        <v>3.4.08b</v>
      </c>
      <c r="C596" s="2">
        <v>3</v>
      </c>
      <c r="D596" s="2">
        <v>4</v>
      </c>
      <c r="E596" s="2">
        <v>8</v>
      </c>
      <c r="F596" s="2" t="s">
        <v>92</v>
      </c>
      <c r="G596" s="2" t="s">
        <v>680</v>
      </c>
      <c r="H596" s="2">
        <v>3</v>
      </c>
      <c r="I596" s="19" t="str">
        <f t="shared" si="149"/>
        <v/>
      </c>
      <c r="J596" s="2" t="str">
        <f t="shared" si="150"/>
        <v/>
      </c>
      <c r="K596" s="2" t="str">
        <f t="shared" si="151"/>
        <v/>
      </c>
      <c r="L596" s="2" t="str">
        <f t="shared" si="152"/>
        <v/>
      </c>
      <c r="M596" s="2" t="str">
        <f t="shared" si="153"/>
        <v/>
      </c>
      <c r="N596" s="2">
        <f t="shared" si="154"/>
        <v>6</v>
      </c>
      <c r="O596" s="19">
        <f t="shared" si="155"/>
        <v>6</v>
      </c>
      <c r="Q596" s="2" t="str">
        <f t="shared" si="156"/>
        <v>08</v>
      </c>
      <c r="R596" s="21" t="str">
        <f t="shared" si="157"/>
        <v>3.4.08b</v>
      </c>
      <c r="S596" s="2" t="str">
        <f t="shared" si="158"/>
        <v/>
      </c>
      <c r="T596" s="2" t="str">
        <f t="shared" si="159"/>
        <v/>
      </c>
      <c r="U596" s="19" t="str">
        <f t="shared" si="160"/>
        <v/>
      </c>
    </row>
    <row r="597" spans="1:21" x14ac:dyDescent="0.2">
      <c r="A597" s="2">
        <v>596</v>
      </c>
      <c r="B597" s="21" t="str">
        <f t="shared" si="145"/>
        <v>3.4.08c</v>
      </c>
      <c r="C597" s="2">
        <v>3</v>
      </c>
      <c r="D597" s="2">
        <v>4</v>
      </c>
      <c r="E597" s="2">
        <v>8</v>
      </c>
      <c r="F597" s="2" t="s">
        <v>94</v>
      </c>
      <c r="G597" s="2" t="s">
        <v>681</v>
      </c>
      <c r="H597" s="2">
        <v>3</v>
      </c>
      <c r="I597" s="19" t="str">
        <f t="shared" si="149"/>
        <v/>
      </c>
      <c r="J597" s="2" t="str">
        <f t="shared" si="150"/>
        <v/>
      </c>
      <c r="K597" s="2" t="str">
        <f t="shared" si="151"/>
        <v/>
      </c>
      <c r="L597" s="2" t="str">
        <f t="shared" si="152"/>
        <v/>
      </c>
      <c r="M597" s="2" t="str">
        <f t="shared" si="153"/>
        <v/>
      </c>
      <c r="N597" s="2">
        <f t="shared" si="154"/>
        <v>6</v>
      </c>
      <c r="O597" s="19">
        <f t="shared" si="155"/>
        <v>6</v>
      </c>
      <c r="Q597" s="2" t="str">
        <f t="shared" si="156"/>
        <v>08</v>
      </c>
      <c r="R597" s="21" t="str">
        <f t="shared" si="157"/>
        <v>3.4.08c</v>
      </c>
      <c r="S597" s="2" t="str">
        <f t="shared" si="158"/>
        <v/>
      </c>
      <c r="T597" s="2" t="str">
        <f t="shared" si="159"/>
        <v/>
      </c>
      <c r="U597" s="19" t="str">
        <f t="shared" si="160"/>
        <v/>
      </c>
    </row>
    <row r="598" spans="1:21" x14ac:dyDescent="0.2">
      <c r="A598" s="2">
        <v>597</v>
      </c>
      <c r="B598" s="21" t="str">
        <f t="shared" si="145"/>
        <v>3.4.08d</v>
      </c>
      <c r="C598" s="2">
        <v>3</v>
      </c>
      <c r="D598" s="2">
        <v>4</v>
      </c>
      <c r="E598" s="2">
        <v>8</v>
      </c>
      <c r="F598" s="2" t="s">
        <v>112</v>
      </c>
      <c r="G598" s="2" t="s">
        <v>682</v>
      </c>
      <c r="H598" s="2">
        <v>4</v>
      </c>
      <c r="I598" s="19" t="str">
        <f t="shared" si="149"/>
        <v/>
      </c>
      <c r="J598" s="2" t="str">
        <f t="shared" si="150"/>
        <v/>
      </c>
      <c r="K598" s="2" t="str">
        <f t="shared" si="151"/>
        <v/>
      </c>
      <c r="L598" s="2" t="str">
        <f t="shared" si="152"/>
        <v/>
      </c>
      <c r="M598" s="2" t="str">
        <f t="shared" si="153"/>
        <v/>
      </c>
      <c r="N598" s="2">
        <f t="shared" si="154"/>
        <v>6</v>
      </c>
      <c r="O598" s="19">
        <f t="shared" si="155"/>
        <v>6</v>
      </c>
      <c r="Q598" s="2" t="str">
        <f t="shared" si="156"/>
        <v>08</v>
      </c>
      <c r="R598" s="21" t="str">
        <f t="shared" si="157"/>
        <v>3.4.08d</v>
      </c>
      <c r="S598" s="2" t="str">
        <f t="shared" si="158"/>
        <v/>
      </c>
      <c r="T598" s="2" t="str">
        <f t="shared" si="159"/>
        <v/>
      </c>
      <c r="U598" s="19" t="str">
        <f t="shared" si="160"/>
        <v/>
      </c>
    </row>
    <row r="599" spans="1:21" x14ac:dyDescent="0.2">
      <c r="A599" s="2">
        <v>598</v>
      </c>
      <c r="B599" s="21" t="str">
        <f t="shared" si="145"/>
        <v>3.5</v>
      </c>
      <c r="C599" s="2">
        <v>3</v>
      </c>
      <c r="D599" s="2">
        <v>5</v>
      </c>
      <c r="E599" s="2" t="s">
        <v>84</v>
      </c>
      <c r="F599" s="2" t="s">
        <v>84</v>
      </c>
      <c r="G599" s="2" t="s">
        <v>683</v>
      </c>
      <c r="H599" s="2" t="s">
        <v>84</v>
      </c>
      <c r="I599" s="19" t="str">
        <f t="shared" si="149"/>
        <v/>
      </c>
      <c r="J599" s="2">
        <f t="shared" si="150"/>
        <v>2</v>
      </c>
      <c r="K599" s="2" t="str">
        <f t="shared" si="151"/>
        <v/>
      </c>
      <c r="L599" s="2" t="str">
        <f t="shared" si="152"/>
        <v/>
      </c>
      <c r="M599" s="2" t="str">
        <f t="shared" si="153"/>
        <v/>
      </c>
      <c r="N599" s="2" t="str">
        <f t="shared" si="154"/>
        <v/>
      </c>
      <c r="O599" s="19">
        <f t="shared" si="155"/>
        <v>2</v>
      </c>
      <c r="Q599" s="2" t="str">
        <f t="shared" si="156"/>
        <v/>
      </c>
      <c r="R599" s="21" t="str">
        <f t="shared" si="157"/>
        <v>3.5</v>
      </c>
      <c r="S599" s="2" t="str">
        <f t="shared" si="158"/>
        <v/>
      </c>
      <c r="T599" s="2" t="str">
        <f t="shared" si="159"/>
        <v/>
      </c>
      <c r="U599" s="19" t="str">
        <f t="shared" si="160"/>
        <v/>
      </c>
    </row>
    <row r="600" spans="1:21" x14ac:dyDescent="0.2">
      <c r="A600" s="2">
        <v>599</v>
      </c>
      <c r="B600" s="21" t="str">
        <f t="shared" si="145"/>
        <v>3.5.01</v>
      </c>
      <c r="C600" s="2">
        <v>3</v>
      </c>
      <c r="D600" s="2">
        <v>5</v>
      </c>
      <c r="E600" s="2">
        <v>1</v>
      </c>
      <c r="F600" s="2" t="s">
        <v>84</v>
      </c>
      <c r="G600" s="2" t="s">
        <v>684</v>
      </c>
      <c r="H600" s="2">
        <v>1</v>
      </c>
      <c r="I600" s="19" t="str">
        <f t="shared" si="149"/>
        <v/>
      </c>
      <c r="J600" s="2" t="str">
        <f t="shared" si="150"/>
        <v/>
      </c>
      <c r="K600" s="2" t="str">
        <f t="shared" si="151"/>
        <v/>
      </c>
      <c r="L600" s="2" t="str">
        <f t="shared" si="152"/>
        <v/>
      </c>
      <c r="M600" s="2">
        <f t="shared" si="153"/>
        <v>5</v>
      </c>
      <c r="N600" s="2" t="str">
        <f t="shared" si="154"/>
        <v/>
      </c>
      <c r="O600" s="19">
        <f t="shared" si="155"/>
        <v>5</v>
      </c>
      <c r="Q600" s="2" t="str">
        <f t="shared" si="156"/>
        <v>01</v>
      </c>
      <c r="R600" s="21" t="str">
        <f t="shared" si="157"/>
        <v>3.5.01</v>
      </c>
      <c r="S600" s="2" t="str">
        <f t="shared" si="158"/>
        <v/>
      </c>
      <c r="T600" s="2" t="str">
        <f t="shared" si="159"/>
        <v/>
      </c>
      <c r="U600" s="19" t="str">
        <f t="shared" si="160"/>
        <v/>
      </c>
    </row>
    <row r="601" spans="1:21" x14ac:dyDescent="0.2">
      <c r="A601" s="2">
        <v>600</v>
      </c>
      <c r="B601" s="21" t="str">
        <f t="shared" si="145"/>
        <v>3.5.02</v>
      </c>
      <c r="C601" s="2">
        <v>3</v>
      </c>
      <c r="D601" s="2">
        <v>5</v>
      </c>
      <c r="E601" s="2">
        <v>2</v>
      </c>
      <c r="F601" s="2" t="s">
        <v>84</v>
      </c>
      <c r="G601" s="2" t="s">
        <v>685</v>
      </c>
      <c r="H601" s="2" t="s">
        <v>89</v>
      </c>
      <c r="I601" s="19" t="str">
        <f t="shared" si="149"/>
        <v/>
      </c>
      <c r="J601" s="2" t="str">
        <f t="shared" si="150"/>
        <v/>
      </c>
      <c r="K601" s="2" t="str">
        <f t="shared" si="151"/>
        <v/>
      </c>
      <c r="L601" s="2">
        <f t="shared" si="152"/>
        <v>4</v>
      </c>
      <c r="M601" s="2" t="str">
        <f t="shared" si="153"/>
        <v/>
      </c>
      <c r="N601" s="2" t="str">
        <f t="shared" si="154"/>
        <v/>
      </c>
      <c r="O601" s="19">
        <f t="shared" si="155"/>
        <v>4</v>
      </c>
      <c r="Q601" s="2" t="str">
        <f t="shared" si="156"/>
        <v>02</v>
      </c>
      <c r="R601" s="21" t="str">
        <f t="shared" si="157"/>
        <v>3.5.02</v>
      </c>
      <c r="S601" s="2" t="str">
        <f t="shared" si="158"/>
        <v/>
      </c>
      <c r="T601" s="2" t="str">
        <f t="shared" si="159"/>
        <v/>
      </c>
      <c r="U601" s="19" t="str">
        <f t="shared" si="160"/>
        <v/>
      </c>
    </row>
    <row r="602" spans="1:21" x14ac:dyDescent="0.2">
      <c r="A602" s="2">
        <v>601</v>
      </c>
      <c r="B602" s="21" t="str">
        <f t="shared" si="145"/>
        <v>3.5.02a</v>
      </c>
      <c r="C602" s="2">
        <v>3</v>
      </c>
      <c r="D602" s="2">
        <v>5</v>
      </c>
      <c r="E602" s="2">
        <v>2</v>
      </c>
      <c r="F602" s="2" t="s">
        <v>90</v>
      </c>
      <c r="G602" s="2" t="s">
        <v>686</v>
      </c>
      <c r="H602" s="2">
        <v>2</v>
      </c>
      <c r="I602" s="19" t="str">
        <f t="shared" si="149"/>
        <v/>
      </c>
      <c r="J602" s="2" t="str">
        <f t="shared" si="150"/>
        <v/>
      </c>
      <c r="K602" s="2" t="str">
        <f t="shared" si="151"/>
        <v/>
      </c>
      <c r="L602" s="2" t="str">
        <f t="shared" si="152"/>
        <v/>
      </c>
      <c r="M602" s="2" t="str">
        <f t="shared" si="153"/>
        <v/>
      </c>
      <c r="N602" s="2">
        <f t="shared" si="154"/>
        <v>6</v>
      </c>
      <c r="O602" s="19">
        <f t="shared" si="155"/>
        <v>6</v>
      </c>
      <c r="Q602" s="2" t="str">
        <f t="shared" si="156"/>
        <v>02</v>
      </c>
      <c r="R602" s="21" t="str">
        <f t="shared" si="157"/>
        <v>3.5.02a</v>
      </c>
      <c r="S602" s="2" t="str">
        <f t="shared" si="158"/>
        <v/>
      </c>
      <c r="T602" s="2" t="str">
        <f t="shared" si="159"/>
        <v/>
      </c>
      <c r="U602" s="19" t="str">
        <f t="shared" si="160"/>
        <v/>
      </c>
    </row>
    <row r="603" spans="1:21" x14ac:dyDescent="0.2">
      <c r="A603" s="2">
        <v>602</v>
      </c>
      <c r="B603" s="21" t="str">
        <f t="shared" si="145"/>
        <v>3.5.02b</v>
      </c>
      <c r="C603" s="2">
        <v>3</v>
      </c>
      <c r="D603" s="2">
        <v>5</v>
      </c>
      <c r="E603" s="2">
        <v>2</v>
      </c>
      <c r="F603" s="2" t="s">
        <v>92</v>
      </c>
      <c r="G603" s="2" t="s">
        <v>687</v>
      </c>
      <c r="H603" s="2">
        <v>2</v>
      </c>
      <c r="I603" s="19" t="str">
        <f t="shared" si="149"/>
        <v/>
      </c>
      <c r="J603" s="2" t="str">
        <f t="shared" si="150"/>
        <v/>
      </c>
      <c r="K603" s="2" t="str">
        <f t="shared" si="151"/>
        <v/>
      </c>
      <c r="L603" s="2" t="str">
        <f t="shared" si="152"/>
        <v/>
      </c>
      <c r="M603" s="2" t="str">
        <f t="shared" si="153"/>
        <v/>
      </c>
      <c r="N603" s="2">
        <f t="shared" si="154"/>
        <v>6</v>
      </c>
      <c r="O603" s="19">
        <f t="shared" si="155"/>
        <v>6</v>
      </c>
      <c r="Q603" s="2" t="str">
        <f t="shared" si="156"/>
        <v>02</v>
      </c>
      <c r="R603" s="21" t="str">
        <f t="shared" si="157"/>
        <v>3.5.02b</v>
      </c>
      <c r="S603" s="2" t="str">
        <f t="shared" si="158"/>
        <v/>
      </c>
      <c r="T603" s="2" t="str">
        <f t="shared" si="159"/>
        <v/>
      </c>
      <c r="U603" s="19" t="str">
        <f t="shared" si="160"/>
        <v/>
      </c>
    </row>
    <row r="604" spans="1:21" x14ac:dyDescent="0.2">
      <c r="A604" s="2">
        <v>603</v>
      </c>
      <c r="B604" s="21" t="str">
        <f t="shared" si="145"/>
        <v>3.5.02c</v>
      </c>
      <c r="C604" s="2">
        <v>3</v>
      </c>
      <c r="D604" s="2">
        <v>5</v>
      </c>
      <c r="E604" s="2">
        <v>2</v>
      </c>
      <c r="F604" s="2" t="s">
        <v>94</v>
      </c>
      <c r="G604" s="2" t="s">
        <v>688</v>
      </c>
      <c r="H604" s="2">
        <v>2</v>
      </c>
      <c r="I604" s="19" t="str">
        <f t="shared" si="149"/>
        <v/>
      </c>
      <c r="J604" s="2" t="str">
        <f t="shared" si="150"/>
        <v/>
      </c>
      <c r="K604" s="2" t="str">
        <f t="shared" si="151"/>
        <v/>
      </c>
      <c r="L604" s="2" t="str">
        <f t="shared" si="152"/>
        <v/>
      </c>
      <c r="M604" s="2" t="str">
        <f t="shared" si="153"/>
        <v/>
      </c>
      <c r="N604" s="2">
        <f t="shared" si="154"/>
        <v>6</v>
      </c>
      <c r="O604" s="19">
        <f t="shared" si="155"/>
        <v>6</v>
      </c>
      <c r="Q604" s="2" t="str">
        <f t="shared" si="156"/>
        <v>02</v>
      </c>
      <c r="R604" s="21" t="str">
        <f t="shared" si="157"/>
        <v>3.5.02c</v>
      </c>
      <c r="S604" s="2" t="str">
        <f t="shared" si="158"/>
        <v/>
      </c>
      <c r="T604" s="2" t="str">
        <f t="shared" si="159"/>
        <v/>
      </c>
      <c r="U604" s="19" t="str">
        <f t="shared" si="160"/>
        <v/>
      </c>
    </row>
    <row r="605" spans="1:21" x14ac:dyDescent="0.2">
      <c r="A605" s="2">
        <v>604</v>
      </c>
      <c r="B605" s="21" t="str">
        <f t="shared" si="145"/>
        <v>3.5.02d</v>
      </c>
      <c r="C605" s="2">
        <v>3</v>
      </c>
      <c r="D605" s="2">
        <v>5</v>
      </c>
      <c r="E605" s="2">
        <v>2</v>
      </c>
      <c r="F605" s="2" t="s">
        <v>112</v>
      </c>
      <c r="G605" s="2" t="s">
        <v>689</v>
      </c>
      <c r="H605" s="2">
        <v>3</v>
      </c>
      <c r="I605" s="19" t="str">
        <f t="shared" si="149"/>
        <v/>
      </c>
      <c r="J605" s="2" t="str">
        <f t="shared" si="150"/>
        <v/>
      </c>
      <c r="K605" s="2" t="str">
        <f t="shared" si="151"/>
        <v/>
      </c>
      <c r="L605" s="2" t="str">
        <f t="shared" si="152"/>
        <v/>
      </c>
      <c r="M605" s="2" t="str">
        <f t="shared" si="153"/>
        <v/>
      </c>
      <c r="N605" s="2">
        <f t="shared" si="154"/>
        <v>6</v>
      </c>
      <c r="O605" s="19">
        <f t="shared" si="155"/>
        <v>6</v>
      </c>
      <c r="Q605" s="2" t="str">
        <f t="shared" si="156"/>
        <v>02</v>
      </c>
      <c r="R605" s="21" t="str">
        <f t="shared" si="157"/>
        <v>3.5.02d</v>
      </c>
      <c r="S605" s="2" t="str">
        <f t="shared" si="158"/>
        <v/>
      </c>
      <c r="T605" s="2" t="str">
        <f t="shared" si="159"/>
        <v/>
      </c>
      <c r="U605" s="19" t="str">
        <f t="shared" si="160"/>
        <v/>
      </c>
    </row>
    <row r="606" spans="1:21" x14ac:dyDescent="0.2">
      <c r="A606" s="2">
        <v>605</v>
      </c>
      <c r="B606" s="21" t="str">
        <f t="shared" si="145"/>
        <v>3.5.02e</v>
      </c>
      <c r="C606" s="2">
        <v>3</v>
      </c>
      <c r="D606" s="2">
        <v>5</v>
      </c>
      <c r="E606" s="2">
        <v>2</v>
      </c>
      <c r="F606" s="2" t="s">
        <v>114</v>
      </c>
      <c r="G606" s="2" t="s">
        <v>690</v>
      </c>
      <c r="H606" s="2">
        <v>3</v>
      </c>
      <c r="I606" s="19" t="str">
        <f t="shared" si="149"/>
        <v/>
      </c>
      <c r="J606" s="2" t="str">
        <f t="shared" si="150"/>
        <v/>
      </c>
      <c r="K606" s="2" t="str">
        <f t="shared" si="151"/>
        <v/>
      </c>
      <c r="L606" s="2" t="str">
        <f t="shared" si="152"/>
        <v/>
      </c>
      <c r="M606" s="2" t="str">
        <f t="shared" si="153"/>
        <v/>
      </c>
      <c r="N606" s="2">
        <f t="shared" si="154"/>
        <v>6</v>
      </c>
      <c r="O606" s="19">
        <f t="shared" si="155"/>
        <v>6</v>
      </c>
      <c r="Q606" s="2" t="str">
        <f t="shared" si="156"/>
        <v>02</v>
      </c>
      <c r="R606" s="21" t="str">
        <f t="shared" si="157"/>
        <v>3.5.02e</v>
      </c>
      <c r="S606" s="2" t="str">
        <f t="shared" si="158"/>
        <v/>
      </c>
      <c r="T606" s="2" t="str">
        <f t="shared" si="159"/>
        <v/>
      </c>
      <c r="U606" s="19" t="str">
        <f t="shared" si="160"/>
        <v/>
      </c>
    </row>
    <row r="607" spans="1:21" x14ac:dyDescent="0.2">
      <c r="A607" s="2">
        <v>606</v>
      </c>
      <c r="B607" s="21" t="str">
        <f t="shared" si="145"/>
        <v>3.5.03</v>
      </c>
      <c r="C607" s="2">
        <v>3</v>
      </c>
      <c r="D607" s="2">
        <v>5</v>
      </c>
      <c r="E607" s="2">
        <v>3</v>
      </c>
      <c r="F607" s="2" t="s">
        <v>84</v>
      </c>
      <c r="G607" s="2" t="s">
        <v>691</v>
      </c>
      <c r="H607" s="2">
        <v>5</v>
      </c>
      <c r="I607" s="19" t="str">
        <f t="shared" si="149"/>
        <v/>
      </c>
      <c r="J607" s="2" t="str">
        <f t="shared" si="150"/>
        <v/>
      </c>
      <c r="K607" s="2" t="str">
        <f t="shared" si="151"/>
        <v/>
      </c>
      <c r="L607" s="2" t="str">
        <f t="shared" si="152"/>
        <v/>
      </c>
      <c r="M607" s="2">
        <f t="shared" si="153"/>
        <v>5</v>
      </c>
      <c r="N607" s="2" t="str">
        <f t="shared" si="154"/>
        <v/>
      </c>
      <c r="O607" s="19">
        <f t="shared" si="155"/>
        <v>5</v>
      </c>
      <c r="Q607" s="2" t="str">
        <f t="shared" si="156"/>
        <v>03</v>
      </c>
      <c r="R607" s="21" t="str">
        <f t="shared" si="157"/>
        <v>3.5.03</v>
      </c>
      <c r="S607" s="2" t="str">
        <f t="shared" si="158"/>
        <v/>
      </c>
      <c r="T607" s="2" t="str">
        <f t="shared" si="159"/>
        <v/>
      </c>
      <c r="U607" s="19" t="str">
        <f t="shared" si="160"/>
        <v/>
      </c>
    </row>
    <row r="608" spans="1:21" x14ac:dyDescent="0.2">
      <c r="A608" s="2">
        <v>607</v>
      </c>
      <c r="B608" s="21" t="str">
        <f t="shared" si="145"/>
        <v>3.5.04</v>
      </c>
      <c r="C608" s="2">
        <v>3</v>
      </c>
      <c r="D608" s="2">
        <v>5</v>
      </c>
      <c r="E608" s="2">
        <v>4</v>
      </c>
      <c r="F608" s="2" t="s">
        <v>84</v>
      </c>
      <c r="G608" s="2" t="s">
        <v>692</v>
      </c>
      <c r="H608" s="2">
        <v>5</v>
      </c>
      <c r="I608" s="19" t="str">
        <f t="shared" si="149"/>
        <v/>
      </c>
      <c r="J608" s="2" t="str">
        <f t="shared" si="150"/>
        <v/>
      </c>
      <c r="K608" s="2" t="str">
        <f t="shared" si="151"/>
        <v/>
      </c>
      <c r="L608" s="2" t="str">
        <f t="shared" si="152"/>
        <v/>
      </c>
      <c r="M608" s="2">
        <f t="shared" si="153"/>
        <v>5</v>
      </c>
      <c r="N608" s="2" t="str">
        <f t="shared" si="154"/>
        <v/>
      </c>
      <c r="O608" s="19">
        <f t="shared" si="155"/>
        <v>5</v>
      </c>
      <c r="Q608" s="2" t="str">
        <f t="shared" si="156"/>
        <v>04</v>
      </c>
      <c r="R608" s="21" t="str">
        <f t="shared" si="157"/>
        <v>3.5.04</v>
      </c>
      <c r="S608" s="2" t="str">
        <f t="shared" si="158"/>
        <v/>
      </c>
      <c r="T608" s="2" t="str">
        <f t="shared" si="159"/>
        <v/>
      </c>
      <c r="U608" s="19" t="str">
        <f t="shared" si="160"/>
        <v/>
      </c>
    </row>
    <row r="609" spans="1:21" x14ac:dyDescent="0.2">
      <c r="A609" s="2">
        <v>608</v>
      </c>
      <c r="B609" s="21" t="str">
        <f t="shared" si="145"/>
        <v>3.5.04a</v>
      </c>
      <c r="C609" s="2">
        <v>3</v>
      </c>
      <c r="D609" s="2">
        <v>5</v>
      </c>
      <c r="E609" s="2">
        <v>4</v>
      </c>
      <c r="F609" s="2" t="s">
        <v>90</v>
      </c>
      <c r="G609" s="2" t="s">
        <v>693</v>
      </c>
      <c r="H609" s="2">
        <v>5</v>
      </c>
      <c r="I609" s="19" t="str">
        <f t="shared" si="149"/>
        <v/>
      </c>
      <c r="J609" s="2" t="str">
        <f t="shared" si="150"/>
        <v/>
      </c>
      <c r="K609" s="2" t="str">
        <f t="shared" si="151"/>
        <v/>
      </c>
      <c r="L609" s="2" t="str">
        <f t="shared" si="152"/>
        <v/>
      </c>
      <c r="M609" s="2" t="str">
        <f t="shared" si="153"/>
        <v/>
      </c>
      <c r="N609" s="2">
        <f t="shared" si="154"/>
        <v>6</v>
      </c>
      <c r="O609" s="19">
        <f t="shared" si="155"/>
        <v>6</v>
      </c>
      <c r="Q609" s="2" t="str">
        <f t="shared" si="156"/>
        <v>04</v>
      </c>
      <c r="R609" s="21" t="str">
        <f t="shared" si="157"/>
        <v>3.5.04a</v>
      </c>
      <c r="S609" s="2" t="str">
        <f t="shared" si="158"/>
        <v/>
      </c>
      <c r="T609" s="2" t="str">
        <f t="shared" si="159"/>
        <v/>
      </c>
      <c r="U609" s="19" t="str">
        <f t="shared" si="160"/>
        <v/>
      </c>
    </row>
    <row r="610" spans="1:21" x14ac:dyDescent="0.2">
      <c r="A610" s="2">
        <v>609</v>
      </c>
      <c r="B610" s="21" t="str">
        <f t="shared" si="145"/>
        <v>3.5.04b</v>
      </c>
      <c r="C610" s="2">
        <v>3</v>
      </c>
      <c r="D610" s="2">
        <v>5</v>
      </c>
      <c r="E610" s="2">
        <v>4</v>
      </c>
      <c r="F610" s="2" t="s">
        <v>92</v>
      </c>
      <c r="G610" s="2" t="s">
        <v>694</v>
      </c>
      <c r="H610" s="2">
        <v>5</v>
      </c>
      <c r="I610" s="19" t="str">
        <f t="shared" si="149"/>
        <v/>
      </c>
      <c r="J610" s="2" t="str">
        <f t="shared" si="150"/>
        <v/>
      </c>
      <c r="K610" s="2" t="str">
        <f t="shared" si="151"/>
        <v/>
      </c>
      <c r="L610" s="2" t="str">
        <f t="shared" si="152"/>
        <v/>
      </c>
      <c r="M610" s="2" t="str">
        <f t="shared" si="153"/>
        <v/>
      </c>
      <c r="N610" s="2">
        <f t="shared" si="154"/>
        <v>6</v>
      </c>
      <c r="O610" s="19">
        <f t="shared" si="155"/>
        <v>6</v>
      </c>
      <c r="Q610" s="2" t="str">
        <f t="shared" si="156"/>
        <v>04</v>
      </c>
      <c r="R610" s="21" t="str">
        <f t="shared" si="157"/>
        <v>3.5.04b</v>
      </c>
      <c r="S610" s="2" t="str">
        <f t="shared" si="158"/>
        <v/>
      </c>
      <c r="T610" s="2" t="str">
        <f t="shared" si="159"/>
        <v/>
      </c>
      <c r="U610" s="19" t="str">
        <f t="shared" si="160"/>
        <v/>
      </c>
    </row>
    <row r="611" spans="1:21" x14ac:dyDescent="0.2">
      <c r="A611" s="2">
        <v>610</v>
      </c>
      <c r="B611" s="21" t="str">
        <f t="shared" si="145"/>
        <v>3.5.05</v>
      </c>
      <c r="C611" s="2">
        <v>3</v>
      </c>
      <c r="D611" s="2">
        <v>5</v>
      </c>
      <c r="E611" s="2">
        <v>5</v>
      </c>
      <c r="F611" s="2" t="s">
        <v>84</v>
      </c>
      <c r="G611" s="2" t="s">
        <v>695</v>
      </c>
      <c r="H611" s="2" t="s">
        <v>89</v>
      </c>
      <c r="I611" s="19" t="str">
        <f t="shared" si="149"/>
        <v/>
      </c>
      <c r="J611" s="2" t="str">
        <f t="shared" si="150"/>
        <v/>
      </c>
      <c r="K611" s="2" t="str">
        <f t="shared" si="151"/>
        <v/>
      </c>
      <c r="L611" s="2">
        <f t="shared" si="152"/>
        <v>4</v>
      </c>
      <c r="M611" s="2" t="str">
        <f t="shared" si="153"/>
        <v/>
      </c>
      <c r="N611" s="2" t="str">
        <f t="shared" si="154"/>
        <v/>
      </c>
      <c r="O611" s="19">
        <f t="shared" si="155"/>
        <v>4</v>
      </c>
      <c r="Q611" s="2" t="str">
        <f t="shared" si="156"/>
        <v>05</v>
      </c>
      <c r="R611" s="21" t="str">
        <f t="shared" si="157"/>
        <v>3.5.05</v>
      </c>
      <c r="S611" s="2" t="str">
        <f t="shared" si="158"/>
        <v/>
      </c>
      <c r="T611" s="2" t="str">
        <f t="shared" si="159"/>
        <v/>
      </c>
      <c r="U611" s="19" t="str">
        <f t="shared" si="160"/>
        <v/>
      </c>
    </row>
    <row r="612" spans="1:21" x14ac:dyDescent="0.2">
      <c r="A612" s="2">
        <v>611</v>
      </c>
      <c r="B612" s="21" t="str">
        <f t="shared" si="145"/>
        <v>3.5.05a</v>
      </c>
      <c r="C612" s="2">
        <v>3</v>
      </c>
      <c r="D612" s="2">
        <v>5</v>
      </c>
      <c r="E612" s="2">
        <v>5</v>
      </c>
      <c r="F612" s="2" t="s">
        <v>90</v>
      </c>
      <c r="G612" s="2" t="s">
        <v>696</v>
      </c>
      <c r="H612" s="2">
        <v>4</v>
      </c>
      <c r="I612" s="19" t="str">
        <f t="shared" si="149"/>
        <v/>
      </c>
      <c r="J612" s="2" t="str">
        <f t="shared" si="150"/>
        <v/>
      </c>
      <c r="K612" s="2" t="str">
        <f t="shared" si="151"/>
        <v/>
      </c>
      <c r="L612" s="2" t="str">
        <f t="shared" si="152"/>
        <v/>
      </c>
      <c r="M612" s="2" t="str">
        <f t="shared" si="153"/>
        <v/>
      </c>
      <c r="N612" s="2">
        <f t="shared" si="154"/>
        <v>6</v>
      </c>
      <c r="O612" s="19">
        <f t="shared" si="155"/>
        <v>6</v>
      </c>
      <c r="Q612" s="2" t="str">
        <f t="shared" si="156"/>
        <v>05</v>
      </c>
      <c r="R612" s="21" t="str">
        <f t="shared" si="157"/>
        <v>3.5.05a</v>
      </c>
      <c r="S612" s="2" t="str">
        <f t="shared" si="158"/>
        <v/>
      </c>
      <c r="T612" s="2" t="str">
        <f t="shared" si="159"/>
        <v/>
      </c>
      <c r="U612" s="19" t="str">
        <f t="shared" si="160"/>
        <v/>
      </c>
    </row>
    <row r="613" spans="1:21" x14ac:dyDescent="0.2">
      <c r="A613" s="2">
        <v>612</v>
      </c>
      <c r="B613" s="21" t="str">
        <f t="shared" si="145"/>
        <v>3.5.05b</v>
      </c>
      <c r="C613" s="2">
        <v>3</v>
      </c>
      <c r="D613" s="2">
        <v>5</v>
      </c>
      <c r="E613" s="2">
        <v>5</v>
      </c>
      <c r="F613" s="2" t="s">
        <v>92</v>
      </c>
      <c r="G613" s="2" t="s">
        <v>697</v>
      </c>
      <c r="H613" s="2">
        <v>4</v>
      </c>
      <c r="I613" s="19" t="str">
        <f t="shared" si="149"/>
        <v/>
      </c>
      <c r="J613" s="2" t="str">
        <f t="shared" si="150"/>
        <v/>
      </c>
      <c r="K613" s="2" t="str">
        <f t="shared" si="151"/>
        <v/>
      </c>
      <c r="L613" s="2" t="str">
        <f t="shared" si="152"/>
        <v/>
      </c>
      <c r="M613" s="2" t="str">
        <f t="shared" si="153"/>
        <v/>
      </c>
      <c r="N613" s="2">
        <f t="shared" si="154"/>
        <v>6</v>
      </c>
      <c r="O613" s="19">
        <f t="shared" si="155"/>
        <v>6</v>
      </c>
      <c r="Q613" s="2" t="str">
        <f t="shared" si="156"/>
        <v>05</v>
      </c>
      <c r="R613" s="21" t="str">
        <f t="shared" si="157"/>
        <v>3.5.05b</v>
      </c>
      <c r="S613" s="2" t="str">
        <f t="shared" si="158"/>
        <v/>
      </c>
      <c r="T613" s="2" t="str">
        <f t="shared" si="159"/>
        <v/>
      </c>
      <c r="U613" s="19" t="str">
        <f t="shared" si="160"/>
        <v/>
      </c>
    </row>
    <row r="614" spans="1:21" x14ac:dyDescent="0.2">
      <c r="A614" s="2">
        <v>613</v>
      </c>
      <c r="B614" s="21" t="str">
        <f t="shared" si="145"/>
        <v>3.5.05c</v>
      </c>
      <c r="C614" s="2">
        <v>3</v>
      </c>
      <c r="D614" s="2">
        <v>5</v>
      </c>
      <c r="E614" s="2">
        <v>5</v>
      </c>
      <c r="F614" s="2" t="s">
        <v>94</v>
      </c>
      <c r="G614" s="2" t="s">
        <v>698</v>
      </c>
      <c r="H614" s="2">
        <v>3</v>
      </c>
      <c r="I614" s="19" t="str">
        <f t="shared" si="149"/>
        <v/>
      </c>
      <c r="J614" s="2" t="str">
        <f t="shared" si="150"/>
        <v/>
      </c>
      <c r="K614" s="2" t="str">
        <f t="shared" si="151"/>
        <v/>
      </c>
      <c r="L614" s="2" t="str">
        <f t="shared" si="152"/>
        <v/>
      </c>
      <c r="M614" s="2" t="str">
        <f t="shared" si="153"/>
        <v/>
      </c>
      <c r="N614" s="2">
        <f t="shared" si="154"/>
        <v>6</v>
      </c>
      <c r="O614" s="19">
        <f t="shared" si="155"/>
        <v>6</v>
      </c>
      <c r="Q614" s="2" t="str">
        <f t="shared" si="156"/>
        <v>05</v>
      </c>
      <c r="R614" s="21" t="str">
        <f t="shared" si="157"/>
        <v>3.5.05c</v>
      </c>
      <c r="S614" s="2" t="str">
        <f t="shared" si="158"/>
        <v/>
      </c>
      <c r="T614" s="2" t="str">
        <f t="shared" si="159"/>
        <v/>
      </c>
      <c r="U614" s="19" t="str">
        <f t="shared" si="160"/>
        <v/>
      </c>
    </row>
    <row r="615" spans="1:21" x14ac:dyDescent="0.2">
      <c r="A615" s="2">
        <v>614</v>
      </c>
      <c r="B615" s="21" t="str">
        <f t="shared" si="145"/>
        <v>3.5.05d</v>
      </c>
      <c r="C615" s="2">
        <v>3</v>
      </c>
      <c r="D615" s="2">
        <v>5</v>
      </c>
      <c r="E615" s="2">
        <v>5</v>
      </c>
      <c r="F615" s="2" t="s">
        <v>112</v>
      </c>
      <c r="G615" s="2" t="s">
        <v>699</v>
      </c>
      <c r="H615" s="2">
        <v>5</v>
      </c>
      <c r="I615" s="19" t="str">
        <f t="shared" si="149"/>
        <v/>
      </c>
      <c r="J615" s="2" t="str">
        <f t="shared" si="150"/>
        <v/>
      </c>
      <c r="K615" s="2" t="str">
        <f t="shared" si="151"/>
        <v/>
      </c>
      <c r="L615" s="2" t="str">
        <f t="shared" si="152"/>
        <v/>
      </c>
      <c r="M615" s="2" t="str">
        <f t="shared" si="153"/>
        <v/>
      </c>
      <c r="N615" s="2">
        <f t="shared" si="154"/>
        <v>6</v>
      </c>
      <c r="O615" s="19">
        <f t="shared" si="155"/>
        <v>6</v>
      </c>
      <c r="Q615" s="2" t="str">
        <f t="shared" si="156"/>
        <v>05</v>
      </c>
      <c r="R615" s="21" t="str">
        <f t="shared" si="157"/>
        <v>3.5.05d</v>
      </c>
      <c r="S615" s="2" t="str">
        <f t="shared" si="158"/>
        <v/>
      </c>
      <c r="T615" s="2" t="str">
        <f t="shared" si="159"/>
        <v/>
      </c>
      <c r="U615" s="19" t="str">
        <f t="shared" si="160"/>
        <v/>
      </c>
    </row>
    <row r="616" spans="1:21" x14ac:dyDescent="0.2">
      <c r="A616" s="2">
        <v>615</v>
      </c>
      <c r="B616" s="21" t="str">
        <f t="shared" si="145"/>
        <v>3.5.05e</v>
      </c>
      <c r="C616" s="2">
        <v>3</v>
      </c>
      <c r="D616" s="2">
        <v>5</v>
      </c>
      <c r="E616" s="2">
        <v>5</v>
      </c>
      <c r="F616" s="2" t="s">
        <v>114</v>
      </c>
      <c r="G616" s="2" t="s">
        <v>700</v>
      </c>
      <c r="H616" s="2">
        <v>5</v>
      </c>
      <c r="I616" s="19" t="str">
        <f t="shared" si="149"/>
        <v/>
      </c>
      <c r="J616" s="2" t="str">
        <f t="shared" si="150"/>
        <v/>
      </c>
      <c r="K616" s="2" t="str">
        <f t="shared" si="151"/>
        <v/>
      </c>
      <c r="L616" s="2" t="str">
        <f t="shared" si="152"/>
        <v/>
      </c>
      <c r="M616" s="2" t="str">
        <f t="shared" si="153"/>
        <v/>
      </c>
      <c r="N616" s="2">
        <f t="shared" si="154"/>
        <v>6</v>
      </c>
      <c r="O616" s="19">
        <f t="shared" si="155"/>
        <v>6</v>
      </c>
      <c r="Q616" s="2" t="str">
        <f t="shared" si="156"/>
        <v>05</v>
      </c>
      <c r="R616" s="21" t="str">
        <f t="shared" si="157"/>
        <v>3.5.05e</v>
      </c>
      <c r="S616" s="2" t="str">
        <f t="shared" si="158"/>
        <v/>
      </c>
      <c r="T616" s="2" t="str">
        <f t="shared" si="159"/>
        <v/>
      </c>
      <c r="U616" s="19" t="str">
        <f t="shared" si="160"/>
        <v/>
      </c>
    </row>
    <row r="617" spans="1:21" x14ac:dyDescent="0.2">
      <c r="A617" s="2">
        <v>616</v>
      </c>
      <c r="B617" s="21" t="str">
        <f t="shared" si="145"/>
        <v>3.5.06</v>
      </c>
      <c r="C617" s="2">
        <v>3</v>
      </c>
      <c r="D617" s="2">
        <v>5</v>
      </c>
      <c r="E617" s="2">
        <v>6</v>
      </c>
      <c r="F617" s="2" t="s">
        <v>84</v>
      </c>
      <c r="G617" s="2" t="s">
        <v>701</v>
      </c>
      <c r="H617" s="2" t="s">
        <v>89</v>
      </c>
      <c r="I617" s="19" t="str">
        <f t="shared" si="149"/>
        <v/>
      </c>
      <c r="J617" s="2" t="str">
        <f t="shared" si="150"/>
        <v/>
      </c>
      <c r="K617" s="2" t="str">
        <f t="shared" si="151"/>
        <v/>
      </c>
      <c r="L617" s="2">
        <f t="shared" si="152"/>
        <v>4</v>
      </c>
      <c r="M617" s="2" t="str">
        <f t="shared" si="153"/>
        <v/>
      </c>
      <c r="N617" s="2" t="str">
        <f t="shared" si="154"/>
        <v/>
      </c>
      <c r="O617" s="19">
        <f t="shared" si="155"/>
        <v>4</v>
      </c>
      <c r="Q617" s="2" t="str">
        <f t="shared" si="156"/>
        <v>06</v>
      </c>
      <c r="R617" s="21" t="str">
        <f t="shared" si="157"/>
        <v>3.5.06</v>
      </c>
      <c r="S617" s="2" t="str">
        <f t="shared" si="158"/>
        <v/>
      </c>
      <c r="T617" s="2" t="str">
        <f t="shared" si="159"/>
        <v/>
      </c>
      <c r="U617" s="19" t="str">
        <f t="shared" si="160"/>
        <v/>
      </c>
    </row>
    <row r="618" spans="1:21" x14ac:dyDescent="0.2">
      <c r="A618" s="2">
        <v>617</v>
      </c>
      <c r="B618" s="21" t="str">
        <f t="shared" si="145"/>
        <v>3.5.06a</v>
      </c>
      <c r="C618" s="2">
        <v>3</v>
      </c>
      <c r="D618" s="2">
        <v>5</v>
      </c>
      <c r="E618" s="2">
        <v>6</v>
      </c>
      <c r="F618" s="2" t="s">
        <v>90</v>
      </c>
      <c r="G618" s="2" t="s">
        <v>702</v>
      </c>
      <c r="H618" s="2">
        <v>3</v>
      </c>
      <c r="I618" s="19" t="str">
        <f t="shared" si="149"/>
        <v/>
      </c>
      <c r="J618" s="2" t="str">
        <f t="shared" si="150"/>
        <v/>
      </c>
      <c r="K618" s="2" t="str">
        <f t="shared" si="151"/>
        <v/>
      </c>
      <c r="L618" s="2" t="str">
        <f t="shared" si="152"/>
        <v/>
      </c>
      <c r="M618" s="2" t="str">
        <f t="shared" si="153"/>
        <v/>
      </c>
      <c r="N618" s="2">
        <f t="shared" si="154"/>
        <v>6</v>
      </c>
      <c r="O618" s="19">
        <f t="shared" si="155"/>
        <v>6</v>
      </c>
      <c r="Q618" s="2" t="str">
        <f t="shared" si="156"/>
        <v>06</v>
      </c>
      <c r="R618" s="21" t="str">
        <f t="shared" si="157"/>
        <v>3.5.06a</v>
      </c>
      <c r="S618" s="2" t="str">
        <f t="shared" si="158"/>
        <v/>
      </c>
      <c r="T618" s="2" t="str">
        <f t="shared" si="159"/>
        <v/>
      </c>
      <c r="U618" s="19" t="str">
        <f t="shared" si="160"/>
        <v/>
      </c>
    </row>
    <row r="619" spans="1:21" x14ac:dyDescent="0.2">
      <c r="A619" s="2">
        <v>618</v>
      </c>
      <c r="B619" s="21" t="str">
        <f t="shared" si="145"/>
        <v>3.5.06b</v>
      </c>
      <c r="C619" s="2">
        <v>3</v>
      </c>
      <c r="D619" s="2">
        <v>5</v>
      </c>
      <c r="E619" s="2">
        <v>6</v>
      </c>
      <c r="F619" s="2" t="s">
        <v>92</v>
      </c>
      <c r="G619" s="2" t="s">
        <v>703</v>
      </c>
      <c r="H619" s="2">
        <v>3</v>
      </c>
      <c r="I619" s="19" t="str">
        <f t="shared" si="149"/>
        <v/>
      </c>
      <c r="J619" s="2" t="str">
        <f t="shared" si="150"/>
        <v/>
      </c>
      <c r="K619" s="2" t="str">
        <f t="shared" si="151"/>
        <v/>
      </c>
      <c r="L619" s="2" t="str">
        <f t="shared" si="152"/>
        <v/>
      </c>
      <c r="M619" s="2" t="str">
        <f t="shared" si="153"/>
        <v/>
      </c>
      <c r="N619" s="2">
        <f t="shared" si="154"/>
        <v>6</v>
      </c>
      <c r="O619" s="19">
        <f t="shared" si="155"/>
        <v>6</v>
      </c>
      <c r="Q619" s="2" t="str">
        <f t="shared" si="156"/>
        <v>06</v>
      </c>
      <c r="R619" s="21" t="str">
        <f t="shared" si="157"/>
        <v>3.5.06b</v>
      </c>
      <c r="S619" s="2" t="str">
        <f t="shared" si="158"/>
        <v/>
      </c>
      <c r="T619" s="2" t="str">
        <f t="shared" si="159"/>
        <v/>
      </c>
      <c r="U619" s="19" t="str">
        <f t="shared" si="160"/>
        <v/>
      </c>
    </row>
    <row r="620" spans="1:21" x14ac:dyDescent="0.2">
      <c r="A620" s="2">
        <v>619</v>
      </c>
      <c r="B620" s="21" t="str">
        <f t="shared" si="145"/>
        <v>3.5.07</v>
      </c>
      <c r="C620" s="2">
        <v>3</v>
      </c>
      <c r="D620" s="2">
        <v>5</v>
      </c>
      <c r="E620" s="2">
        <v>7</v>
      </c>
      <c r="F620" s="2" t="s">
        <v>84</v>
      </c>
      <c r="G620" s="2" t="s">
        <v>704</v>
      </c>
      <c r="H620" s="2">
        <v>5</v>
      </c>
      <c r="I620" s="19" t="str">
        <f t="shared" si="149"/>
        <v/>
      </c>
      <c r="J620" s="2" t="str">
        <f t="shared" si="150"/>
        <v/>
      </c>
      <c r="K620" s="2" t="str">
        <f t="shared" si="151"/>
        <v/>
      </c>
      <c r="L620" s="2" t="str">
        <f t="shared" si="152"/>
        <v/>
      </c>
      <c r="M620" s="2">
        <f t="shared" si="153"/>
        <v>5</v>
      </c>
      <c r="N620" s="2" t="str">
        <f t="shared" si="154"/>
        <v/>
      </c>
      <c r="O620" s="19">
        <f t="shared" si="155"/>
        <v>5</v>
      </c>
      <c r="Q620" s="2" t="str">
        <f t="shared" si="156"/>
        <v>07</v>
      </c>
      <c r="R620" s="21" t="str">
        <f t="shared" si="157"/>
        <v>3.5.07</v>
      </c>
      <c r="S620" s="2" t="str">
        <f t="shared" si="158"/>
        <v/>
      </c>
      <c r="T620" s="2" t="str">
        <f t="shared" si="159"/>
        <v/>
      </c>
      <c r="U620" s="19" t="str">
        <f t="shared" si="160"/>
        <v/>
      </c>
    </row>
    <row r="621" spans="1:21" x14ac:dyDescent="0.2">
      <c r="A621" s="2">
        <v>620</v>
      </c>
      <c r="B621" s="21" t="str">
        <f t="shared" si="145"/>
        <v>3.6</v>
      </c>
      <c r="C621" s="2">
        <v>3</v>
      </c>
      <c r="D621" s="2">
        <v>6</v>
      </c>
      <c r="E621" s="2" t="s">
        <v>84</v>
      </c>
      <c r="F621" s="2" t="s">
        <v>84</v>
      </c>
      <c r="G621" s="2" t="s">
        <v>705</v>
      </c>
      <c r="H621" s="2" t="s">
        <v>84</v>
      </c>
      <c r="I621" s="19" t="str">
        <f t="shared" si="149"/>
        <v/>
      </c>
      <c r="J621" s="2">
        <f t="shared" si="150"/>
        <v>2</v>
      </c>
      <c r="K621" s="2" t="str">
        <f t="shared" si="151"/>
        <v/>
      </c>
      <c r="L621" s="2" t="str">
        <f t="shared" si="152"/>
        <v/>
      </c>
      <c r="M621" s="2" t="str">
        <f t="shared" si="153"/>
        <v/>
      </c>
      <c r="N621" s="2" t="str">
        <f t="shared" si="154"/>
        <v/>
      </c>
      <c r="O621" s="19">
        <f t="shared" si="155"/>
        <v>2</v>
      </c>
      <c r="Q621" s="2" t="str">
        <f t="shared" si="156"/>
        <v/>
      </c>
      <c r="R621" s="21" t="str">
        <f t="shared" si="157"/>
        <v>3.6</v>
      </c>
      <c r="S621" s="2" t="str">
        <f t="shared" si="158"/>
        <v/>
      </c>
      <c r="T621" s="2" t="str">
        <f t="shared" si="159"/>
        <v/>
      </c>
      <c r="U621" s="19" t="str">
        <f t="shared" si="160"/>
        <v/>
      </c>
    </row>
    <row r="622" spans="1:21" x14ac:dyDescent="0.2">
      <c r="A622" s="2">
        <v>621</v>
      </c>
      <c r="B622" s="21" t="str">
        <f t="shared" si="145"/>
        <v>3.6.01</v>
      </c>
      <c r="C622" s="2">
        <v>3</v>
      </c>
      <c r="D622" s="2">
        <v>6</v>
      </c>
      <c r="E622" s="2">
        <v>1</v>
      </c>
      <c r="F622" s="2" t="s">
        <v>84</v>
      </c>
      <c r="G622" s="2" t="s">
        <v>706</v>
      </c>
      <c r="H622" s="2">
        <v>3</v>
      </c>
      <c r="I622" s="19" t="str">
        <f t="shared" si="149"/>
        <v/>
      </c>
      <c r="J622" s="2" t="str">
        <f t="shared" si="150"/>
        <v/>
      </c>
      <c r="K622" s="2" t="str">
        <f t="shared" si="151"/>
        <v/>
      </c>
      <c r="L622" s="2" t="str">
        <f t="shared" si="152"/>
        <v/>
      </c>
      <c r="M622" s="2">
        <f t="shared" si="153"/>
        <v>5</v>
      </c>
      <c r="N622" s="2" t="str">
        <f t="shared" si="154"/>
        <v/>
      </c>
      <c r="O622" s="19">
        <f t="shared" si="155"/>
        <v>5</v>
      </c>
      <c r="Q622" s="2" t="str">
        <f t="shared" si="156"/>
        <v>01</v>
      </c>
      <c r="R622" s="21" t="str">
        <f t="shared" si="157"/>
        <v>3.6.01</v>
      </c>
      <c r="S622" s="2" t="str">
        <f t="shared" si="158"/>
        <v/>
      </c>
      <c r="T622" s="2" t="str">
        <f t="shared" si="159"/>
        <v/>
      </c>
      <c r="U622" s="19" t="str">
        <f t="shared" si="160"/>
        <v/>
      </c>
    </row>
    <row r="623" spans="1:21" x14ac:dyDescent="0.2">
      <c r="A623" s="2">
        <v>622</v>
      </c>
      <c r="B623" s="21" t="str">
        <f t="shared" si="145"/>
        <v>3.6.02</v>
      </c>
      <c r="C623" s="2">
        <v>3</v>
      </c>
      <c r="D623" s="2">
        <v>6</v>
      </c>
      <c r="E623" s="2">
        <v>2</v>
      </c>
      <c r="F623" s="2" t="s">
        <v>84</v>
      </c>
      <c r="G623" s="2" t="s">
        <v>707</v>
      </c>
      <c r="H623" s="2">
        <v>4</v>
      </c>
      <c r="I623" s="19" t="str">
        <f t="shared" si="149"/>
        <v/>
      </c>
      <c r="J623" s="2" t="str">
        <f t="shared" si="150"/>
        <v/>
      </c>
      <c r="K623" s="2" t="str">
        <f t="shared" si="151"/>
        <v/>
      </c>
      <c r="L623" s="2" t="str">
        <f t="shared" si="152"/>
        <v/>
      </c>
      <c r="M623" s="2">
        <f t="shared" si="153"/>
        <v>5</v>
      </c>
      <c r="N623" s="2" t="str">
        <f t="shared" si="154"/>
        <v/>
      </c>
      <c r="O623" s="19">
        <f t="shared" si="155"/>
        <v>5</v>
      </c>
      <c r="Q623" s="2" t="str">
        <f t="shared" si="156"/>
        <v>02</v>
      </c>
      <c r="R623" s="21" t="str">
        <f t="shared" si="157"/>
        <v>3.6.02</v>
      </c>
      <c r="S623" s="2" t="str">
        <f t="shared" si="158"/>
        <v/>
      </c>
      <c r="T623" s="2" t="str">
        <f t="shared" si="159"/>
        <v/>
      </c>
      <c r="U623" s="19" t="str">
        <f t="shared" si="160"/>
        <v/>
      </c>
    </row>
    <row r="624" spans="1:21" x14ac:dyDescent="0.2">
      <c r="A624" s="2">
        <v>623</v>
      </c>
      <c r="B624" s="21" t="str">
        <f t="shared" si="145"/>
        <v>3.6.03</v>
      </c>
      <c r="C624" s="2">
        <v>3</v>
      </c>
      <c r="D624" s="2">
        <v>6</v>
      </c>
      <c r="E624" s="2">
        <v>3</v>
      </c>
      <c r="F624" s="2" t="s">
        <v>84</v>
      </c>
      <c r="G624" s="2" t="s">
        <v>708</v>
      </c>
      <c r="H624" s="2" t="s">
        <v>89</v>
      </c>
      <c r="I624" s="19" t="str">
        <f t="shared" si="149"/>
        <v/>
      </c>
      <c r="J624" s="2" t="str">
        <f t="shared" si="150"/>
        <v/>
      </c>
      <c r="K624" s="2" t="str">
        <f t="shared" si="151"/>
        <v/>
      </c>
      <c r="L624" s="2">
        <f t="shared" si="152"/>
        <v>4</v>
      </c>
      <c r="M624" s="2" t="str">
        <f t="shared" si="153"/>
        <v/>
      </c>
      <c r="N624" s="2" t="str">
        <f t="shared" si="154"/>
        <v/>
      </c>
      <c r="O624" s="19">
        <f t="shared" si="155"/>
        <v>4</v>
      </c>
      <c r="Q624" s="2" t="str">
        <f t="shared" si="156"/>
        <v>03</v>
      </c>
      <c r="R624" s="21" t="str">
        <f t="shared" si="157"/>
        <v>3.6.03</v>
      </c>
      <c r="S624" s="2" t="str">
        <f t="shared" si="158"/>
        <v/>
      </c>
      <c r="T624" s="2" t="str">
        <f t="shared" si="159"/>
        <v/>
      </c>
      <c r="U624" s="19" t="str">
        <f t="shared" si="160"/>
        <v/>
      </c>
    </row>
    <row r="625" spans="1:21" x14ac:dyDescent="0.2">
      <c r="A625" s="2">
        <v>624</v>
      </c>
      <c r="B625" s="21" t="str">
        <f t="shared" si="145"/>
        <v>3.6.03a</v>
      </c>
      <c r="C625" s="2">
        <v>3</v>
      </c>
      <c r="D625" s="2">
        <v>6</v>
      </c>
      <c r="E625" s="2">
        <v>3</v>
      </c>
      <c r="F625" s="2" t="s">
        <v>90</v>
      </c>
      <c r="G625" s="2" t="s">
        <v>709</v>
      </c>
      <c r="H625" s="2">
        <v>4</v>
      </c>
      <c r="I625" s="19" t="str">
        <f t="shared" si="149"/>
        <v/>
      </c>
      <c r="J625" s="2" t="str">
        <f t="shared" si="150"/>
        <v/>
      </c>
      <c r="K625" s="2" t="str">
        <f t="shared" si="151"/>
        <v/>
      </c>
      <c r="L625" s="2" t="str">
        <f t="shared" si="152"/>
        <v/>
      </c>
      <c r="M625" s="2" t="str">
        <f t="shared" si="153"/>
        <v/>
      </c>
      <c r="N625" s="2">
        <f t="shared" si="154"/>
        <v>6</v>
      </c>
      <c r="O625" s="19">
        <f t="shared" si="155"/>
        <v>6</v>
      </c>
      <c r="Q625" s="2" t="str">
        <f t="shared" si="156"/>
        <v>03</v>
      </c>
      <c r="R625" s="21" t="str">
        <f t="shared" si="157"/>
        <v>3.6.03a</v>
      </c>
      <c r="S625" s="2" t="str">
        <f t="shared" si="158"/>
        <v/>
      </c>
      <c r="T625" s="2" t="str">
        <f t="shared" si="159"/>
        <v/>
      </c>
      <c r="U625" s="19" t="str">
        <f t="shared" si="160"/>
        <v/>
      </c>
    </row>
    <row r="626" spans="1:21" x14ac:dyDescent="0.2">
      <c r="A626" s="2">
        <v>625</v>
      </c>
      <c r="B626" s="21" t="str">
        <f t="shared" si="145"/>
        <v>3.6.03b</v>
      </c>
      <c r="C626" s="2">
        <v>3</v>
      </c>
      <c r="D626" s="2">
        <v>6</v>
      </c>
      <c r="E626" s="2">
        <v>3</v>
      </c>
      <c r="F626" s="2" t="s">
        <v>92</v>
      </c>
      <c r="G626" s="2" t="s">
        <v>710</v>
      </c>
      <c r="H626" s="2">
        <v>4</v>
      </c>
      <c r="I626" s="19" t="str">
        <f t="shared" si="149"/>
        <v/>
      </c>
      <c r="J626" s="2" t="str">
        <f t="shared" si="150"/>
        <v/>
      </c>
      <c r="K626" s="2" t="str">
        <f t="shared" si="151"/>
        <v/>
      </c>
      <c r="L626" s="2" t="str">
        <f t="shared" si="152"/>
        <v/>
      </c>
      <c r="M626" s="2" t="str">
        <f t="shared" si="153"/>
        <v/>
      </c>
      <c r="N626" s="2">
        <f t="shared" si="154"/>
        <v>6</v>
      </c>
      <c r="O626" s="19">
        <f t="shared" si="155"/>
        <v>6</v>
      </c>
      <c r="Q626" s="2" t="str">
        <f t="shared" si="156"/>
        <v>03</v>
      </c>
      <c r="R626" s="21" t="str">
        <f t="shared" si="157"/>
        <v>3.6.03b</v>
      </c>
      <c r="S626" s="2" t="str">
        <f t="shared" si="158"/>
        <v/>
      </c>
      <c r="T626" s="2" t="str">
        <f t="shared" si="159"/>
        <v/>
      </c>
      <c r="U626" s="19" t="str">
        <f t="shared" si="160"/>
        <v/>
      </c>
    </row>
    <row r="627" spans="1:21" x14ac:dyDescent="0.2">
      <c r="A627" s="2">
        <v>626</v>
      </c>
      <c r="B627" s="21" t="str">
        <f t="shared" si="145"/>
        <v>3.6.03c</v>
      </c>
      <c r="C627" s="2">
        <v>3</v>
      </c>
      <c r="D627" s="2">
        <v>6</v>
      </c>
      <c r="E627" s="2">
        <v>3</v>
      </c>
      <c r="F627" s="2" t="s">
        <v>94</v>
      </c>
      <c r="G627" s="2" t="s">
        <v>711</v>
      </c>
      <c r="H627" s="2">
        <v>3</v>
      </c>
      <c r="I627" s="19" t="str">
        <f t="shared" si="149"/>
        <v/>
      </c>
      <c r="J627" s="2" t="str">
        <f t="shared" si="150"/>
        <v/>
      </c>
      <c r="K627" s="2" t="str">
        <f t="shared" si="151"/>
        <v/>
      </c>
      <c r="L627" s="2" t="str">
        <f t="shared" si="152"/>
        <v/>
      </c>
      <c r="M627" s="2" t="str">
        <f t="shared" si="153"/>
        <v/>
      </c>
      <c r="N627" s="2">
        <f t="shared" si="154"/>
        <v>6</v>
      </c>
      <c r="O627" s="19">
        <f t="shared" si="155"/>
        <v>6</v>
      </c>
      <c r="Q627" s="2" t="str">
        <f t="shared" si="156"/>
        <v>03</v>
      </c>
      <c r="R627" s="21" t="str">
        <f t="shared" si="157"/>
        <v>3.6.03c</v>
      </c>
      <c r="S627" s="2" t="str">
        <f t="shared" si="158"/>
        <v/>
      </c>
      <c r="T627" s="2" t="str">
        <f t="shared" si="159"/>
        <v/>
      </c>
      <c r="U627" s="19" t="str">
        <f t="shared" si="160"/>
        <v/>
      </c>
    </row>
    <row r="628" spans="1:21" x14ac:dyDescent="0.2">
      <c r="A628" s="2">
        <v>627</v>
      </c>
      <c r="B628" s="21" t="str">
        <f t="shared" si="145"/>
        <v>3.6.03d</v>
      </c>
      <c r="C628" s="2">
        <v>3</v>
      </c>
      <c r="D628" s="2">
        <v>6</v>
      </c>
      <c r="E628" s="2">
        <v>3</v>
      </c>
      <c r="F628" s="2" t="s">
        <v>112</v>
      </c>
      <c r="G628" s="2" t="s">
        <v>712</v>
      </c>
      <c r="H628" s="2">
        <v>3</v>
      </c>
      <c r="I628" s="19" t="str">
        <f t="shared" si="149"/>
        <v/>
      </c>
      <c r="J628" s="2" t="str">
        <f t="shared" si="150"/>
        <v/>
      </c>
      <c r="K628" s="2" t="str">
        <f t="shared" si="151"/>
        <v/>
      </c>
      <c r="L628" s="2" t="str">
        <f t="shared" si="152"/>
        <v/>
      </c>
      <c r="M628" s="2" t="str">
        <f t="shared" si="153"/>
        <v/>
      </c>
      <c r="N628" s="2">
        <f t="shared" si="154"/>
        <v>6</v>
      </c>
      <c r="O628" s="19">
        <f t="shared" si="155"/>
        <v>6</v>
      </c>
      <c r="Q628" s="2" t="str">
        <f t="shared" si="156"/>
        <v>03</v>
      </c>
      <c r="R628" s="21" t="str">
        <f t="shared" si="157"/>
        <v>3.6.03d</v>
      </c>
      <c r="S628" s="2" t="str">
        <f t="shared" si="158"/>
        <v/>
      </c>
      <c r="T628" s="2" t="str">
        <f t="shared" si="159"/>
        <v/>
      </c>
      <c r="U628" s="19" t="str">
        <f t="shared" si="160"/>
        <v/>
      </c>
    </row>
    <row r="629" spans="1:21" x14ac:dyDescent="0.2">
      <c r="A629" s="2">
        <v>628</v>
      </c>
      <c r="B629" s="21" t="str">
        <f t="shared" si="145"/>
        <v>3.6.03e</v>
      </c>
      <c r="C629" s="2">
        <v>3</v>
      </c>
      <c r="D629" s="2">
        <v>6</v>
      </c>
      <c r="E629" s="2">
        <v>3</v>
      </c>
      <c r="F629" s="2" t="s">
        <v>114</v>
      </c>
      <c r="G629" s="2" t="s">
        <v>713</v>
      </c>
      <c r="H629" s="2">
        <v>3</v>
      </c>
      <c r="I629" s="19" t="str">
        <f t="shared" si="149"/>
        <v/>
      </c>
      <c r="J629" s="2" t="str">
        <f t="shared" si="150"/>
        <v/>
      </c>
      <c r="K629" s="2" t="str">
        <f t="shared" si="151"/>
        <v/>
      </c>
      <c r="L629" s="2" t="str">
        <f t="shared" si="152"/>
        <v/>
      </c>
      <c r="M629" s="2" t="str">
        <f t="shared" si="153"/>
        <v/>
      </c>
      <c r="N629" s="2">
        <f t="shared" si="154"/>
        <v>6</v>
      </c>
      <c r="O629" s="19">
        <f t="shared" si="155"/>
        <v>6</v>
      </c>
      <c r="Q629" s="2" t="str">
        <f t="shared" si="156"/>
        <v>03</v>
      </c>
      <c r="R629" s="21" t="str">
        <f t="shared" si="157"/>
        <v>3.6.03e</v>
      </c>
      <c r="S629" s="2" t="str">
        <f t="shared" si="158"/>
        <v/>
      </c>
      <c r="T629" s="2" t="str">
        <f t="shared" si="159"/>
        <v/>
      </c>
      <c r="U629" s="19" t="str">
        <f t="shared" si="160"/>
        <v/>
      </c>
    </row>
    <row r="630" spans="1:21" x14ac:dyDescent="0.2">
      <c r="A630" s="2">
        <v>629</v>
      </c>
      <c r="B630" s="21" t="str">
        <f t="shared" si="145"/>
        <v>3.6.04</v>
      </c>
      <c r="C630" s="2">
        <v>3</v>
      </c>
      <c r="D630" s="2">
        <v>6</v>
      </c>
      <c r="E630" s="2">
        <v>4</v>
      </c>
      <c r="F630" s="2" t="s">
        <v>84</v>
      </c>
      <c r="G630" s="2" t="s">
        <v>714</v>
      </c>
      <c r="H630" s="2" t="s">
        <v>89</v>
      </c>
      <c r="I630" s="19" t="str">
        <f t="shared" si="149"/>
        <v/>
      </c>
      <c r="J630" s="2" t="str">
        <f t="shared" si="150"/>
        <v/>
      </c>
      <c r="K630" s="2" t="str">
        <f t="shared" si="151"/>
        <v/>
      </c>
      <c r="L630" s="2">
        <f t="shared" si="152"/>
        <v>4</v>
      </c>
      <c r="M630" s="2" t="str">
        <f t="shared" si="153"/>
        <v/>
      </c>
      <c r="N630" s="2" t="str">
        <f t="shared" si="154"/>
        <v/>
      </c>
      <c r="O630" s="19">
        <f t="shared" si="155"/>
        <v>4</v>
      </c>
      <c r="Q630" s="2" t="str">
        <f t="shared" si="156"/>
        <v>04</v>
      </c>
      <c r="R630" s="21" t="str">
        <f t="shared" si="157"/>
        <v>3.6.04</v>
      </c>
      <c r="S630" s="2" t="str">
        <f t="shared" si="158"/>
        <v/>
      </c>
      <c r="T630" s="2" t="str">
        <f t="shared" si="159"/>
        <v/>
      </c>
      <c r="U630" s="19" t="str">
        <f t="shared" si="160"/>
        <v/>
      </c>
    </row>
    <row r="631" spans="1:21" x14ac:dyDescent="0.2">
      <c r="A631" s="2">
        <v>630</v>
      </c>
      <c r="B631" s="21" t="str">
        <f t="shared" ref="B631:B646" si="161">R631</f>
        <v>3.6.04a</v>
      </c>
      <c r="C631" s="2">
        <v>3</v>
      </c>
      <c r="D631" s="2">
        <v>6</v>
      </c>
      <c r="E631" s="2">
        <v>4</v>
      </c>
      <c r="F631" s="2" t="s">
        <v>90</v>
      </c>
      <c r="G631" s="2" t="s">
        <v>715</v>
      </c>
      <c r="H631" s="2">
        <v>4</v>
      </c>
      <c r="I631" s="19" t="str">
        <f t="shared" si="149"/>
        <v/>
      </c>
      <c r="J631" s="2" t="str">
        <f t="shared" si="150"/>
        <v/>
      </c>
      <c r="K631" s="2" t="str">
        <f t="shared" si="151"/>
        <v/>
      </c>
      <c r="L631" s="2" t="str">
        <f t="shared" si="152"/>
        <v/>
      </c>
      <c r="M631" s="2" t="str">
        <f t="shared" si="153"/>
        <v/>
      </c>
      <c r="N631" s="2">
        <f t="shared" si="154"/>
        <v>6</v>
      </c>
      <c r="O631" s="19">
        <f t="shared" si="155"/>
        <v>6</v>
      </c>
      <c r="Q631" s="2" t="str">
        <f t="shared" si="156"/>
        <v>04</v>
      </c>
      <c r="R631" s="21" t="str">
        <f t="shared" si="157"/>
        <v>3.6.04a</v>
      </c>
      <c r="S631" s="2" t="str">
        <f t="shared" si="158"/>
        <v/>
      </c>
      <c r="T631" s="2" t="str">
        <f t="shared" si="159"/>
        <v/>
      </c>
      <c r="U631" s="19" t="str">
        <f t="shared" si="160"/>
        <v/>
      </c>
    </row>
    <row r="632" spans="1:21" x14ac:dyDescent="0.2">
      <c r="A632" s="2">
        <v>631</v>
      </c>
      <c r="B632" s="21" t="str">
        <f t="shared" si="161"/>
        <v>3.6.04b</v>
      </c>
      <c r="C632" s="2">
        <v>3</v>
      </c>
      <c r="D632" s="2">
        <v>6</v>
      </c>
      <c r="E632" s="2">
        <v>4</v>
      </c>
      <c r="F632" s="2" t="s">
        <v>92</v>
      </c>
      <c r="G632" s="2" t="s">
        <v>716</v>
      </c>
      <c r="H632" s="2">
        <v>4</v>
      </c>
      <c r="I632" s="19" t="str">
        <f t="shared" si="149"/>
        <v/>
      </c>
      <c r="J632" s="2" t="str">
        <f t="shared" si="150"/>
        <v/>
      </c>
      <c r="K632" s="2" t="str">
        <f t="shared" si="151"/>
        <v/>
      </c>
      <c r="L632" s="2" t="str">
        <f t="shared" si="152"/>
        <v/>
      </c>
      <c r="M632" s="2" t="str">
        <f t="shared" si="153"/>
        <v/>
      </c>
      <c r="N632" s="2">
        <f t="shared" si="154"/>
        <v>6</v>
      </c>
      <c r="O632" s="19">
        <f t="shared" si="155"/>
        <v>6</v>
      </c>
      <c r="Q632" s="2" t="str">
        <f t="shared" si="156"/>
        <v>04</v>
      </c>
      <c r="R632" s="21" t="str">
        <f t="shared" si="157"/>
        <v>3.6.04b</v>
      </c>
      <c r="S632" s="2" t="str">
        <f t="shared" si="158"/>
        <v/>
      </c>
      <c r="T632" s="2" t="str">
        <f t="shared" si="159"/>
        <v/>
      </c>
      <c r="U632" s="19" t="str">
        <f t="shared" si="160"/>
        <v/>
      </c>
    </row>
    <row r="633" spans="1:21" x14ac:dyDescent="0.2">
      <c r="A633" s="2">
        <v>632</v>
      </c>
      <c r="B633" s="21" t="str">
        <f t="shared" si="161"/>
        <v>3.6.05</v>
      </c>
      <c r="C633" s="2">
        <v>3</v>
      </c>
      <c r="D633" s="2">
        <v>6</v>
      </c>
      <c r="E633" s="2">
        <v>5</v>
      </c>
      <c r="F633" s="2" t="s">
        <v>84</v>
      </c>
      <c r="G633" s="2" t="s">
        <v>717</v>
      </c>
      <c r="H633" s="2">
        <v>5</v>
      </c>
      <c r="I633" s="19" t="str">
        <f t="shared" si="149"/>
        <v/>
      </c>
      <c r="J633" s="2" t="str">
        <f t="shared" si="150"/>
        <v/>
      </c>
      <c r="K633" s="2" t="str">
        <f t="shared" si="151"/>
        <v/>
      </c>
      <c r="L633" s="2" t="str">
        <f t="shared" si="152"/>
        <v/>
      </c>
      <c r="M633" s="2">
        <f t="shared" si="153"/>
        <v>5</v>
      </c>
      <c r="N633" s="2" t="str">
        <f t="shared" si="154"/>
        <v/>
      </c>
      <c r="O633" s="19">
        <f t="shared" si="155"/>
        <v>5</v>
      </c>
      <c r="Q633" s="2" t="str">
        <f t="shared" si="156"/>
        <v>05</v>
      </c>
      <c r="R633" s="21" t="str">
        <f t="shared" si="157"/>
        <v>3.6.05</v>
      </c>
      <c r="S633" s="2" t="str">
        <f t="shared" si="158"/>
        <v/>
      </c>
      <c r="T633" s="2" t="str">
        <f t="shared" si="159"/>
        <v/>
      </c>
      <c r="U633" s="19" t="str">
        <f t="shared" si="160"/>
        <v/>
      </c>
    </row>
    <row r="634" spans="1:21" x14ac:dyDescent="0.2">
      <c r="A634" s="2">
        <v>633</v>
      </c>
      <c r="B634" s="21" t="str">
        <f t="shared" si="161"/>
        <v>3.6.05a</v>
      </c>
      <c r="C634" s="2">
        <v>3</v>
      </c>
      <c r="D634" s="2">
        <v>6</v>
      </c>
      <c r="E634" s="2">
        <v>5</v>
      </c>
      <c r="F634" s="2" t="s">
        <v>90</v>
      </c>
      <c r="G634" s="2" t="s">
        <v>718</v>
      </c>
      <c r="H634" s="2">
        <v>3</v>
      </c>
      <c r="I634" s="19" t="str">
        <f t="shared" si="149"/>
        <v/>
      </c>
      <c r="J634" s="2" t="str">
        <f t="shared" si="150"/>
        <v/>
      </c>
      <c r="K634" s="2" t="str">
        <f t="shared" si="151"/>
        <v/>
      </c>
      <c r="L634" s="2" t="str">
        <f t="shared" si="152"/>
        <v/>
      </c>
      <c r="M634" s="2" t="str">
        <f t="shared" si="153"/>
        <v/>
      </c>
      <c r="N634" s="2">
        <f t="shared" si="154"/>
        <v>6</v>
      </c>
      <c r="O634" s="19">
        <f t="shared" si="155"/>
        <v>6</v>
      </c>
      <c r="Q634" s="2" t="str">
        <f t="shared" si="156"/>
        <v>05</v>
      </c>
      <c r="R634" s="21" t="str">
        <f t="shared" si="157"/>
        <v>3.6.05a</v>
      </c>
      <c r="S634" s="2" t="str">
        <f t="shared" si="158"/>
        <v/>
      </c>
      <c r="T634" s="2" t="str">
        <f t="shared" si="159"/>
        <v/>
      </c>
      <c r="U634" s="19" t="str">
        <f t="shared" si="160"/>
        <v/>
      </c>
    </row>
    <row r="635" spans="1:21" x14ac:dyDescent="0.2">
      <c r="A635" s="2">
        <v>634</v>
      </c>
      <c r="B635" s="21" t="str">
        <f t="shared" si="161"/>
        <v>3.6.05b</v>
      </c>
      <c r="C635" s="2">
        <v>3</v>
      </c>
      <c r="D635" s="2">
        <v>6</v>
      </c>
      <c r="E635" s="2">
        <v>5</v>
      </c>
      <c r="F635" s="2" t="s">
        <v>92</v>
      </c>
      <c r="G635" s="2" t="s">
        <v>719</v>
      </c>
      <c r="H635" s="2">
        <v>5</v>
      </c>
      <c r="I635" s="19" t="str">
        <f t="shared" si="149"/>
        <v/>
      </c>
      <c r="J635" s="2" t="str">
        <f t="shared" si="150"/>
        <v/>
      </c>
      <c r="K635" s="2" t="str">
        <f t="shared" si="151"/>
        <v/>
      </c>
      <c r="L635" s="2" t="str">
        <f t="shared" si="152"/>
        <v/>
      </c>
      <c r="M635" s="2" t="str">
        <f t="shared" si="153"/>
        <v/>
      </c>
      <c r="N635" s="2">
        <f t="shared" si="154"/>
        <v>6</v>
      </c>
      <c r="O635" s="19">
        <f t="shared" si="155"/>
        <v>6</v>
      </c>
      <c r="Q635" s="2" t="str">
        <f t="shared" si="156"/>
        <v>05</v>
      </c>
      <c r="R635" s="21" t="str">
        <f t="shared" si="157"/>
        <v>3.6.05b</v>
      </c>
      <c r="S635" s="2" t="str">
        <f t="shared" si="158"/>
        <v/>
      </c>
      <c r="T635" s="2" t="str">
        <f t="shared" si="159"/>
        <v/>
      </c>
      <c r="U635" s="19" t="str">
        <f t="shared" si="160"/>
        <v/>
      </c>
    </row>
    <row r="636" spans="1:21" x14ac:dyDescent="0.2">
      <c r="A636" s="2">
        <v>635</v>
      </c>
      <c r="B636" s="21" t="str">
        <f t="shared" si="161"/>
        <v>3.6.06</v>
      </c>
      <c r="C636" s="2">
        <v>3</v>
      </c>
      <c r="D636" s="2">
        <v>6</v>
      </c>
      <c r="E636" s="2">
        <v>6</v>
      </c>
      <c r="F636" s="2" t="s">
        <v>84</v>
      </c>
      <c r="G636" s="2" t="s">
        <v>720</v>
      </c>
      <c r="H636" s="2">
        <v>5</v>
      </c>
      <c r="I636" s="19" t="str">
        <f t="shared" si="149"/>
        <v/>
      </c>
      <c r="J636" s="2" t="str">
        <f t="shared" si="150"/>
        <v/>
      </c>
      <c r="K636" s="2" t="str">
        <f t="shared" si="151"/>
        <v/>
      </c>
      <c r="L636" s="2" t="str">
        <f t="shared" si="152"/>
        <v/>
      </c>
      <c r="M636" s="2">
        <f t="shared" si="153"/>
        <v>5</v>
      </c>
      <c r="N636" s="2" t="str">
        <f t="shared" si="154"/>
        <v/>
      </c>
      <c r="O636" s="19">
        <f t="shared" si="155"/>
        <v>5</v>
      </c>
      <c r="Q636" s="2" t="str">
        <f t="shared" si="156"/>
        <v>06</v>
      </c>
      <c r="R636" s="21" t="str">
        <f t="shared" si="157"/>
        <v>3.6.06</v>
      </c>
      <c r="S636" s="2" t="str">
        <f t="shared" si="158"/>
        <v/>
      </c>
      <c r="T636" s="2" t="str">
        <f t="shared" si="159"/>
        <v/>
      </c>
      <c r="U636" s="19" t="str">
        <f t="shared" si="160"/>
        <v/>
      </c>
    </row>
    <row r="637" spans="1:21" x14ac:dyDescent="0.2">
      <c r="A637" s="2">
        <v>636</v>
      </c>
      <c r="B637" s="21" t="str">
        <f t="shared" si="161"/>
        <v>3.6.06a</v>
      </c>
      <c r="C637" s="2">
        <v>3</v>
      </c>
      <c r="D637" s="2">
        <v>6</v>
      </c>
      <c r="E637" s="2">
        <v>6</v>
      </c>
      <c r="F637" s="2" t="s">
        <v>90</v>
      </c>
      <c r="G637" s="2" t="s">
        <v>721</v>
      </c>
      <c r="H637" s="2">
        <v>4</v>
      </c>
      <c r="I637" s="19" t="str">
        <f t="shared" si="149"/>
        <v/>
      </c>
      <c r="J637" s="2" t="str">
        <f t="shared" si="150"/>
        <v/>
      </c>
      <c r="K637" s="2" t="str">
        <f t="shared" si="151"/>
        <v/>
      </c>
      <c r="L637" s="2" t="str">
        <f t="shared" si="152"/>
        <v/>
      </c>
      <c r="M637" s="2" t="str">
        <f t="shared" si="153"/>
        <v/>
      </c>
      <c r="N637" s="2">
        <f t="shared" si="154"/>
        <v>6</v>
      </c>
      <c r="O637" s="19">
        <f t="shared" si="155"/>
        <v>6</v>
      </c>
      <c r="Q637" s="2" t="str">
        <f t="shared" si="156"/>
        <v>06</v>
      </c>
      <c r="R637" s="21" t="str">
        <f t="shared" si="157"/>
        <v>3.6.06a</v>
      </c>
      <c r="S637" s="2" t="str">
        <f t="shared" si="158"/>
        <v/>
      </c>
      <c r="T637" s="2" t="str">
        <f t="shared" si="159"/>
        <v/>
      </c>
      <c r="U637" s="19" t="str">
        <f t="shared" si="160"/>
        <v/>
      </c>
    </row>
    <row r="638" spans="1:21" x14ac:dyDescent="0.2">
      <c r="A638" s="2">
        <v>637</v>
      </c>
      <c r="B638" s="21" t="str">
        <f t="shared" si="161"/>
        <v>3.6.06b</v>
      </c>
      <c r="C638" s="2">
        <v>3</v>
      </c>
      <c r="D638" s="2">
        <v>6</v>
      </c>
      <c r="E638" s="2">
        <v>6</v>
      </c>
      <c r="F638" s="2" t="s">
        <v>92</v>
      </c>
      <c r="G638" s="2" t="s">
        <v>722</v>
      </c>
      <c r="H638" s="2">
        <v>4</v>
      </c>
      <c r="I638" s="19" t="str">
        <f t="shared" si="149"/>
        <v/>
      </c>
      <c r="J638" s="2" t="str">
        <f t="shared" si="150"/>
        <v/>
      </c>
      <c r="K638" s="2" t="str">
        <f t="shared" si="151"/>
        <v/>
      </c>
      <c r="L638" s="2" t="str">
        <f t="shared" si="152"/>
        <v/>
      </c>
      <c r="M638" s="2" t="str">
        <f t="shared" si="153"/>
        <v/>
      </c>
      <c r="N638" s="2">
        <f t="shared" si="154"/>
        <v>6</v>
      </c>
      <c r="O638" s="19">
        <f t="shared" si="155"/>
        <v>6</v>
      </c>
      <c r="Q638" s="2" t="str">
        <f t="shared" si="156"/>
        <v>06</v>
      </c>
      <c r="R638" s="21" t="str">
        <f t="shared" si="157"/>
        <v>3.6.06b</v>
      </c>
      <c r="S638" s="2" t="str">
        <f t="shared" si="158"/>
        <v/>
      </c>
      <c r="T638" s="2" t="str">
        <f t="shared" si="159"/>
        <v/>
      </c>
      <c r="U638" s="19" t="str">
        <f t="shared" si="160"/>
        <v/>
      </c>
    </row>
    <row r="639" spans="1:21" x14ac:dyDescent="0.2">
      <c r="A639" s="2">
        <v>638</v>
      </c>
      <c r="B639" s="21" t="str">
        <f t="shared" si="161"/>
        <v>3.6.07</v>
      </c>
      <c r="C639" s="2">
        <v>3</v>
      </c>
      <c r="D639" s="2">
        <v>6</v>
      </c>
      <c r="E639" s="2">
        <v>7</v>
      </c>
      <c r="F639" s="2" t="s">
        <v>84</v>
      </c>
      <c r="G639" s="2" t="s">
        <v>723</v>
      </c>
      <c r="H639" s="2" t="s">
        <v>89</v>
      </c>
      <c r="I639" s="19" t="str">
        <f t="shared" si="149"/>
        <v/>
      </c>
      <c r="J639" s="2" t="str">
        <f t="shared" si="150"/>
        <v/>
      </c>
      <c r="K639" s="2" t="str">
        <f t="shared" si="151"/>
        <v/>
      </c>
      <c r="L639" s="2">
        <f t="shared" si="152"/>
        <v>4</v>
      </c>
      <c r="M639" s="2" t="str">
        <f t="shared" si="153"/>
        <v/>
      </c>
      <c r="N639" s="2" t="str">
        <f t="shared" si="154"/>
        <v/>
      </c>
      <c r="O639" s="19">
        <f t="shared" si="155"/>
        <v>4</v>
      </c>
      <c r="Q639" s="2" t="str">
        <f t="shared" si="156"/>
        <v>07</v>
      </c>
      <c r="R639" s="21" t="str">
        <f t="shared" si="157"/>
        <v>3.6.07</v>
      </c>
      <c r="S639" s="2" t="str">
        <f t="shared" si="158"/>
        <v/>
      </c>
      <c r="T639" s="2" t="str">
        <f t="shared" si="159"/>
        <v/>
      </c>
      <c r="U639" s="19" t="str">
        <f t="shared" si="160"/>
        <v/>
      </c>
    </row>
    <row r="640" spans="1:21" x14ac:dyDescent="0.2">
      <c r="A640" s="2">
        <v>639</v>
      </c>
      <c r="B640" s="21" t="str">
        <f t="shared" si="161"/>
        <v>3.6.07a</v>
      </c>
      <c r="C640" s="2">
        <v>3</v>
      </c>
      <c r="D640" s="2">
        <v>6</v>
      </c>
      <c r="E640" s="2">
        <v>7</v>
      </c>
      <c r="F640" s="2" t="s">
        <v>90</v>
      </c>
      <c r="G640" s="2" t="s">
        <v>724</v>
      </c>
      <c r="H640" s="2">
        <v>4</v>
      </c>
      <c r="I640" s="19" t="str">
        <f t="shared" si="149"/>
        <v/>
      </c>
      <c r="J640" s="2" t="str">
        <f t="shared" si="150"/>
        <v/>
      </c>
      <c r="K640" s="2" t="str">
        <f t="shared" si="151"/>
        <v/>
      </c>
      <c r="L640" s="2" t="str">
        <f t="shared" si="152"/>
        <v/>
      </c>
      <c r="M640" s="2" t="str">
        <f t="shared" si="153"/>
        <v/>
      </c>
      <c r="N640" s="2">
        <f t="shared" si="154"/>
        <v>6</v>
      </c>
      <c r="O640" s="19">
        <f t="shared" si="155"/>
        <v>6</v>
      </c>
      <c r="Q640" s="2" t="str">
        <f t="shared" si="156"/>
        <v>07</v>
      </c>
      <c r="R640" s="21" t="str">
        <f t="shared" si="157"/>
        <v>3.6.07a</v>
      </c>
      <c r="S640" s="2" t="str">
        <f t="shared" si="158"/>
        <v/>
      </c>
      <c r="T640" s="2" t="str">
        <f t="shared" si="159"/>
        <v/>
      </c>
      <c r="U640" s="19" t="str">
        <f t="shared" si="160"/>
        <v/>
      </c>
    </row>
    <row r="641" spans="1:21" x14ac:dyDescent="0.2">
      <c r="A641" s="2">
        <v>640</v>
      </c>
      <c r="B641" s="21" t="str">
        <f t="shared" si="161"/>
        <v>3.6.07b</v>
      </c>
      <c r="C641" s="2">
        <v>3</v>
      </c>
      <c r="D641" s="2">
        <v>6</v>
      </c>
      <c r="E641" s="2">
        <v>7</v>
      </c>
      <c r="F641" s="2" t="s">
        <v>92</v>
      </c>
      <c r="G641" s="2" t="s">
        <v>725</v>
      </c>
      <c r="H641" s="2">
        <v>4</v>
      </c>
      <c r="I641" s="19" t="str">
        <f t="shared" ref="I641:I646" si="162">IF(AND(LEN(C641)=1,LEN(D641)=0),1,"")</f>
        <v/>
      </c>
      <c r="J641" s="2" t="str">
        <f t="shared" ref="J641:J646" si="163">IF(AND(LEN(C641)=1,LEN(D641)=1,LEN(E641)=0,LEN(F641)=0),2,"")</f>
        <v/>
      </c>
      <c r="K641" s="2" t="str">
        <f t="shared" ref="K641:K646" si="164">IF(AND(LEN(C641)=0,LEN(E641)=0),3,"")</f>
        <v/>
      </c>
      <c r="L641" s="2" t="str">
        <f t="shared" ref="L641:L646" si="165">IF(AND(LEN(C641)&gt;0,LEN(D641&gt;0),LEN(E641)&gt;0,LEN(F641)=0,H641="N/A"),4,"")</f>
        <v/>
      </c>
      <c r="M641" s="2" t="str">
        <f t="shared" ref="M641:M646" si="166">IF(AND(LEN(C641)&gt;0,LEN(D641&gt;0),LEN(E641)&gt;0,LEN(F641)=0,H641&gt;0,H641&lt;6),5,"")</f>
        <v/>
      </c>
      <c r="N641" s="2">
        <f t="shared" ref="N641:N646" si="167">IF(AND(LEN(C641)&gt;0,LEN(D641&gt;0),LEN(E641)&gt;0,LEN(F641)&gt;0,H641&gt;0,H641&lt;6),6,"")</f>
        <v>6</v>
      </c>
      <c r="O641" s="19">
        <f t="shared" ref="O641:O646" si="168">SUM(I641:N641)</f>
        <v>6</v>
      </c>
      <c r="Q641" s="2" t="str">
        <f t="shared" ref="Q641:Q646" si="169">IF(LEN(E641)&gt;0,TEXT(E641,"00"),"")</f>
        <v>07</v>
      </c>
      <c r="R641" s="21" t="str">
        <f t="shared" ref="R641:R646" si="170">IF(O641=1,C641,IF(O641=2,C641&amp;"."&amp;D641,IF(O641=3,"",IF(O641=4,C641&amp;"."&amp;D641&amp;"."&amp;Q641,IF(O641=5,C641&amp;"."&amp;D641&amp;"."&amp;Q641,IF(O641=6,C641&amp;"."&amp;D641&amp;"."&amp;Q641&amp;F641,""))))))</f>
        <v>3.6.07b</v>
      </c>
      <c r="S641" s="2" t="str">
        <f t="shared" si="158"/>
        <v/>
      </c>
      <c r="T641" s="2" t="str">
        <f t="shared" si="159"/>
        <v/>
      </c>
      <c r="U641" s="19" t="str">
        <f t="shared" si="160"/>
        <v/>
      </c>
    </row>
    <row r="642" spans="1:21" x14ac:dyDescent="0.2">
      <c r="A642" s="2">
        <v>641</v>
      </c>
      <c r="B642" s="21" t="str">
        <f t="shared" si="161"/>
        <v>3.6.07c</v>
      </c>
      <c r="C642" s="2">
        <v>3</v>
      </c>
      <c r="D642" s="2">
        <v>6</v>
      </c>
      <c r="E642" s="2">
        <v>7</v>
      </c>
      <c r="F642" s="2" t="s">
        <v>94</v>
      </c>
      <c r="G642" s="2" t="s">
        <v>726</v>
      </c>
      <c r="H642" s="2">
        <v>3</v>
      </c>
      <c r="I642" s="19" t="str">
        <f t="shared" si="162"/>
        <v/>
      </c>
      <c r="J642" s="2" t="str">
        <f t="shared" si="163"/>
        <v/>
      </c>
      <c r="K642" s="2" t="str">
        <f t="shared" si="164"/>
        <v/>
      </c>
      <c r="L642" s="2" t="str">
        <f t="shared" si="165"/>
        <v/>
      </c>
      <c r="M642" s="2" t="str">
        <f t="shared" si="166"/>
        <v/>
      </c>
      <c r="N642" s="2">
        <f t="shared" si="167"/>
        <v>6</v>
      </c>
      <c r="O642" s="19">
        <f t="shared" si="168"/>
        <v>6</v>
      </c>
      <c r="Q642" s="2" t="str">
        <f t="shared" si="169"/>
        <v>07</v>
      </c>
      <c r="R642" s="21" t="str">
        <f t="shared" si="170"/>
        <v>3.6.07c</v>
      </c>
      <c r="S642" s="2" t="str">
        <f t="shared" si="158"/>
        <v/>
      </c>
      <c r="T642" s="2" t="str">
        <f t="shared" si="159"/>
        <v/>
      </c>
      <c r="U642" s="19" t="str">
        <f t="shared" si="160"/>
        <v/>
      </c>
    </row>
    <row r="643" spans="1:21" x14ac:dyDescent="0.2">
      <c r="A643" s="2">
        <v>642</v>
      </c>
      <c r="B643" s="21" t="str">
        <f t="shared" si="161"/>
        <v>3.6.08</v>
      </c>
      <c r="C643" s="2">
        <v>3</v>
      </c>
      <c r="D643" s="2">
        <v>6</v>
      </c>
      <c r="E643" s="2">
        <v>8</v>
      </c>
      <c r="F643" s="2" t="s">
        <v>84</v>
      </c>
      <c r="G643" s="2" t="s">
        <v>727</v>
      </c>
      <c r="H643" s="2" t="s">
        <v>89</v>
      </c>
      <c r="I643" s="19" t="str">
        <f t="shared" si="162"/>
        <v/>
      </c>
      <c r="J643" s="2" t="str">
        <f t="shared" si="163"/>
        <v/>
      </c>
      <c r="K643" s="2" t="str">
        <f t="shared" si="164"/>
        <v/>
      </c>
      <c r="L643" s="2">
        <f t="shared" si="165"/>
        <v>4</v>
      </c>
      <c r="M643" s="2" t="str">
        <f t="shared" si="166"/>
        <v/>
      </c>
      <c r="N643" s="2" t="str">
        <f t="shared" si="167"/>
        <v/>
      </c>
      <c r="O643" s="19">
        <f t="shared" si="168"/>
        <v>4</v>
      </c>
      <c r="Q643" s="2" t="str">
        <f t="shared" si="169"/>
        <v>08</v>
      </c>
      <c r="R643" s="21" t="str">
        <f t="shared" si="170"/>
        <v>3.6.08</v>
      </c>
      <c r="S643" s="2" t="str">
        <f t="shared" ref="S643:S646" si="171">IF(O643=O642,IF(NOT(R643&gt;R642),1,""),"")</f>
        <v/>
      </c>
      <c r="T643" s="2" t="str">
        <f t="shared" ref="T643:T646" si="172">IF(NOT(R643&gt;R642),1,"")</f>
        <v/>
      </c>
      <c r="U643" s="19" t="str">
        <f t="shared" ref="U643:U646" si="173">IF(O643&lt;4,IF(LEN(H643)=0,"",1),IF(O643=4,IF(H643="N/A","",1),IF(AND(O643&gt;4,O643&lt;7),IF(AND(H643&gt;0,H643&lt;6),"",1),1)))</f>
        <v/>
      </c>
    </row>
    <row r="644" spans="1:21" x14ac:dyDescent="0.2">
      <c r="A644" s="2">
        <v>643</v>
      </c>
      <c r="B644" s="21" t="str">
        <f t="shared" si="161"/>
        <v>3.6.08a</v>
      </c>
      <c r="C644" s="2">
        <v>3</v>
      </c>
      <c r="D644" s="2">
        <v>6</v>
      </c>
      <c r="E644" s="2">
        <v>8</v>
      </c>
      <c r="F644" s="2" t="s">
        <v>90</v>
      </c>
      <c r="G644" s="2" t="s">
        <v>728</v>
      </c>
      <c r="H644" s="2">
        <v>4</v>
      </c>
      <c r="I644" s="19" t="str">
        <f t="shared" si="162"/>
        <v/>
      </c>
      <c r="J644" s="2" t="str">
        <f t="shared" si="163"/>
        <v/>
      </c>
      <c r="K644" s="2" t="str">
        <f t="shared" si="164"/>
        <v/>
      </c>
      <c r="L644" s="2" t="str">
        <f t="shared" si="165"/>
        <v/>
      </c>
      <c r="M644" s="2" t="str">
        <f t="shared" si="166"/>
        <v/>
      </c>
      <c r="N644" s="2">
        <f t="shared" si="167"/>
        <v>6</v>
      </c>
      <c r="O644" s="19">
        <f t="shared" si="168"/>
        <v>6</v>
      </c>
      <c r="Q644" s="2" t="str">
        <f t="shared" si="169"/>
        <v>08</v>
      </c>
      <c r="R644" s="21" t="str">
        <f t="shared" si="170"/>
        <v>3.6.08a</v>
      </c>
      <c r="S644" s="2" t="str">
        <f t="shared" si="171"/>
        <v/>
      </c>
      <c r="T644" s="2" t="str">
        <f t="shared" si="172"/>
        <v/>
      </c>
      <c r="U644" s="19" t="str">
        <f t="shared" si="173"/>
        <v/>
      </c>
    </row>
    <row r="645" spans="1:21" x14ac:dyDescent="0.2">
      <c r="A645" s="2">
        <v>644</v>
      </c>
      <c r="B645" s="21" t="str">
        <f t="shared" si="161"/>
        <v>3.6.08b</v>
      </c>
      <c r="C645" s="2">
        <v>3</v>
      </c>
      <c r="D645" s="2">
        <v>6</v>
      </c>
      <c r="E645" s="2">
        <v>8</v>
      </c>
      <c r="F645" s="2" t="s">
        <v>92</v>
      </c>
      <c r="G645" s="2" t="s">
        <v>729</v>
      </c>
      <c r="H645" s="2">
        <v>5</v>
      </c>
      <c r="I645" s="19" t="str">
        <f t="shared" si="162"/>
        <v/>
      </c>
      <c r="J645" s="2" t="str">
        <f t="shared" si="163"/>
        <v/>
      </c>
      <c r="K645" s="2" t="str">
        <f t="shared" si="164"/>
        <v/>
      </c>
      <c r="L645" s="2" t="str">
        <f t="shared" si="165"/>
        <v/>
      </c>
      <c r="M645" s="2" t="str">
        <f t="shared" si="166"/>
        <v/>
      </c>
      <c r="N645" s="2">
        <f t="shared" si="167"/>
        <v>6</v>
      </c>
      <c r="O645" s="19">
        <f t="shared" si="168"/>
        <v>6</v>
      </c>
      <c r="Q645" s="2" t="str">
        <f t="shared" si="169"/>
        <v>08</v>
      </c>
      <c r="R645" s="21" t="str">
        <f t="shared" si="170"/>
        <v>3.6.08b</v>
      </c>
      <c r="S645" s="2" t="str">
        <f t="shared" si="171"/>
        <v/>
      </c>
      <c r="T645" s="2" t="str">
        <f t="shared" si="172"/>
        <v/>
      </c>
      <c r="U645" s="19" t="str">
        <f t="shared" si="173"/>
        <v/>
      </c>
    </row>
    <row r="646" spans="1:21" x14ac:dyDescent="0.2">
      <c r="A646" s="2">
        <v>645</v>
      </c>
      <c r="B646" s="21" t="str">
        <f t="shared" si="161"/>
        <v>3.6.08c</v>
      </c>
      <c r="C646" s="2">
        <v>3</v>
      </c>
      <c r="D646" s="2">
        <v>6</v>
      </c>
      <c r="E646" s="2">
        <v>8</v>
      </c>
      <c r="F646" s="2" t="s">
        <v>94</v>
      </c>
      <c r="G646" s="2" t="s">
        <v>730</v>
      </c>
      <c r="H646" s="2">
        <v>5</v>
      </c>
      <c r="I646" s="19" t="str">
        <f t="shared" si="162"/>
        <v/>
      </c>
      <c r="J646" s="2" t="str">
        <f t="shared" si="163"/>
        <v/>
      </c>
      <c r="K646" s="2" t="str">
        <f t="shared" si="164"/>
        <v/>
      </c>
      <c r="L646" s="2" t="str">
        <f t="shared" si="165"/>
        <v/>
      </c>
      <c r="M646" s="2" t="str">
        <f t="shared" si="166"/>
        <v/>
      </c>
      <c r="N646" s="2">
        <f t="shared" si="167"/>
        <v>6</v>
      </c>
      <c r="O646" s="19">
        <f t="shared" si="168"/>
        <v>6</v>
      </c>
      <c r="Q646" s="2" t="str">
        <f t="shared" si="169"/>
        <v>08</v>
      </c>
      <c r="R646" s="21" t="str">
        <f t="shared" si="170"/>
        <v>3.6.08c</v>
      </c>
      <c r="S646" s="2" t="str">
        <f t="shared" si="171"/>
        <v/>
      </c>
      <c r="T646" s="2" t="str">
        <f t="shared" si="172"/>
        <v/>
      </c>
      <c r="U646" s="19" t="str">
        <f t="shared" si="173"/>
        <v/>
      </c>
    </row>
  </sheetData>
  <autoFilter ref="O1:O694" xr:uid="{00000000-0009-0000-0000-000006000000}"/>
  <mergeCells count="1">
    <mergeCell ref="S1:T1"/>
  </mergeCells>
  <conditionalFormatting sqref="S1:T1048576">
    <cfRule type="cellIs" dxfId="0" priority="1" operator="equal">
      <formula>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1F497D"/>
    <pageSetUpPr autoPageBreaks="0" fitToPage="1"/>
  </sheetPr>
  <dimension ref="A2:Z213"/>
  <sheetViews>
    <sheetView showGridLines="0" showRowColHeaders="0" topLeftCell="D1" zoomScaleNormal="100" workbookViewId="0">
      <pane ySplit="7" topLeftCell="A8" activePane="bottomLeft" state="frozen"/>
      <selection pane="bottomLeft" activeCell="G21" sqref="G21"/>
    </sheetView>
  </sheetViews>
  <sheetFormatPr baseColWidth="10" defaultColWidth="9.1640625" defaultRowHeight="15" x14ac:dyDescent="0.2"/>
  <cols>
    <col min="1" max="1" width="9.33203125" style="4" hidden="1" customWidth="1"/>
    <col min="2" max="3" width="8.83203125" style="4" hidden="1" customWidth="1"/>
    <col min="4" max="4" width="6.33203125" style="4" customWidth="1"/>
    <col min="5" max="5" width="15.5" style="4" customWidth="1"/>
    <col min="6" max="6" width="67.5" style="4" customWidth="1"/>
    <col min="7" max="7" width="20.33203125" style="4" customWidth="1"/>
    <col min="8" max="8" width="16.1640625" style="4" customWidth="1"/>
    <col min="9" max="9" width="41.6640625" style="4" customWidth="1"/>
    <col min="10" max="21" width="9.1640625" style="4" customWidth="1"/>
    <col min="22" max="24" width="9.1640625" style="66" customWidth="1"/>
    <col min="25" max="26" width="9.1640625" style="61" hidden="1" customWidth="1"/>
    <col min="27" max="16384" width="9.1640625" style="4"/>
  </cols>
  <sheetData>
    <row r="2" spans="1:26" s="7" customFormat="1" ht="15" customHeight="1" x14ac:dyDescent="0.2">
      <c r="A2" s="6"/>
      <c r="B2" s="4"/>
      <c r="C2" s="4"/>
      <c r="D2" s="4"/>
      <c r="E2" s="4"/>
      <c r="F2" s="150" t="s">
        <v>731</v>
      </c>
      <c r="G2" s="142"/>
      <c r="H2" s="142"/>
      <c r="I2" s="142"/>
      <c r="J2" s="142"/>
      <c r="K2" s="142"/>
      <c r="L2" s="142"/>
      <c r="M2" s="142"/>
      <c r="N2" s="142"/>
      <c r="O2" s="142"/>
      <c r="P2" s="142"/>
      <c r="Q2" s="142"/>
      <c r="R2" s="142"/>
      <c r="S2" s="142"/>
      <c r="T2" s="142"/>
      <c r="V2" s="66"/>
      <c r="W2" s="66"/>
      <c r="X2" s="66"/>
      <c r="Y2" s="61"/>
      <c r="Z2" s="61"/>
    </row>
    <row r="3" spans="1:26" s="7" customFormat="1" ht="15" customHeight="1" x14ac:dyDescent="0.2">
      <c r="A3" s="4"/>
      <c r="B3" s="4"/>
      <c r="C3" s="4"/>
      <c r="D3" s="4"/>
      <c r="E3" s="4"/>
      <c r="F3" s="150"/>
      <c r="G3" s="142"/>
      <c r="H3" s="142"/>
      <c r="I3" s="142"/>
      <c r="J3" s="142"/>
      <c r="K3" s="142"/>
      <c r="L3" s="142"/>
      <c r="M3" s="142"/>
      <c r="N3" s="142"/>
      <c r="O3" s="142"/>
      <c r="P3" s="142"/>
      <c r="Q3" s="142"/>
      <c r="R3" s="142"/>
      <c r="S3" s="142"/>
      <c r="T3" s="142"/>
      <c r="V3" s="66"/>
      <c r="W3" s="66"/>
      <c r="X3" s="66"/>
      <c r="Y3" s="61"/>
      <c r="Z3" s="61"/>
    </row>
    <row r="4" spans="1:26" s="7" customFormat="1" ht="15" customHeight="1" x14ac:dyDescent="0.2">
      <c r="A4" s="4"/>
      <c r="B4" s="4"/>
      <c r="C4" s="4"/>
      <c r="D4" s="4"/>
      <c r="E4" s="4"/>
      <c r="F4" s="150"/>
      <c r="G4" s="142"/>
      <c r="H4" s="142"/>
      <c r="I4" s="142"/>
      <c r="J4" s="142"/>
      <c r="K4" s="142"/>
      <c r="L4" s="142"/>
      <c r="M4" s="142"/>
      <c r="N4" s="142"/>
      <c r="O4" s="142"/>
      <c r="P4" s="142"/>
      <c r="Q4" s="142"/>
      <c r="R4" s="142"/>
      <c r="S4" s="142"/>
      <c r="T4" s="142"/>
      <c r="V4" s="66"/>
      <c r="W4" s="66"/>
      <c r="X4" s="66"/>
      <c r="Y4" s="61"/>
      <c r="Z4" s="61"/>
    </row>
    <row r="5" spans="1:26" s="7" customFormat="1" ht="15" customHeight="1" x14ac:dyDescent="0.2">
      <c r="A5" s="4"/>
      <c r="B5" s="4"/>
      <c r="C5" s="4"/>
      <c r="D5" s="4"/>
      <c r="E5" s="4"/>
      <c r="F5" s="150"/>
      <c r="G5" s="142"/>
      <c r="H5" s="142"/>
      <c r="I5" s="142"/>
      <c r="J5" s="142"/>
      <c r="K5" s="142"/>
      <c r="L5" s="142"/>
      <c r="M5" s="142"/>
      <c r="N5" s="142"/>
      <c r="O5" s="142"/>
      <c r="P5" s="142"/>
      <c r="Q5" s="142"/>
      <c r="R5" s="142"/>
      <c r="S5" s="142"/>
      <c r="T5" s="142"/>
      <c r="V5" s="66"/>
      <c r="W5" s="66"/>
      <c r="X5" s="66"/>
      <c r="Y5" s="61"/>
      <c r="Z5" s="61"/>
    </row>
    <row r="6" spans="1:26" ht="11.25" customHeight="1" x14ac:dyDescent="0.2"/>
    <row r="7" spans="1:26" ht="36" customHeight="1" x14ac:dyDescent="0.25">
      <c r="F7" s="8"/>
      <c r="G7" s="9" t="s">
        <v>732</v>
      </c>
      <c r="H7" s="10" t="s">
        <v>733</v>
      </c>
      <c r="I7" s="11" t="s">
        <v>734</v>
      </c>
    </row>
    <row r="8" spans="1:26" s="54" customFormat="1" ht="30" customHeight="1" x14ac:dyDescent="0.2">
      <c r="A8" s="32">
        <v>2</v>
      </c>
      <c r="B8" s="33" t="str">
        <f t="shared" ref="B8:B21" si="0">VLOOKUP(A8,contentref,2,FALSE)</f>
        <v>1.1</v>
      </c>
      <c r="C8" s="3">
        <f t="shared" ref="C8:C21" si="1">VLOOKUP(A8,contentref,15,FALSE)</f>
        <v>2</v>
      </c>
      <c r="D8" s="3"/>
      <c r="E8" s="26" t="s">
        <v>735</v>
      </c>
      <c r="F8" s="13" t="s">
        <v>736</v>
      </c>
      <c r="G8" s="6"/>
      <c r="H8" s="14" t="str">
        <f>IF(ISERROR(VLOOKUP(Y8,detail_maturity_score,3,FALSE)*VLOOKUP(#REF!,weighting_scores,2,FALSE)),"",VLOOKUP(Y8,detail_maturity_score,3,FALSE)*VLOOKUP(#REF!,weighting_scores,2,FALSE))</f>
        <v/>
      </c>
      <c r="I8" s="14"/>
      <c r="J8" s="14"/>
      <c r="K8" s="6"/>
      <c r="L8" s="6"/>
      <c r="M8" s="6"/>
      <c r="N8" s="6"/>
      <c r="O8" s="6"/>
      <c r="P8" s="6"/>
      <c r="Q8" s="6"/>
      <c r="R8" s="6"/>
      <c r="S8" s="6"/>
      <c r="T8" s="6"/>
      <c r="U8" s="79"/>
      <c r="V8" s="79"/>
      <c r="W8" s="83"/>
      <c r="X8" s="62"/>
      <c r="Y8" s="58"/>
      <c r="Z8" s="58"/>
    </row>
    <row r="9" spans="1:26" s="104" customFormat="1" ht="30" customHeight="1" x14ac:dyDescent="0.2">
      <c r="A9" s="93">
        <v>3</v>
      </c>
      <c r="B9" s="94" t="str">
        <f t="shared" si="0"/>
        <v>1.1.01</v>
      </c>
      <c r="C9" s="95">
        <f t="shared" si="1"/>
        <v>5</v>
      </c>
      <c r="D9" s="3"/>
      <c r="E9" s="96">
        <v>1</v>
      </c>
      <c r="F9" s="97" t="s">
        <v>737</v>
      </c>
      <c r="G9" s="97" t="s">
        <v>738</v>
      </c>
      <c r="H9" s="98">
        <v>1</v>
      </c>
      <c r="I9" s="130"/>
      <c r="J9" s="95"/>
      <c r="K9" s="95"/>
      <c r="L9" s="95"/>
      <c r="M9" s="95"/>
      <c r="N9" s="95"/>
      <c r="O9" s="95"/>
      <c r="P9" s="95"/>
      <c r="Q9" s="95"/>
      <c r="R9" s="99"/>
      <c r="S9" s="95"/>
      <c r="T9" s="95"/>
      <c r="U9" s="100"/>
      <c r="V9" s="101"/>
      <c r="W9" s="100"/>
      <c r="X9" s="102"/>
      <c r="Y9" s="103">
        <v>3</v>
      </c>
      <c r="Z9" s="103">
        <f>VLOOKUP(Y9,detail_maturity_score,3,FALSE)</f>
        <v>1</v>
      </c>
    </row>
    <row r="10" spans="1:26" s="116" customFormat="1" ht="30" customHeight="1" x14ac:dyDescent="0.2">
      <c r="A10" s="105">
        <v>4</v>
      </c>
      <c r="B10" s="106" t="str">
        <f t="shared" si="0"/>
        <v>1.1.02</v>
      </c>
      <c r="C10" s="107">
        <f t="shared" si="1"/>
        <v>4</v>
      </c>
      <c r="D10" s="135"/>
      <c r="E10" s="108">
        <v>2</v>
      </c>
      <c r="F10" s="109" t="s">
        <v>739</v>
      </c>
      <c r="G10" s="109" t="s">
        <v>740</v>
      </c>
      <c r="H10" s="110">
        <v>1</v>
      </c>
      <c r="I10" s="131"/>
      <c r="J10" s="107"/>
      <c r="K10" s="107"/>
      <c r="L10" s="107"/>
      <c r="M10" s="107"/>
      <c r="N10" s="107"/>
      <c r="O10" s="107"/>
      <c r="P10" s="107"/>
      <c r="Q10" s="107"/>
      <c r="R10" s="111"/>
      <c r="S10" s="107"/>
      <c r="T10" s="107"/>
      <c r="U10" s="112"/>
      <c r="V10" s="113"/>
      <c r="W10" s="112"/>
      <c r="X10" s="114"/>
      <c r="Y10" s="115"/>
      <c r="Z10" s="115"/>
    </row>
    <row r="11" spans="1:26" s="116" customFormat="1" ht="30" customHeight="1" x14ac:dyDescent="0.2">
      <c r="A11" s="105">
        <v>5</v>
      </c>
      <c r="B11" s="106" t="str">
        <f t="shared" si="0"/>
        <v>1.1.02a</v>
      </c>
      <c r="C11" s="107">
        <f t="shared" si="1"/>
        <v>6</v>
      </c>
      <c r="D11" s="135"/>
      <c r="E11" s="108">
        <v>3</v>
      </c>
      <c r="F11" s="117" t="s">
        <v>741</v>
      </c>
      <c r="G11" s="109" t="s">
        <v>742</v>
      </c>
      <c r="H11" s="110">
        <v>2</v>
      </c>
      <c r="I11" s="131"/>
      <c r="J11" s="107"/>
      <c r="K11" s="107"/>
      <c r="L11" s="107"/>
      <c r="M11" s="107"/>
      <c r="N11" s="107"/>
      <c r="O11" s="107"/>
      <c r="P11" s="107"/>
      <c r="Q11" s="107"/>
      <c r="R11" s="111"/>
      <c r="S11" s="107"/>
      <c r="T11" s="107"/>
      <c r="U11" s="112"/>
      <c r="V11" s="113"/>
      <c r="W11" s="112"/>
      <c r="X11" s="114"/>
      <c r="Y11" s="115">
        <v>1</v>
      </c>
      <c r="Z11" s="115" t="str">
        <f>VLOOKUP(Y11,detail_maturity_score,3,FALSE)</f>
        <v/>
      </c>
    </row>
    <row r="12" spans="1:26" s="116" customFormat="1" ht="30" customHeight="1" x14ac:dyDescent="0.2">
      <c r="A12" s="105">
        <v>6</v>
      </c>
      <c r="B12" s="106" t="str">
        <f t="shared" si="0"/>
        <v>1.1.02b</v>
      </c>
      <c r="C12" s="107">
        <f t="shared" si="1"/>
        <v>6</v>
      </c>
      <c r="D12" s="135"/>
      <c r="E12" s="108">
        <v>4</v>
      </c>
      <c r="F12" s="117" t="s">
        <v>743</v>
      </c>
      <c r="G12" s="109" t="s">
        <v>740</v>
      </c>
      <c r="H12" s="110">
        <v>1</v>
      </c>
      <c r="I12" s="131"/>
      <c r="J12" s="107"/>
      <c r="K12" s="107"/>
      <c r="L12" s="107"/>
      <c r="M12" s="107"/>
      <c r="N12" s="107"/>
      <c r="O12" s="107"/>
      <c r="P12" s="107"/>
      <c r="Q12" s="107"/>
      <c r="R12" s="111"/>
      <c r="S12" s="107"/>
      <c r="T12" s="107"/>
      <c r="U12" s="112"/>
      <c r="V12" s="113"/>
      <c r="W12" s="112"/>
      <c r="X12" s="114"/>
      <c r="Y12" s="115">
        <v>1</v>
      </c>
      <c r="Z12" s="115" t="str">
        <f>VLOOKUP(Y12,detail_maturity_score,3,FALSE)</f>
        <v/>
      </c>
    </row>
    <row r="13" spans="1:26" s="53" customFormat="1" ht="30" customHeight="1" x14ac:dyDescent="0.2">
      <c r="A13" s="41">
        <v>7</v>
      </c>
      <c r="B13" s="42" t="str">
        <f t="shared" si="0"/>
        <v>1.1.02c</v>
      </c>
      <c r="C13" s="43">
        <f t="shared" si="1"/>
        <v>6</v>
      </c>
      <c r="D13" s="3"/>
      <c r="E13" s="44">
        <v>5</v>
      </c>
      <c r="F13" s="89" t="s">
        <v>744</v>
      </c>
      <c r="G13" s="45" t="s">
        <v>745</v>
      </c>
      <c r="H13" s="69">
        <v>1</v>
      </c>
      <c r="I13" s="132"/>
      <c r="J13" s="43"/>
      <c r="K13" s="43"/>
      <c r="L13" s="43"/>
      <c r="M13" s="43"/>
      <c r="N13" s="43"/>
      <c r="O13" s="43"/>
      <c r="P13" s="43"/>
      <c r="Q13" s="43"/>
      <c r="R13" s="78"/>
      <c r="S13" s="43"/>
      <c r="T13" s="43"/>
      <c r="U13" s="80"/>
      <c r="V13" s="84"/>
      <c r="W13" s="80"/>
      <c r="X13" s="65"/>
      <c r="Y13" s="59">
        <v>1</v>
      </c>
      <c r="Z13" s="59" t="str">
        <f>VLOOKUP(Y13,detail_maturity_score,3,FALSE)</f>
        <v/>
      </c>
    </row>
    <row r="14" spans="1:26" s="55" customFormat="1" ht="30" customHeight="1" x14ac:dyDescent="0.2">
      <c r="A14" s="27">
        <v>8</v>
      </c>
      <c r="B14" s="28" t="str">
        <f t="shared" si="0"/>
        <v>1.1.03</v>
      </c>
      <c r="C14" s="29">
        <f t="shared" si="1"/>
        <v>4</v>
      </c>
      <c r="D14" s="3"/>
      <c r="E14" s="30">
        <v>6</v>
      </c>
      <c r="F14" s="31" t="s">
        <v>746</v>
      </c>
      <c r="G14" s="31" t="s">
        <v>745</v>
      </c>
      <c r="H14" s="67">
        <v>1</v>
      </c>
      <c r="I14" s="133"/>
      <c r="J14" s="29"/>
      <c r="K14" s="29"/>
      <c r="L14" s="29"/>
      <c r="M14" s="29"/>
      <c r="N14" s="29"/>
      <c r="O14" s="29"/>
      <c r="P14" s="29"/>
      <c r="Q14" s="29"/>
      <c r="R14" s="57"/>
      <c r="S14" s="29"/>
      <c r="T14" s="29"/>
      <c r="U14" s="81"/>
      <c r="V14" s="85"/>
      <c r="W14" s="81"/>
      <c r="X14" s="64"/>
      <c r="Y14" s="59"/>
      <c r="Z14" s="59"/>
    </row>
    <row r="15" spans="1:26" s="54" customFormat="1" ht="30" customHeight="1" x14ac:dyDescent="0.2">
      <c r="A15" s="27">
        <v>26</v>
      </c>
      <c r="B15" s="28" t="str">
        <f t="shared" si="0"/>
        <v>1.2</v>
      </c>
      <c r="C15" s="29">
        <f t="shared" si="1"/>
        <v>2</v>
      </c>
      <c r="D15" s="3"/>
      <c r="E15" s="26" t="s">
        <v>735</v>
      </c>
      <c r="F15" s="13" t="s">
        <v>747</v>
      </c>
      <c r="G15" s="6"/>
      <c r="H15" s="14" t="str">
        <f>IF(ISERROR(VLOOKUP(Y15,detail_maturity_score,3,FALSE)*VLOOKUP(#REF!,weighting_scores,2,FALSE)),"",VLOOKUP(Y15,detail_maturity_score,3,FALSE)*VLOOKUP(#REF!,weighting_scores,2,FALSE))</f>
        <v/>
      </c>
      <c r="I15" s="14"/>
      <c r="J15" s="14"/>
      <c r="K15" s="6"/>
      <c r="L15" s="6"/>
      <c r="M15" s="6"/>
      <c r="N15" s="6"/>
      <c r="O15" s="6"/>
      <c r="P15" s="6"/>
      <c r="Q15" s="6"/>
      <c r="R15" s="6"/>
      <c r="S15" s="6"/>
      <c r="T15" s="6"/>
      <c r="U15" s="79"/>
      <c r="V15" s="79"/>
      <c r="W15" s="83"/>
      <c r="X15" s="62"/>
      <c r="Y15" s="58"/>
      <c r="Z15" s="58"/>
    </row>
    <row r="16" spans="1:26" s="55" customFormat="1" ht="30" customHeight="1" x14ac:dyDescent="0.2">
      <c r="A16" s="27">
        <v>27</v>
      </c>
      <c r="B16" s="28" t="str">
        <f t="shared" si="0"/>
        <v>1.2.01</v>
      </c>
      <c r="C16" s="29">
        <f t="shared" si="1"/>
        <v>5</v>
      </c>
      <c r="D16" s="3"/>
      <c r="E16" s="44">
        <v>1</v>
      </c>
      <c r="F16" s="45" t="s">
        <v>748</v>
      </c>
      <c r="G16" s="45" t="s">
        <v>742</v>
      </c>
      <c r="H16" s="69">
        <v>2</v>
      </c>
      <c r="I16" s="132"/>
      <c r="J16" s="43"/>
      <c r="K16" s="43"/>
      <c r="L16" s="43"/>
      <c r="M16" s="43"/>
      <c r="N16" s="43"/>
      <c r="O16" s="43"/>
      <c r="P16" s="43"/>
      <c r="Q16" s="43"/>
      <c r="R16" s="78"/>
      <c r="S16" s="43"/>
      <c r="T16" s="43"/>
      <c r="U16" s="80"/>
      <c r="V16" s="84"/>
      <c r="W16" s="80"/>
      <c r="X16" s="63"/>
      <c r="Y16" s="59">
        <v>1</v>
      </c>
      <c r="Z16" s="59" t="str">
        <f>VLOOKUP(Y16,detail_maturity_score,3,FALSE)</f>
        <v/>
      </c>
    </row>
    <row r="17" spans="1:26" s="55" customFormat="1" ht="30" customHeight="1" x14ac:dyDescent="0.2">
      <c r="A17" s="27">
        <v>28</v>
      </c>
      <c r="B17" s="28" t="str">
        <f t="shared" si="0"/>
        <v>1.2.02</v>
      </c>
      <c r="C17" s="29">
        <f t="shared" si="1"/>
        <v>4</v>
      </c>
      <c r="D17" s="3"/>
      <c r="E17" s="30">
        <v>2</v>
      </c>
      <c r="F17" s="31" t="s">
        <v>749</v>
      </c>
      <c r="G17" s="31" t="s">
        <v>742</v>
      </c>
      <c r="H17" s="67">
        <v>2</v>
      </c>
      <c r="I17" s="133"/>
      <c r="J17" s="29"/>
      <c r="K17" s="29"/>
      <c r="L17" s="29"/>
      <c r="M17" s="29"/>
      <c r="N17" s="29"/>
      <c r="O17" s="29"/>
      <c r="P17" s="29"/>
      <c r="Q17" s="29"/>
      <c r="R17" s="57"/>
      <c r="S17" s="29"/>
      <c r="T17" s="29"/>
      <c r="U17" s="81"/>
      <c r="V17" s="85"/>
      <c r="W17" s="81"/>
      <c r="X17" s="64"/>
      <c r="Y17" s="59"/>
      <c r="Z17" s="59"/>
    </row>
    <row r="18" spans="1:26" s="55" customFormat="1" ht="30" customHeight="1" x14ac:dyDescent="0.2">
      <c r="A18" s="27">
        <v>29</v>
      </c>
      <c r="B18" s="28" t="str">
        <f t="shared" si="0"/>
        <v>1.2.02a</v>
      </c>
      <c r="C18" s="29">
        <f t="shared" si="1"/>
        <v>6</v>
      </c>
      <c r="D18" s="3"/>
      <c r="E18" s="30">
        <v>3</v>
      </c>
      <c r="F18" s="36" t="s">
        <v>750</v>
      </c>
      <c r="G18" s="31" t="s">
        <v>740</v>
      </c>
      <c r="H18" s="67">
        <v>1</v>
      </c>
      <c r="I18" s="133"/>
      <c r="J18" s="29"/>
      <c r="K18" s="29"/>
      <c r="L18" s="29"/>
      <c r="M18" s="29"/>
      <c r="N18" s="29"/>
      <c r="O18" s="29"/>
      <c r="P18" s="29"/>
      <c r="Q18" s="29"/>
      <c r="R18" s="57"/>
      <c r="S18" s="29"/>
      <c r="T18" s="29"/>
      <c r="U18" s="81"/>
      <c r="V18" s="85"/>
      <c r="W18" s="81"/>
      <c r="X18" s="64"/>
      <c r="Y18" s="59">
        <v>1</v>
      </c>
      <c r="Z18" s="59" t="str">
        <f>VLOOKUP(Y18,detail_maturity_score,3,FALSE)</f>
        <v/>
      </c>
    </row>
    <row r="19" spans="1:26" s="55" customFormat="1" ht="30" customHeight="1" x14ac:dyDescent="0.2">
      <c r="A19" s="27">
        <v>30</v>
      </c>
      <c r="B19" s="28" t="str">
        <f t="shared" si="0"/>
        <v>1.2.02b</v>
      </c>
      <c r="C19" s="29">
        <f t="shared" si="1"/>
        <v>6</v>
      </c>
      <c r="D19" s="3"/>
      <c r="E19" s="30">
        <v>4</v>
      </c>
      <c r="F19" s="36" t="s">
        <v>751</v>
      </c>
      <c r="G19" s="31" t="s">
        <v>752</v>
      </c>
      <c r="H19" s="67">
        <v>3</v>
      </c>
      <c r="I19" s="133"/>
      <c r="J19" s="29"/>
      <c r="K19" s="29"/>
      <c r="L19" s="29"/>
      <c r="M19" s="29"/>
      <c r="N19" s="29"/>
      <c r="O19" s="29"/>
      <c r="P19" s="29"/>
      <c r="Q19" s="29"/>
      <c r="R19" s="57"/>
      <c r="S19" s="29"/>
      <c r="T19" s="29"/>
      <c r="U19" s="81"/>
      <c r="V19" s="85"/>
      <c r="W19" s="81"/>
      <c r="X19" s="64"/>
      <c r="Y19" s="59">
        <v>1</v>
      </c>
      <c r="Z19" s="59" t="str">
        <f>VLOOKUP(Y19,detail_maturity_score,3,FALSE)</f>
        <v/>
      </c>
    </row>
    <row r="20" spans="1:26" s="55" customFormat="1" ht="30" customHeight="1" x14ac:dyDescent="0.2">
      <c r="A20" s="27">
        <v>31</v>
      </c>
      <c r="B20" s="28" t="str">
        <f t="shared" si="0"/>
        <v>1.2.02c</v>
      </c>
      <c r="C20" s="29">
        <f t="shared" si="1"/>
        <v>6</v>
      </c>
      <c r="D20" s="3"/>
      <c r="E20" s="30">
        <v>5</v>
      </c>
      <c r="F20" s="36" t="s">
        <v>753</v>
      </c>
      <c r="G20" s="31" t="s">
        <v>740</v>
      </c>
      <c r="H20" s="67">
        <v>1</v>
      </c>
      <c r="I20" s="133"/>
      <c r="J20" s="29"/>
      <c r="K20" s="29"/>
      <c r="L20" s="29"/>
      <c r="M20" s="29"/>
      <c r="N20" s="29"/>
      <c r="O20" s="29"/>
      <c r="P20" s="29"/>
      <c r="Q20" s="29"/>
      <c r="R20" s="57"/>
      <c r="S20" s="29"/>
      <c r="T20" s="29"/>
      <c r="U20" s="81"/>
      <c r="V20" s="85"/>
      <c r="W20" s="81"/>
      <c r="X20" s="64"/>
      <c r="Y20" s="59">
        <v>1</v>
      </c>
      <c r="Z20" s="59" t="str">
        <f>VLOOKUP(Y20,detail_maturity_score,3,FALSE)</f>
        <v/>
      </c>
    </row>
    <row r="21" spans="1:26" s="55" customFormat="1" ht="32" x14ac:dyDescent="0.2">
      <c r="A21" s="27">
        <v>32</v>
      </c>
      <c r="B21" s="28" t="str">
        <f t="shared" si="0"/>
        <v>1.2.03</v>
      </c>
      <c r="C21" s="29">
        <f t="shared" si="1"/>
        <v>5</v>
      </c>
      <c r="D21" s="3"/>
      <c r="E21" s="30">
        <v>6</v>
      </c>
      <c r="F21" s="31" t="s">
        <v>754</v>
      </c>
      <c r="G21" s="31" t="s">
        <v>742</v>
      </c>
      <c r="H21" s="67">
        <v>2</v>
      </c>
      <c r="I21" s="133"/>
      <c r="J21" s="29"/>
      <c r="K21" s="29"/>
      <c r="L21" s="29"/>
      <c r="M21" s="29"/>
      <c r="N21" s="29"/>
      <c r="O21" s="29"/>
      <c r="P21" s="29"/>
      <c r="Q21" s="29"/>
      <c r="R21" s="57"/>
      <c r="S21" s="29"/>
      <c r="T21" s="29"/>
      <c r="U21" s="81"/>
      <c r="V21" s="85"/>
      <c r="W21" s="81"/>
      <c r="X21" s="92"/>
      <c r="Y21" s="59">
        <v>1</v>
      </c>
      <c r="Z21" s="59" t="str">
        <f>VLOOKUP(Y21,detail_maturity_score,3,FALSE)</f>
        <v/>
      </c>
    </row>
    <row r="22" spans="1:26" s="53" customFormat="1" ht="30" customHeight="1" x14ac:dyDescent="0.2">
      <c r="A22" s="41">
        <v>71</v>
      </c>
      <c r="B22" s="42" t="str">
        <f t="shared" ref="B22:B80" si="2">VLOOKUP(A22,contentref,2,FALSE)</f>
        <v>1.3.01</v>
      </c>
      <c r="C22" s="43">
        <f t="shared" ref="C22:C80" si="3">VLOOKUP(A22,contentref,15,FALSE)</f>
        <v>5</v>
      </c>
      <c r="D22" s="3"/>
      <c r="E22" s="145" t="s">
        <v>755</v>
      </c>
      <c r="F22" s="45"/>
      <c r="G22" s="45"/>
      <c r="H22" s="146">
        <v>21</v>
      </c>
      <c r="I22" s="132"/>
      <c r="J22" s="43"/>
      <c r="K22" s="43"/>
      <c r="L22" s="43"/>
      <c r="M22" s="43"/>
      <c r="N22" s="43"/>
      <c r="O22" s="43"/>
      <c r="P22" s="43"/>
      <c r="Q22" s="43"/>
      <c r="R22" s="57"/>
      <c r="S22" s="43"/>
      <c r="T22" s="43"/>
      <c r="U22" s="80"/>
      <c r="V22" s="84"/>
      <c r="W22" s="80"/>
      <c r="X22" s="63"/>
      <c r="Y22" s="59">
        <v>1</v>
      </c>
      <c r="Z22" s="59" t="str">
        <f>VLOOKUP(Y22,detail_maturity_score,3,FALSE)</f>
        <v/>
      </c>
    </row>
    <row r="23" spans="1:26" s="53" customFormat="1" ht="30" customHeight="1" x14ac:dyDescent="0.2">
      <c r="A23" s="41">
        <v>72</v>
      </c>
      <c r="B23" s="42" t="str">
        <f t="shared" si="2"/>
        <v>1.3.02</v>
      </c>
      <c r="C23" s="43">
        <f t="shared" si="3"/>
        <v>4</v>
      </c>
      <c r="D23" s="3"/>
      <c r="E23" s="44"/>
      <c r="F23" s="45"/>
      <c r="G23" s="45"/>
      <c r="H23" s="69" t="str">
        <f>IF(ISERROR(VLOOKUP(Y23,detail_maturity_score,3,FALSE)*VLOOKUP(#REF!,weighting_scores,2,FALSE)),"",VLOOKUP(Y23,detail_maturity_score,3,FALSE)*VLOOKUP(#REF!,weighting_scores,2,FALSE))</f>
        <v/>
      </c>
      <c r="I23" s="132"/>
      <c r="J23" s="43"/>
      <c r="K23" s="43"/>
      <c r="L23" s="43"/>
      <c r="M23" s="43"/>
      <c r="N23" s="43"/>
      <c r="O23" s="43"/>
      <c r="P23" s="43"/>
      <c r="Q23" s="43"/>
      <c r="R23" s="57"/>
      <c r="S23" s="43"/>
      <c r="T23" s="43"/>
      <c r="U23" s="80"/>
      <c r="V23" s="84"/>
      <c r="W23" s="80"/>
      <c r="X23" s="65"/>
      <c r="Y23" s="59"/>
      <c r="Z23" s="59"/>
    </row>
    <row r="24" spans="1:26" s="53" customFormat="1" ht="30" customHeight="1" x14ac:dyDescent="0.2">
      <c r="A24" s="41">
        <v>73</v>
      </c>
      <c r="B24" s="42" t="str">
        <f t="shared" si="2"/>
        <v>1.3.02a</v>
      </c>
      <c r="C24" s="43">
        <f t="shared" si="3"/>
        <v>6</v>
      </c>
      <c r="D24" s="3"/>
      <c r="E24" s="44"/>
      <c r="F24" s="89"/>
      <c r="G24" s="45"/>
      <c r="H24" s="69" t="str">
        <f>IF(ISERROR(VLOOKUP(Y24,detail_maturity_score,3,FALSE)*VLOOKUP(#REF!,weighting_scores,2,FALSE)),"",VLOOKUP(Y24,detail_maturity_score,3,FALSE)*VLOOKUP(#REF!,weighting_scores,2,FALSE))</f>
        <v/>
      </c>
      <c r="I24" s="132"/>
      <c r="J24" s="43"/>
      <c r="K24" s="43"/>
      <c r="L24" s="43"/>
      <c r="M24" s="43"/>
      <c r="N24" s="43"/>
      <c r="O24" s="43"/>
      <c r="P24" s="43"/>
      <c r="Q24" s="43"/>
      <c r="R24" s="57"/>
      <c r="S24" s="43"/>
      <c r="T24" s="43"/>
      <c r="U24" s="80"/>
      <c r="V24" s="84"/>
      <c r="W24" s="80"/>
      <c r="X24" s="65"/>
      <c r="Y24" s="59">
        <v>1</v>
      </c>
      <c r="Z24" s="59" t="str">
        <f>VLOOKUP(Y24,detail_maturity_score,3,FALSE)</f>
        <v/>
      </c>
    </row>
    <row r="25" spans="1:26" s="53" customFormat="1" ht="16" x14ac:dyDescent="0.2">
      <c r="A25" s="41">
        <v>74</v>
      </c>
      <c r="B25" s="42" t="str">
        <f t="shared" si="2"/>
        <v>1.3.02b</v>
      </c>
      <c r="C25" s="43">
        <f t="shared" si="3"/>
        <v>6</v>
      </c>
      <c r="D25" s="3"/>
      <c r="E25" s="44"/>
      <c r="F25" s="89"/>
      <c r="G25" s="45"/>
      <c r="H25" s="69" t="str">
        <f>IF(ISERROR(VLOOKUP(Y25,detail_maturity_score,3,FALSE)*VLOOKUP(#REF!,weighting_scores,2,FALSE)),"",VLOOKUP(Y25,detail_maturity_score,3,FALSE)*VLOOKUP(#REF!,weighting_scores,2,FALSE))</f>
        <v/>
      </c>
      <c r="I25" s="132"/>
      <c r="J25" s="43"/>
      <c r="K25" s="43"/>
      <c r="L25" s="43"/>
      <c r="M25" s="43"/>
      <c r="N25" s="43"/>
      <c r="O25" s="43"/>
      <c r="P25" s="43"/>
      <c r="Q25" s="43"/>
      <c r="R25" s="57"/>
      <c r="S25" s="43"/>
      <c r="T25" s="43"/>
      <c r="U25" s="80"/>
      <c r="V25" s="84"/>
      <c r="W25" s="80"/>
      <c r="X25" s="65"/>
      <c r="Y25" s="59">
        <v>1</v>
      </c>
      <c r="Z25" s="59" t="str">
        <f>VLOOKUP(Y25,detail_maturity_score,3,FALSE)</f>
        <v/>
      </c>
    </row>
    <row r="26" spans="1:26" s="53" customFormat="1" ht="16" x14ac:dyDescent="0.2">
      <c r="A26" s="41">
        <v>75</v>
      </c>
      <c r="B26" s="42" t="str">
        <f t="shared" si="2"/>
        <v>1.3.02c</v>
      </c>
      <c r="C26" s="43">
        <f t="shared" si="3"/>
        <v>6</v>
      </c>
      <c r="D26" s="3"/>
      <c r="E26" s="44"/>
      <c r="F26" s="89"/>
      <c r="G26" s="45"/>
      <c r="H26" s="69" t="str">
        <f>IF(ISERROR(VLOOKUP(Y26,detail_maturity_score,3,FALSE)*VLOOKUP(#REF!,weighting_scores,2,FALSE)),"",VLOOKUP(Y26,detail_maturity_score,3,FALSE)*VLOOKUP(#REF!,weighting_scores,2,FALSE))</f>
        <v/>
      </c>
      <c r="I26" s="132"/>
      <c r="J26" s="43"/>
      <c r="K26" s="43"/>
      <c r="L26" s="43"/>
      <c r="M26" s="43"/>
      <c r="N26" s="43"/>
      <c r="O26" s="43"/>
      <c r="P26" s="43"/>
      <c r="Q26" s="43"/>
      <c r="R26" s="57"/>
      <c r="S26" s="43"/>
      <c r="T26" s="43"/>
      <c r="U26" s="80"/>
      <c r="V26" s="84"/>
      <c r="W26" s="80"/>
      <c r="X26" s="65"/>
      <c r="Y26" s="59">
        <v>1</v>
      </c>
      <c r="Z26" s="59" t="str">
        <f>VLOOKUP(Y26,detail_maturity_score,3,FALSE)</f>
        <v/>
      </c>
    </row>
    <row r="27" spans="1:26" s="53" customFormat="1" ht="30" customHeight="1" x14ac:dyDescent="0.2">
      <c r="A27" s="41">
        <v>76</v>
      </c>
      <c r="B27" s="42" t="str">
        <f t="shared" si="2"/>
        <v>1.3.03</v>
      </c>
      <c r="C27" s="43">
        <f t="shared" si="3"/>
        <v>5</v>
      </c>
      <c r="D27" s="3"/>
      <c r="E27" s="44"/>
      <c r="F27" s="45"/>
      <c r="G27" s="45"/>
      <c r="H27" s="69" t="str">
        <f>IF(ISERROR(VLOOKUP(Y27,detail_maturity_score,3,FALSE)*VLOOKUP(#REF!,weighting_scores,2,FALSE)),"",VLOOKUP(Y27,detail_maturity_score,3,FALSE)*VLOOKUP(#REF!,weighting_scores,2,FALSE))</f>
        <v/>
      </c>
      <c r="I27" s="132"/>
      <c r="J27" s="43"/>
      <c r="K27" s="43"/>
      <c r="L27" s="43"/>
      <c r="M27" s="43"/>
      <c r="N27" s="43"/>
      <c r="O27" s="43"/>
      <c r="P27" s="43"/>
      <c r="Q27" s="43"/>
      <c r="R27" s="57"/>
      <c r="S27" s="43"/>
      <c r="T27" s="43"/>
      <c r="U27" s="80"/>
      <c r="V27" s="84"/>
      <c r="W27" s="80"/>
      <c r="X27" s="63"/>
      <c r="Y27" s="59">
        <v>1</v>
      </c>
      <c r="Z27" s="59" t="str">
        <f>VLOOKUP(Y27,detail_maturity_score,3,FALSE)</f>
        <v/>
      </c>
    </row>
    <row r="28" spans="1:26" s="53" customFormat="1" ht="30" customHeight="1" x14ac:dyDescent="0.2">
      <c r="A28" s="41">
        <v>77</v>
      </c>
      <c r="B28" s="42" t="str">
        <f t="shared" si="2"/>
        <v>1.3.04</v>
      </c>
      <c r="C28" s="43">
        <f t="shared" si="3"/>
        <v>4</v>
      </c>
      <c r="D28" s="3"/>
      <c r="E28" s="44"/>
      <c r="F28" s="45"/>
      <c r="G28" s="45"/>
      <c r="H28" s="69" t="str">
        <f>IF(ISERROR(VLOOKUP(Y28,detail_maturity_score,3,FALSE)*VLOOKUP(#REF!,weighting_scores,2,FALSE)),"",VLOOKUP(Y28,detail_maturity_score,3,FALSE)*VLOOKUP(#REF!,weighting_scores,2,FALSE))</f>
        <v/>
      </c>
      <c r="I28" s="132"/>
      <c r="J28" s="43"/>
      <c r="K28" s="43"/>
      <c r="L28" s="43"/>
      <c r="M28" s="43"/>
      <c r="N28" s="43"/>
      <c r="O28" s="43"/>
      <c r="P28" s="43"/>
      <c r="Q28" s="43"/>
      <c r="R28" s="57"/>
      <c r="S28" s="43"/>
      <c r="T28" s="43"/>
      <c r="U28" s="80"/>
      <c r="V28" s="84"/>
      <c r="W28" s="80"/>
      <c r="X28" s="65"/>
      <c r="Y28" s="59"/>
      <c r="Z28" s="59"/>
    </row>
    <row r="29" spans="1:26" s="53" customFormat="1" ht="16" x14ac:dyDescent="0.2">
      <c r="A29" s="41">
        <v>78</v>
      </c>
      <c r="B29" s="42" t="str">
        <f t="shared" si="2"/>
        <v>1.3.04a</v>
      </c>
      <c r="C29" s="43">
        <f t="shared" si="3"/>
        <v>6</v>
      </c>
      <c r="D29" s="3"/>
      <c r="E29" s="44"/>
      <c r="F29" s="89"/>
      <c r="G29" s="45"/>
      <c r="H29" s="69" t="str">
        <f>IF(ISERROR(VLOOKUP(Y29,detail_maturity_score,3,FALSE)*VLOOKUP(#REF!,weighting_scores,2,FALSE)),"",VLOOKUP(Y29,detail_maturity_score,3,FALSE)*VLOOKUP(#REF!,weighting_scores,2,FALSE))</f>
        <v/>
      </c>
      <c r="I29" s="132"/>
      <c r="J29" s="43"/>
      <c r="K29" s="43"/>
      <c r="L29" s="43"/>
      <c r="M29" s="43"/>
      <c r="N29" s="43"/>
      <c r="O29" s="43"/>
      <c r="P29" s="43"/>
      <c r="Q29" s="43"/>
      <c r="R29" s="57"/>
      <c r="S29" s="43"/>
      <c r="T29" s="43"/>
      <c r="U29" s="80"/>
      <c r="V29" s="84"/>
      <c r="W29" s="80"/>
      <c r="X29" s="65"/>
      <c r="Y29" s="59">
        <v>1</v>
      </c>
      <c r="Z29" s="59" t="str">
        <f>VLOOKUP(Y29,detail_maturity_score,3,FALSE)</f>
        <v/>
      </c>
    </row>
    <row r="30" spans="1:26" s="53" customFormat="1" ht="30" customHeight="1" x14ac:dyDescent="0.2">
      <c r="A30" s="41">
        <v>79</v>
      </c>
      <c r="B30" s="42" t="str">
        <f t="shared" si="2"/>
        <v>1.3.04b</v>
      </c>
      <c r="C30" s="43">
        <f t="shared" si="3"/>
        <v>6</v>
      </c>
      <c r="D30" s="3"/>
      <c r="E30" s="44"/>
      <c r="F30" s="89"/>
      <c r="G30" s="45"/>
      <c r="H30" s="69" t="str">
        <f>IF(ISERROR(VLOOKUP(Y30,detail_maturity_score,3,FALSE)*VLOOKUP(#REF!,weighting_scores,2,FALSE)),"",VLOOKUP(Y30,detail_maturity_score,3,FALSE)*VLOOKUP(#REF!,weighting_scores,2,FALSE))</f>
        <v/>
      </c>
      <c r="I30" s="132"/>
      <c r="J30" s="43"/>
      <c r="K30" s="43"/>
      <c r="L30" s="43"/>
      <c r="M30" s="43"/>
      <c r="N30" s="43"/>
      <c r="O30" s="43"/>
      <c r="P30" s="43"/>
      <c r="Q30" s="43"/>
      <c r="R30" s="57"/>
      <c r="S30" s="43"/>
      <c r="T30" s="43"/>
      <c r="U30" s="80"/>
      <c r="V30" s="84"/>
      <c r="W30" s="80"/>
      <c r="X30" s="65"/>
      <c r="Y30" s="59">
        <v>1</v>
      </c>
      <c r="Z30" s="59" t="str">
        <f>VLOOKUP(Y30,detail_maturity_score,3,FALSE)</f>
        <v/>
      </c>
    </row>
    <row r="31" spans="1:26" s="53" customFormat="1" ht="30" customHeight="1" x14ac:dyDescent="0.2">
      <c r="A31" s="41">
        <v>80</v>
      </c>
      <c r="B31" s="42" t="str">
        <f t="shared" si="2"/>
        <v>1.3.05</v>
      </c>
      <c r="C31" s="43">
        <f t="shared" si="3"/>
        <v>4</v>
      </c>
      <c r="D31" s="3"/>
      <c r="E31" s="44"/>
      <c r="F31" s="45"/>
      <c r="G31" s="45"/>
      <c r="H31" s="69" t="str">
        <f>IF(ISERROR(VLOOKUP(Y31,detail_maturity_score,3,FALSE)*VLOOKUP(#REF!,weighting_scores,2,FALSE)),"",VLOOKUP(Y31,detail_maturity_score,3,FALSE)*VLOOKUP(#REF!,weighting_scores,2,FALSE))</f>
        <v/>
      </c>
      <c r="I31" s="132"/>
      <c r="J31" s="43"/>
      <c r="K31" s="43"/>
      <c r="L31" s="43"/>
      <c r="M31" s="43"/>
      <c r="N31" s="43"/>
      <c r="O31" s="43"/>
      <c r="P31" s="43"/>
      <c r="Q31" s="43"/>
      <c r="R31" s="57"/>
      <c r="S31" s="43"/>
      <c r="T31" s="43"/>
      <c r="U31" s="80"/>
      <c r="V31" s="84"/>
      <c r="W31" s="80"/>
      <c r="X31" s="65"/>
      <c r="Y31" s="59"/>
      <c r="Z31" s="59"/>
    </row>
    <row r="32" spans="1:26" s="53" customFormat="1" ht="16" x14ac:dyDescent="0.2">
      <c r="A32" s="41">
        <v>81</v>
      </c>
      <c r="B32" s="42" t="str">
        <f t="shared" si="2"/>
        <v>1.3.05a</v>
      </c>
      <c r="C32" s="43">
        <f t="shared" si="3"/>
        <v>6</v>
      </c>
      <c r="D32" s="3"/>
      <c r="E32" s="44"/>
      <c r="F32" s="89"/>
      <c r="G32" s="45"/>
      <c r="H32" s="69" t="str">
        <f>IF(ISERROR(VLOOKUP(Y32,detail_maturity_score,3,FALSE)*VLOOKUP(#REF!,weighting_scores,2,FALSE)),"",VLOOKUP(Y32,detail_maturity_score,3,FALSE)*VLOOKUP(#REF!,weighting_scores,2,FALSE))</f>
        <v/>
      </c>
      <c r="I32" s="132"/>
      <c r="J32" s="43"/>
      <c r="K32" s="43"/>
      <c r="L32" s="43"/>
      <c r="M32" s="43"/>
      <c r="N32" s="43"/>
      <c r="O32" s="43"/>
      <c r="P32" s="43"/>
      <c r="Q32" s="43"/>
      <c r="R32" s="57"/>
      <c r="S32" s="43"/>
      <c r="T32" s="43"/>
      <c r="U32" s="80"/>
      <c r="V32" s="84"/>
      <c r="W32" s="80"/>
      <c r="X32" s="65"/>
      <c r="Y32" s="59">
        <v>1</v>
      </c>
      <c r="Z32" s="59" t="str">
        <f>VLOOKUP(Y32,detail_maturity_score,3,FALSE)</f>
        <v/>
      </c>
    </row>
    <row r="33" spans="1:26" s="53" customFormat="1" ht="16" x14ac:dyDescent="0.2">
      <c r="A33" s="41">
        <v>82</v>
      </c>
      <c r="B33" s="42" t="str">
        <f t="shared" si="2"/>
        <v>1.3.05b</v>
      </c>
      <c r="C33" s="43">
        <f t="shared" si="3"/>
        <v>6</v>
      </c>
      <c r="D33" s="3"/>
      <c r="E33" s="44"/>
      <c r="F33" s="89"/>
      <c r="G33" s="45"/>
      <c r="H33" s="69" t="str">
        <f>IF(ISERROR(VLOOKUP(Y33,detail_maturity_score,3,FALSE)*VLOOKUP(#REF!,weighting_scores,2,FALSE)),"",VLOOKUP(Y33,detail_maturity_score,3,FALSE)*VLOOKUP(#REF!,weighting_scores,2,FALSE))</f>
        <v/>
      </c>
      <c r="I33" s="132"/>
      <c r="J33" s="43"/>
      <c r="K33" s="43"/>
      <c r="L33" s="43"/>
      <c r="M33" s="43"/>
      <c r="N33" s="43"/>
      <c r="O33" s="43"/>
      <c r="P33" s="43"/>
      <c r="Q33" s="43"/>
      <c r="R33" s="57"/>
      <c r="S33" s="43"/>
      <c r="T33" s="43"/>
      <c r="U33" s="80"/>
      <c r="V33" s="84"/>
      <c r="W33" s="80"/>
      <c r="X33" s="65"/>
      <c r="Y33" s="59">
        <v>1</v>
      </c>
      <c r="Z33" s="59" t="str">
        <f>VLOOKUP(Y33,detail_maturity_score,3,FALSE)</f>
        <v/>
      </c>
    </row>
    <row r="34" spans="1:26" s="53" customFormat="1" ht="16" x14ac:dyDescent="0.2">
      <c r="A34" s="41">
        <v>83</v>
      </c>
      <c r="B34" s="42" t="str">
        <f t="shared" si="2"/>
        <v>1.3.05c</v>
      </c>
      <c r="C34" s="43">
        <f t="shared" si="3"/>
        <v>6</v>
      </c>
      <c r="D34" s="3"/>
      <c r="E34" s="44"/>
      <c r="F34" s="89"/>
      <c r="G34" s="45"/>
      <c r="H34" s="69" t="str">
        <f>IF(ISERROR(VLOOKUP(Y34,detail_maturity_score,3,FALSE)*VLOOKUP(#REF!,weighting_scores,2,FALSE)),"",VLOOKUP(Y34,detail_maturity_score,3,FALSE)*VLOOKUP(#REF!,weighting_scores,2,FALSE))</f>
        <v/>
      </c>
      <c r="I34" s="132"/>
      <c r="J34" s="43"/>
      <c r="K34" s="43"/>
      <c r="L34" s="43"/>
      <c r="M34" s="43"/>
      <c r="N34" s="43"/>
      <c r="O34" s="43"/>
      <c r="P34" s="43"/>
      <c r="Q34" s="43"/>
      <c r="R34" s="57"/>
      <c r="S34" s="43"/>
      <c r="T34" s="43"/>
      <c r="U34" s="80"/>
      <c r="V34" s="84"/>
      <c r="W34" s="80"/>
      <c r="X34" s="65"/>
      <c r="Y34" s="59">
        <v>1</v>
      </c>
      <c r="Z34" s="59" t="str">
        <f>VLOOKUP(Y34,detail_maturity_score,3,FALSE)</f>
        <v/>
      </c>
    </row>
    <row r="35" spans="1:26" s="53" customFormat="1" ht="16" x14ac:dyDescent="0.2">
      <c r="A35" s="41">
        <v>84</v>
      </c>
      <c r="B35" s="42" t="str">
        <f t="shared" si="2"/>
        <v>1.3.05d</v>
      </c>
      <c r="C35" s="43">
        <f t="shared" si="3"/>
        <v>6</v>
      </c>
      <c r="D35" s="3"/>
      <c r="E35" s="44"/>
      <c r="F35" s="89"/>
      <c r="G35" s="45"/>
      <c r="H35" s="69" t="str">
        <f>IF(ISERROR(VLOOKUP(Y35,detail_maturity_score,3,FALSE)*VLOOKUP(#REF!,weighting_scores,2,FALSE)),"",VLOOKUP(Y35,detail_maturity_score,3,FALSE)*VLOOKUP(#REF!,weighting_scores,2,FALSE))</f>
        <v/>
      </c>
      <c r="I35" s="132"/>
      <c r="J35" s="43"/>
      <c r="K35" s="43"/>
      <c r="L35" s="43"/>
      <c r="M35" s="43"/>
      <c r="N35" s="43"/>
      <c r="O35" s="43"/>
      <c r="P35" s="43"/>
      <c r="Q35" s="43"/>
      <c r="R35" s="57"/>
      <c r="S35" s="43"/>
      <c r="T35" s="43"/>
      <c r="U35" s="80"/>
      <c r="V35" s="84"/>
      <c r="W35" s="80"/>
      <c r="X35" s="65"/>
      <c r="Y35" s="59">
        <v>1</v>
      </c>
      <c r="Z35" s="59" t="str">
        <f>VLOOKUP(Y35,detail_maturity_score,3,FALSE)</f>
        <v/>
      </c>
    </row>
    <row r="36" spans="1:26" s="53" customFormat="1" x14ac:dyDescent="0.2">
      <c r="A36" s="41">
        <v>85</v>
      </c>
      <c r="B36" s="42" t="str">
        <f t="shared" si="2"/>
        <v>1.3.06</v>
      </c>
      <c r="C36" s="43">
        <f t="shared" si="3"/>
        <v>4</v>
      </c>
      <c r="D36" s="3"/>
      <c r="E36" s="44"/>
      <c r="F36" s="45"/>
      <c r="G36" s="45"/>
      <c r="H36" s="69" t="str">
        <f>IF(ISERROR(VLOOKUP(Y36,detail_maturity_score,3,FALSE)*VLOOKUP(#REF!,weighting_scores,2,FALSE)),"",VLOOKUP(Y36,detail_maturity_score,3,FALSE)*VLOOKUP(#REF!,weighting_scores,2,FALSE))</f>
        <v/>
      </c>
      <c r="I36" s="132"/>
      <c r="J36" s="43"/>
      <c r="K36" s="43"/>
      <c r="L36" s="43"/>
      <c r="M36" s="43"/>
      <c r="N36" s="43"/>
      <c r="O36" s="43"/>
      <c r="P36" s="43"/>
      <c r="Q36" s="43"/>
      <c r="R36" s="57"/>
      <c r="S36" s="43"/>
      <c r="T36" s="43"/>
      <c r="U36" s="80"/>
      <c r="V36" s="84"/>
      <c r="W36" s="80"/>
      <c r="X36" s="65"/>
      <c r="Y36" s="59"/>
      <c r="Z36" s="59"/>
    </row>
    <row r="37" spans="1:26" s="53" customFormat="1" ht="30" customHeight="1" x14ac:dyDescent="0.2">
      <c r="A37" s="41">
        <v>86</v>
      </c>
      <c r="B37" s="42" t="str">
        <f t="shared" si="2"/>
        <v>1.3.06a</v>
      </c>
      <c r="C37" s="43">
        <f t="shared" si="3"/>
        <v>6</v>
      </c>
      <c r="D37" s="3"/>
      <c r="E37" s="44"/>
      <c r="F37" s="89"/>
      <c r="G37" s="45"/>
      <c r="H37" s="69" t="str">
        <f>IF(ISERROR(VLOOKUP(Y37,detail_maturity_score,3,FALSE)*VLOOKUP(#REF!,weighting_scores,2,FALSE)),"",VLOOKUP(Y37,detail_maturity_score,3,FALSE)*VLOOKUP(#REF!,weighting_scores,2,FALSE))</f>
        <v/>
      </c>
      <c r="I37" s="132"/>
      <c r="J37" s="43"/>
      <c r="K37" s="43"/>
      <c r="L37" s="43"/>
      <c r="M37" s="43"/>
      <c r="N37" s="43"/>
      <c r="O37" s="43"/>
      <c r="P37" s="43"/>
      <c r="Q37" s="43"/>
      <c r="R37" s="57"/>
      <c r="S37" s="43"/>
      <c r="T37" s="43"/>
      <c r="U37" s="80"/>
      <c r="V37" s="84"/>
      <c r="W37" s="80"/>
      <c r="X37" s="65"/>
      <c r="Y37" s="59">
        <v>1</v>
      </c>
      <c r="Z37" s="59" t="str">
        <f>VLOOKUP(Y37,detail_maturity_score,3,FALSE)</f>
        <v/>
      </c>
    </row>
    <row r="38" spans="1:26" s="53" customFormat="1" ht="16" x14ac:dyDescent="0.2">
      <c r="A38" s="41">
        <v>87</v>
      </c>
      <c r="B38" s="42" t="str">
        <f t="shared" si="2"/>
        <v>1.3.06b</v>
      </c>
      <c r="C38" s="43">
        <f t="shared" si="3"/>
        <v>6</v>
      </c>
      <c r="D38" s="3"/>
      <c r="E38" s="44"/>
      <c r="F38" s="89"/>
      <c r="G38" s="45"/>
      <c r="H38" s="69" t="str">
        <f>IF(ISERROR(VLOOKUP(Y38,detail_maturity_score,3,FALSE)*VLOOKUP(#REF!,weighting_scores,2,FALSE)),"",VLOOKUP(Y38,detail_maturity_score,3,FALSE)*VLOOKUP(#REF!,weighting_scores,2,FALSE))</f>
        <v/>
      </c>
      <c r="I38" s="132"/>
      <c r="J38" s="43"/>
      <c r="K38" s="43"/>
      <c r="L38" s="43"/>
      <c r="M38" s="43"/>
      <c r="N38" s="43"/>
      <c r="O38" s="43"/>
      <c r="P38" s="43"/>
      <c r="Q38" s="43"/>
      <c r="R38" s="57"/>
      <c r="S38" s="43"/>
      <c r="T38" s="43"/>
      <c r="U38" s="80"/>
      <c r="V38" s="84"/>
      <c r="W38" s="80"/>
      <c r="X38" s="65"/>
      <c r="Y38" s="59">
        <v>1</v>
      </c>
      <c r="Z38" s="59" t="str">
        <f>VLOOKUP(Y38,detail_maturity_score,3,FALSE)</f>
        <v/>
      </c>
    </row>
    <row r="39" spans="1:26" s="53" customFormat="1" ht="30" customHeight="1" x14ac:dyDescent="0.2">
      <c r="A39" s="41">
        <v>88</v>
      </c>
      <c r="B39" s="42" t="str">
        <f t="shared" si="2"/>
        <v>1.3.06c</v>
      </c>
      <c r="C39" s="43">
        <f t="shared" si="3"/>
        <v>6</v>
      </c>
      <c r="D39" s="3"/>
      <c r="E39" s="44"/>
      <c r="F39" s="89"/>
      <c r="G39" s="45"/>
      <c r="H39" s="69" t="str">
        <f>IF(ISERROR(VLOOKUP(Y39,detail_maturity_score,3,FALSE)*VLOOKUP(#REF!,weighting_scores,2,FALSE)),"",VLOOKUP(Y39,detail_maturity_score,3,FALSE)*VLOOKUP(#REF!,weighting_scores,2,FALSE))</f>
        <v/>
      </c>
      <c r="I39" s="132"/>
      <c r="J39" s="43"/>
      <c r="K39" s="43"/>
      <c r="L39" s="43"/>
      <c r="M39" s="43"/>
      <c r="N39" s="43"/>
      <c r="O39" s="43"/>
      <c r="P39" s="43"/>
      <c r="Q39" s="43"/>
      <c r="R39" s="57"/>
      <c r="S39" s="43"/>
      <c r="T39" s="43"/>
      <c r="U39" s="80"/>
      <c r="V39" s="84"/>
      <c r="W39" s="80"/>
      <c r="X39" s="65"/>
      <c r="Y39" s="59">
        <v>1</v>
      </c>
      <c r="Z39" s="59" t="str">
        <f>VLOOKUP(Y39,detail_maturity_score,3,FALSE)</f>
        <v/>
      </c>
    </row>
    <row r="40" spans="1:26" s="55" customFormat="1" x14ac:dyDescent="0.2">
      <c r="A40" s="27">
        <v>89</v>
      </c>
      <c r="B40" s="28" t="str">
        <f t="shared" si="2"/>
        <v>1.3.07</v>
      </c>
      <c r="C40" s="29">
        <f t="shared" si="3"/>
        <v>4</v>
      </c>
      <c r="D40" s="3"/>
      <c r="E40" s="30"/>
      <c r="F40" s="31"/>
      <c r="G40" s="45"/>
      <c r="H40" s="67" t="str">
        <f>IF(ISERROR(VLOOKUP(Y40,detail_maturity_score,3,FALSE)*VLOOKUP(#REF!,weighting_scores,2,FALSE)),"",VLOOKUP(Y40,detail_maturity_score,3,FALSE)*VLOOKUP(#REF!,weighting_scores,2,FALSE))</f>
        <v/>
      </c>
      <c r="I40" s="133"/>
      <c r="J40" s="29"/>
      <c r="K40" s="29"/>
      <c r="L40" s="29"/>
      <c r="M40" s="29"/>
      <c r="N40" s="29"/>
      <c r="O40" s="29"/>
      <c r="P40" s="29"/>
      <c r="Q40" s="29"/>
      <c r="R40" s="57"/>
      <c r="S40" s="29"/>
      <c r="T40" s="29"/>
      <c r="U40" s="81"/>
      <c r="V40" s="85"/>
      <c r="W40" s="81"/>
      <c r="X40" s="64"/>
      <c r="Y40" s="59"/>
      <c r="Z40" s="59"/>
    </row>
    <row r="41" spans="1:26" s="55" customFormat="1" ht="16" x14ac:dyDescent="0.2">
      <c r="A41" s="27">
        <v>90</v>
      </c>
      <c r="B41" s="28" t="str">
        <f t="shared" si="2"/>
        <v>1.3.07a</v>
      </c>
      <c r="C41" s="29">
        <f t="shared" si="3"/>
        <v>6</v>
      </c>
      <c r="D41" s="3"/>
      <c r="E41" s="30"/>
      <c r="F41" s="36"/>
      <c r="G41" s="45"/>
      <c r="H41" s="67" t="str">
        <f>IF(ISERROR(VLOOKUP(Y41,detail_maturity_score,3,FALSE)*VLOOKUP(#REF!,weighting_scores,2,FALSE)),"",VLOOKUP(Y41,detail_maturity_score,3,FALSE)*VLOOKUP(#REF!,weighting_scores,2,FALSE))</f>
        <v/>
      </c>
      <c r="I41" s="133"/>
      <c r="J41" s="29"/>
      <c r="K41" s="29"/>
      <c r="L41" s="29"/>
      <c r="M41" s="29"/>
      <c r="N41" s="29"/>
      <c r="O41" s="29"/>
      <c r="P41" s="29"/>
      <c r="Q41" s="29"/>
      <c r="R41" s="57"/>
      <c r="S41" s="29"/>
      <c r="T41" s="29"/>
      <c r="U41" s="81"/>
      <c r="V41" s="85"/>
      <c r="W41" s="81"/>
      <c r="X41" s="64"/>
      <c r="Y41" s="59">
        <v>1</v>
      </c>
      <c r="Z41" s="59" t="str">
        <f t="shared" ref="Z41:Z47" si="4">VLOOKUP(Y41,detail_maturity_score,3,FALSE)</f>
        <v/>
      </c>
    </row>
    <row r="42" spans="1:26" s="55" customFormat="1" ht="30" customHeight="1" x14ac:dyDescent="0.2">
      <c r="A42" s="27">
        <v>91</v>
      </c>
      <c r="B42" s="28" t="str">
        <f t="shared" si="2"/>
        <v>1.3.07b</v>
      </c>
      <c r="C42" s="29">
        <f t="shared" si="3"/>
        <v>6</v>
      </c>
      <c r="D42" s="3"/>
      <c r="E42" s="30"/>
      <c r="F42" s="36"/>
      <c r="G42" s="45"/>
      <c r="H42" s="67" t="str">
        <f>IF(ISERROR(VLOOKUP(Y42,detail_maturity_score,3,FALSE)*VLOOKUP(#REF!,weighting_scores,2,FALSE)),"",VLOOKUP(Y42,detail_maturity_score,3,FALSE)*VLOOKUP(#REF!,weighting_scores,2,FALSE))</f>
        <v/>
      </c>
      <c r="I42" s="133"/>
      <c r="J42" s="29"/>
      <c r="K42" s="29"/>
      <c r="L42" s="29"/>
      <c r="M42" s="29"/>
      <c r="N42" s="29"/>
      <c r="O42" s="29"/>
      <c r="P42" s="29"/>
      <c r="Q42" s="29"/>
      <c r="R42" s="57"/>
      <c r="S42" s="29"/>
      <c r="T42" s="29"/>
      <c r="U42" s="81"/>
      <c r="V42" s="85"/>
      <c r="W42" s="81"/>
      <c r="X42" s="64"/>
      <c r="Y42" s="59">
        <v>1</v>
      </c>
      <c r="Z42" s="59" t="str">
        <f t="shared" si="4"/>
        <v/>
      </c>
    </row>
    <row r="43" spans="1:26" s="55" customFormat="1" ht="30" customHeight="1" x14ac:dyDescent="0.2">
      <c r="A43" s="27">
        <v>92</v>
      </c>
      <c r="B43" s="28" t="str">
        <f t="shared" si="2"/>
        <v>1.3.07c</v>
      </c>
      <c r="C43" s="29">
        <f t="shared" si="3"/>
        <v>6</v>
      </c>
      <c r="D43" s="3"/>
      <c r="E43" s="30"/>
      <c r="F43" s="36"/>
      <c r="G43" s="45"/>
      <c r="H43" s="67" t="str">
        <f>IF(ISERROR(VLOOKUP(Y43,detail_maturity_score,3,FALSE)*VLOOKUP(#REF!,weighting_scores,2,FALSE)),"",VLOOKUP(Y43,detail_maturity_score,3,FALSE)*VLOOKUP(#REF!,weighting_scores,2,FALSE))</f>
        <v/>
      </c>
      <c r="I43" s="133"/>
      <c r="J43" s="29"/>
      <c r="K43" s="29"/>
      <c r="L43" s="29"/>
      <c r="M43" s="29"/>
      <c r="N43" s="29"/>
      <c r="O43" s="29"/>
      <c r="P43" s="29"/>
      <c r="Q43" s="29"/>
      <c r="R43" s="57"/>
      <c r="S43" s="29"/>
      <c r="T43" s="29"/>
      <c r="U43" s="81"/>
      <c r="V43" s="85"/>
      <c r="W43" s="81"/>
      <c r="X43" s="64"/>
      <c r="Y43" s="59">
        <v>1</v>
      </c>
      <c r="Z43" s="59" t="str">
        <f t="shared" si="4"/>
        <v/>
      </c>
    </row>
    <row r="44" spans="1:26" s="55" customFormat="1" ht="30" customHeight="1" x14ac:dyDescent="0.2">
      <c r="A44" s="27">
        <v>93</v>
      </c>
      <c r="B44" s="28" t="str">
        <f t="shared" si="2"/>
        <v>1.3.07d</v>
      </c>
      <c r="C44" s="29">
        <f t="shared" si="3"/>
        <v>6</v>
      </c>
      <c r="D44" s="3"/>
      <c r="E44" s="30"/>
      <c r="F44" s="36"/>
      <c r="G44" s="45"/>
      <c r="H44" s="67" t="str">
        <f>IF(ISERROR(VLOOKUP(Y44,detail_maturity_score,3,FALSE)*VLOOKUP(#REF!,weighting_scores,2,FALSE)),"",VLOOKUP(Y44,detail_maturity_score,3,FALSE)*VLOOKUP(#REF!,weighting_scores,2,FALSE))</f>
        <v/>
      </c>
      <c r="I44" s="133"/>
      <c r="J44" s="29"/>
      <c r="K44" s="29"/>
      <c r="L44" s="29"/>
      <c r="M44" s="29"/>
      <c r="N44" s="29"/>
      <c r="O44" s="29"/>
      <c r="P44" s="29"/>
      <c r="Q44" s="29"/>
      <c r="R44" s="57"/>
      <c r="S44" s="29"/>
      <c r="T44" s="29"/>
      <c r="U44" s="81"/>
      <c r="V44" s="85"/>
      <c r="W44" s="81"/>
      <c r="X44" s="64"/>
      <c r="Y44" s="59">
        <v>1</v>
      </c>
      <c r="Z44" s="59" t="str">
        <f t="shared" si="4"/>
        <v/>
      </c>
    </row>
    <row r="45" spans="1:26" s="55" customFormat="1" ht="30" customHeight="1" x14ac:dyDescent="0.2">
      <c r="A45" s="27">
        <v>94</v>
      </c>
      <c r="B45" s="28" t="str">
        <f t="shared" si="2"/>
        <v>1.3.07e</v>
      </c>
      <c r="C45" s="29">
        <f t="shared" si="3"/>
        <v>6</v>
      </c>
      <c r="D45" s="3"/>
      <c r="E45" s="30"/>
      <c r="F45" s="36"/>
      <c r="G45" s="45"/>
      <c r="H45" s="67" t="str">
        <f>IF(ISERROR(VLOOKUP(Y45,detail_maturity_score,3,FALSE)*VLOOKUP(#REF!,weighting_scores,2,FALSE)),"",VLOOKUP(Y45,detail_maturity_score,3,FALSE)*VLOOKUP(#REF!,weighting_scores,2,FALSE))</f>
        <v/>
      </c>
      <c r="I45" s="133"/>
      <c r="J45" s="29"/>
      <c r="K45" s="29"/>
      <c r="L45" s="29"/>
      <c r="M45" s="29"/>
      <c r="N45" s="29"/>
      <c r="O45" s="29"/>
      <c r="P45" s="29"/>
      <c r="Q45" s="29"/>
      <c r="R45" s="57"/>
      <c r="S45" s="29"/>
      <c r="T45" s="29"/>
      <c r="U45" s="81"/>
      <c r="V45" s="85"/>
      <c r="W45" s="81"/>
      <c r="X45" s="64"/>
      <c r="Y45" s="59">
        <v>1</v>
      </c>
      <c r="Z45" s="59" t="str">
        <f t="shared" si="4"/>
        <v/>
      </c>
    </row>
    <row r="46" spans="1:26" s="55" customFormat="1" ht="30" customHeight="1" x14ac:dyDescent="0.2">
      <c r="A46" s="27">
        <v>95</v>
      </c>
      <c r="B46" s="28" t="str">
        <f t="shared" si="2"/>
        <v>1.3.07f</v>
      </c>
      <c r="C46" s="29">
        <f t="shared" si="3"/>
        <v>6</v>
      </c>
      <c r="D46" s="3"/>
      <c r="E46" s="30"/>
      <c r="F46" s="36"/>
      <c r="G46" s="45"/>
      <c r="H46" s="67" t="str">
        <f>IF(ISERROR(VLOOKUP(Y46,detail_maturity_score,3,FALSE)*VLOOKUP(#REF!,weighting_scores,2,FALSE)),"",VLOOKUP(Y46,detail_maturity_score,3,FALSE)*VLOOKUP(#REF!,weighting_scores,2,FALSE))</f>
        <v/>
      </c>
      <c r="I46" s="133"/>
      <c r="J46" s="29"/>
      <c r="K46" s="29"/>
      <c r="L46" s="29"/>
      <c r="M46" s="29"/>
      <c r="N46" s="29"/>
      <c r="O46" s="29"/>
      <c r="P46" s="29"/>
      <c r="Q46" s="29"/>
      <c r="R46" s="57"/>
      <c r="S46" s="29"/>
      <c r="T46" s="29"/>
      <c r="U46" s="81"/>
      <c r="V46" s="85"/>
      <c r="W46" s="81"/>
      <c r="X46" s="64"/>
      <c r="Y46" s="59">
        <v>1</v>
      </c>
      <c r="Z46" s="59" t="str">
        <f t="shared" si="4"/>
        <v/>
      </c>
    </row>
    <row r="47" spans="1:26" s="55" customFormat="1" ht="16" x14ac:dyDescent="0.2">
      <c r="A47" s="27">
        <v>96</v>
      </c>
      <c r="B47" s="28" t="str">
        <f t="shared" si="2"/>
        <v>1.3.08</v>
      </c>
      <c r="C47" s="29">
        <f t="shared" si="3"/>
        <v>5</v>
      </c>
      <c r="D47" s="3"/>
      <c r="E47" s="30"/>
      <c r="F47" s="31"/>
      <c r="G47" s="45"/>
      <c r="H47" s="67" t="str">
        <f>IF(ISERROR(VLOOKUP(Y47,detail_maturity_score,3,FALSE)*VLOOKUP(#REF!,weighting_scores,2,FALSE)),"",VLOOKUP(Y47,detail_maturity_score,3,FALSE)*VLOOKUP(#REF!,weighting_scores,2,FALSE))</f>
        <v/>
      </c>
      <c r="I47" s="133"/>
      <c r="J47" s="29"/>
      <c r="K47" s="29"/>
      <c r="L47" s="29"/>
      <c r="M47" s="29"/>
      <c r="N47" s="29"/>
      <c r="O47" s="29"/>
      <c r="P47" s="29"/>
      <c r="Q47" s="29"/>
      <c r="R47" s="57"/>
      <c r="S47" s="29"/>
      <c r="T47" s="29"/>
      <c r="U47" s="81"/>
      <c r="V47" s="85"/>
      <c r="W47" s="81"/>
      <c r="X47" s="92"/>
      <c r="Y47" s="59">
        <v>1</v>
      </c>
      <c r="Z47" s="59" t="str">
        <f t="shared" si="4"/>
        <v/>
      </c>
    </row>
    <row r="48" spans="1:26" s="55" customFormat="1" ht="30" customHeight="1" x14ac:dyDescent="0.2">
      <c r="A48" s="27">
        <v>97</v>
      </c>
      <c r="B48" s="28" t="str">
        <f t="shared" si="2"/>
        <v>1.3.09</v>
      </c>
      <c r="C48" s="29">
        <f t="shared" si="3"/>
        <v>4</v>
      </c>
      <c r="D48" s="3"/>
      <c r="E48" s="30"/>
      <c r="F48" s="31"/>
      <c r="G48" s="45"/>
      <c r="H48" s="67" t="str">
        <f>IF(ISERROR(VLOOKUP(Y48,detail_maturity_score,3,FALSE)*VLOOKUP(#REF!,weighting_scores,2,FALSE)),"",VLOOKUP(Y48,detail_maturity_score,3,FALSE)*VLOOKUP(#REF!,weighting_scores,2,FALSE))</f>
        <v/>
      </c>
      <c r="I48" s="133"/>
      <c r="J48" s="29"/>
      <c r="K48" s="29"/>
      <c r="L48" s="29"/>
      <c r="M48" s="29"/>
      <c r="N48" s="29"/>
      <c r="O48" s="29"/>
      <c r="P48" s="29"/>
      <c r="Q48" s="29"/>
      <c r="R48" s="57"/>
      <c r="S48" s="29"/>
      <c r="T48" s="29"/>
      <c r="U48" s="81"/>
      <c r="V48" s="85"/>
      <c r="W48" s="81"/>
      <c r="X48" s="64"/>
      <c r="Y48" s="59"/>
      <c r="Z48" s="59"/>
    </row>
    <row r="49" spans="1:26" s="55" customFormat="1" ht="16" x14ac:dyDescent="0.2">
      <c r="A49" s="27">
        <v>98</v>
      </c>
      <c r="B49" s="28" t="str">
        <f t="shared" si="2"/>
        <v>1.3.09a</v>
      </c>
      <c r="C49" s="29">
        <f t="shared" si="3"/>
        <v>6</v>
      </c>
      <c r="D49" s="3"/>
      <c r="E49" s="30"/>
      <c r="F49" s="36"/>
      <c r="G49" s="45"/>
      <c r="H49" s="67" t="str">
        <f>IF(ISERROR(VLOOKUP(Y49,detail_maturity_score,3,FALSE)*VLOOKUP(#REF!,weighting_scores,2,FALSE)),"",VLOOKUP(Y49,detail_maturity_score,3,FALSE)*VLOOKUP(#REF!,weighting_scores,2,FALSE))</f>
        <v/>
      </c>
      <c r="I49" s="133"/>
      <c r="J49" s="29"/>
      <c r="K49" s="29"/>
      <c r="L49" s="29"/>
      <c r="M49" s="29"/>
      <c r="N49" s="29"/>
      <c r="O49" s="29"/>
      <c r="P49" s="29"/>
      <c r="Q49" s="29"/>
      <c r="R49" s="57"/>
      <c r="S49" s="29"/>
      <c r="T49" s="29"/>
      <c r="U49" s="81"/>
      <c r="V49" s="85"/>
      <c r="W49" s="81"/>
      <c r="X49" s="64"/>
      <c r="Y49" s="59">
        <v>1</v>
      </c>
      <c r="Z49" s="59" t="str">
        <f>VLOOKUP(Y49,detail_maturity_score,3,FALSE)</f>
        <v/>
      </c>
    </row>
    <row r="50" spans="1:26" s="55" customFormat="1" ht="16" x14ac:dyDescent="0.2">
      <c r="A50" s="27">
        <v>99</v>
      </c>
      <c r="B50" s="28" t="str">
        <f t="shared" si="2"/>
        <v>1.3.09b</v>
      </c>
      <c r="C50" s="29">
        <f t="shared" si="3"/>
        <v>6</v>
      </c>
      <c r="D50" s="3"/>
      <c r="E50" s="30"/>
      <c r="F50" s="36"/>
      <c r="G50" s="45"/>
      <c r="H50" s="67" t="str">
        <f>IF(ISERROR(VLOOKUP(Y50,detail_maturity_score,3,FALSE)*VLOOKUP(#REF!,weighting_scores,2,FALSE)),"",VLOOKUP(Y50,detail_maturity_score,3,FALSE)*VLOOKUP(#REF!,weighting_scores,2,FALSE))</f>
        <v/>
      </c>
      <c r="I50" s="133"/>
      <c r="J50" s="29"/>
      <c r="K50" s="29"/>
      <c r="L50" s="29"/>
      <c r="M50" s="29"/>
      <c r="N50" s="29"/>
      <c r="O50" s="29"/>
      <c r="P50" s="29"/>
      <c r="Q50" s="29"/>
      <c r="R50" s="57"/>
      <c r="S50" s="29"/>
      <c r="T50" s="29"/>
      <c r="U50" s="81"/>
      <c r="V50" s="85"/>
      <c r="W50" s="81"/>
      <c r="X50" s="64"/>
      <c r="Y50" s="59">
        <v>1</v>
      </c>
      <c r="Z50" s="59" t="str">
        <f>VLOOKUP(Y50,detail_maturity_score,3,FALSE)</f>
        <v/>
      </c>
    </row>
    <row r="51" spans="1:26" s="55" customFormat="1" ht="16" x14ac:dyDescent="0.2">
      <c r="A51" s="27">
        <v>100</v>
      </c>
      <c r="B51" s="28" t="str">
        <f t="shared" si="2"/>
        <v>1.3.09c</v>
      </c>
      <c r="C51" s="29">
        <f t="shared" si="3"/>
        <v>6</v>
      </c>
      <c r="D51" s="3"/>
      <c r="E51" s="30"/>
      <c r="F51" s="36"/>
      <c r="G51" s="45"/>
      <c r="H51" s="67" t="str">
        <f>IF(ISERROR(VLOOKUP(Y51,detail_maturity_score,3,FALSE)*VLOOKUP(#REF!,weighting_scores,2,FALSE)),"",VLOOKUP(Y51,detail_maturity_score,3,FALSE)*VLOOKUP(#REF!,weighting_scores,2,FALSE))</f>
        <v/>
      </c>
      <c r="I51" s="133"/>
      <c r="J51" s="29"/>
      <c r="K51" s="29"/>
      <c r="L51" s="29"/>
      <c r="M51" s="29"/>
      <c r="N51" s="29"/>
      <c r="O51" s="29"/>
      <c r="P51" s="29"/>
      <c r="Q51" s="29"/>
      <c r="R51" s="57"/>
      <c r="S51" s="29"/>
      <c r="T51" s="29"/>
      <c r="U51" s="81"/>
      <c r="V51" s="85"/>
      <c r="W51" s="81"/>
      <c r="X51" s="64"/>
      <c r="Y51" s="59">
        <v>1</v>
      </c>
      <c r="Z51" s="59" t="str">
        <f>VLOOKUP(Y51,detail_maturity_score,3,FALSE)</f>
        <v/>
      </c>
    </row>
    <row r="52" spans="1:26" s="55" customFormat="1" ht="16" x14ac:dyDescent="0.2">
      <c r="A52" s="27">
        <v>101</v>
      </c>
      <c r="B52" s="28" t="str">
        <f t="shared" si="2"/>
        <v>1.3.09d</v>
      </c>
      <c r="C52" s="29">
        <f t="shared" si="3"/>
        <v>6</v>
      </c>
      <c r="D52" s="3"/>
      <c r="E52" s="30"/>
      <c r="F52" s="36"/>
      <c r="G52" s="45"/>
      <c r="H52" s="67" t="str">
        <f>IF(ISERROR(VLOOKUP(Y52,detail_maturity_score,3,FALSE)*VLOOKUP(#REF!,weighting_scores,2,FALSE)),"",VLOOKUP(Y52,detail_maturity_score,3,FALSE)*VLOOKUP(#REF!,weighting_scores,2,FALSE))</f>
        <v/>
      </c>
      <c r="I52" s="133"/>
      <c r="J52" s="29"/>
      <c r="K52" s="29"/>
      <c r="L52" s="29"/>
      <c r="M52" s="29"/>
      <c r="N52" s="29"/>
      <c r="O52" s="29"/>
      <c r="P52" s="29"/>
      <c r="Q52" s="29"/>
      <c r="R52" s="57"/>
      <c r="S52" s="29"/>
      <c r="T52" s="29"/>
      <c r="U52" s="81"/>
      <c r="V52" s="85"/>
      <c r="W52" s="81"/>
      <c r="X52" s="64"/>
      <c r="Y52" s="59">
        <v>1</v>
      </c>
      <c r="Z52" s="59" t="str">
        <f>VLOOKUP(Y52,detail_maturity_score,3,FALSE)</f>
        <v/>
      </c>
    </row>
    <row r="53" spans="1:26" s="55" customFormat="1" ht="16" x14ac:dyDescent="0.2">
      <c r="A53" s="27">
        <v>102</v>
      </c>
      <c r="B53" s="28" t="str">
        <f t="shared" si="2"/>
        <v>1.3.09e</v>
      </c>
      <c r="C53" s="29">
        <f t="shared" si="3"/>
        <v>6</v>
      </c>
      <c r="D53" s="3"/>
      <c r="E53" s="30"/>
      <c r="F53" s="36"/>
      <c r="G53" s="45"/>
      <c r="H53" s="67" t="str">
        <f>IF(ISERROR(VLOOKUP(Y53,detail_maturity_score,3,FALSE)*VLOOKUP(#REF!,weighting_scores,2,FALSE)),"",VLOOKUP(Y53,detail_maturity_score,3,FALSE)*VLOOKUP(#REF!,weighting_scores,2,FALSE))</f>
        <v/>
      </c>
      <c r="I53" s="133"/>
      <c r="J53" s="29"/>
      <c r="K53" s="29"/>
      <c r="L53" s="29"/>
      <c r="M53" s="29"/>
      <c r="N53" s="29"/>
      <c r="O53" s="29"/>
      <c r="P53" s="29"/>
      <c r="Q53" s="29"/>
      <c r="R53" s="57"/>
      <c r="S53" s="29"/>
      <c r="T53" s="29"/>
      <c r="U53" s="81"/>
      <c r="V53" s="85"/>
      <c r="W53" s="81"/>
      <c r="X53" s="64"/>
      <c r="Y53" s="59">
        <v>1</v>
      </c>
      <c r="Z53" s="59" t="str">
        <f>VLOOKUP(Y53,detail_maturity_score,3,FALSE)</f>
        <v/>
      </c>
    </row>
    <row r="54" spans="1:26" s="55" customFormat="1" ht="18.75" customHeight="1" x14ac:dyDescent="0.2">
      <c r="A54" s="29">
        <v>103</v>
      </c>
      <c r="B54" s="29" t="str">
        <f t="shared" si="2"/>
        <v/>
      </c>
      <c r="C54" s="29">
        <f t="shared" si="3"/>
        <v>3</v>
      </c>
      <c r="D54" s="3"/>
      <c r="E54" s="34"/>
      <c r="F54" s="35"/>
      <c r="G54" s="43"/>
      <c r="H54" s="67" t="str">
        <f>IF(ISERROR(VLOOKUP(Y54,detail_maturity_score,3,FALSE)*VLOOKUP(#REF!,weighting_scores,2,FALSE)),"",VLOOKUP(Y54,detail_maturity_score,3,FALSE)*VLOOKUP(#REF!,weighting_scores,2,FALSE))</f>
        <v/>
      </c>
      <c r="I54" s="133"/>
      <c r="J54" s="29"/>
      <c r="K54" s="29"/>
      <c r="L54" s="29"/>
      <c r="M54" s="29"/>
      <c r="N54" s="29"/>
      <c r="O54" s="29"/>
      <c r="P54" s="29"/>
      <c r="Q54" s="29"/>
      <c r="R54" s="57"/>
      <c r="S54" s="29"/>
      <c r="T54" s="29"/>
      <c r="U54" s="81"/>
      <c r="V54" s="81"/>
      <c r="W54" s="81"/>
      <c r="X54" s="64"/>
      <c r="Y54" s="59"/>
      <c r="Z54" s="59"/>
    </row>
    <row r="55" spans="1:26" s="55" customFormat="1" ht="30" customHeight="1" x14ac:dyDescent="0.2">
      <c r="A55" s="27">
        <v>104</v>
      </c>
      <c r="B55" s="28" t="str">
        <f t="shared" si="2"/>
        <v>1.3.10</v>
      </c>
      <c r="C55" s="29">
        <f t="shared" si="3"/>
        <v>4</v>
      </c>
      <c r="D55" s="3"/>
      <c r="E55" s="30"/>
      <c r="F55" s="31"/>
      <c r="G55" s="45"/>
      <c r="H55" s="67" t="str">
        <f>IF(ISERROR(VLOOKUP(Y55,detail_maturity_score,3,FALSE)*VLOOKUP(#REF!,weighting_scores,2,FALSE)),"",VLOOKUP(Y55,detail_maturity_score,3,FALSE)*VLOOKUP(#REF!,weighting_scores,2,FALSE))</f>
        <v/>
      </c>
      <c r="I55" s="133"/>
      <c r="J55" s="29"/>
      <c r="K55" s="29"/>
      <c r="L55" s="29"/>
      <c r="M55" s="29"/>
      <c r="N55" s="29"/>
      <c r="O55" s="29"/>
      <c r="P55" s="29"/>
      <c r="Q55" s="29"/>
      <c r="R55" s="57"/>
      <c r="S55" s="29"/>
      <c r="T55" s="29"/>
      <c r="U55" s="81"/>
      <c r="V55" s="85"/>
      <c r="W55" s="81"/>
      <c r="X55" s="64"/>
      <c r="Y55" s="59"/>
      <c r="Z55" s="59"/>
    </row>
    <row r="56" spans="1:26" s="55" customFormat="1" ht="16" x14ac:dyDescent="0.2">
      <c r="A56" s="27">
        <v>105</v>
      </c>
      <c r="B56" s="28" t="str">
        <f t="shared" si="2"/>
        <v>1.3.10a</v>
      </c>
      <c r="C56" s="29">
        <f t="shared" si="3"/>
        <v>6</v>
      </c>
      <c r="D56" s="3"/>
      <c r="E56" s="30"/>
      <c r="F56" s="36"/>
      <c r="G56" s="45"/>
      <c r="H56" s="67" t="str">
        <f>IF(ISERROR(VLOOKUP(Y56,detail_maturity_score,3,FALSE)*VLOOKUP(#REF!,weighting_scores,2,FALSE)),"",VLOOKUP(Y56,detail_maturity_score,3,FALSE)*VLOOKUP(#REF!,weighting_scores,2,FALSE))</f>
        <v/>
      </c>
      <c r="I56" s="133"/>
      <c r="J56" s="29"/>
      <c r="K56" s="29"/>
      <c r="L56" s="29"/>
      <c r="M56" s="29"/>
      <c r="N56" s="29"/>
      <c r="O56" s="29"/>
      <c r="P56" s="29"/>
      <c r="Q56" s="29"/>
      <c r="R56" s="57"/>
      <c r="S56" s="29"/>
      <c r="T56" s="29"/>
      <c r="U56" s="81"/>
      <c r="V56" s="85"/>
      <c r="W56" s="81"/>
      <c r="X56" s="64"/>
      <c r="Y56" s="59">
        <v>1</v>
      </c>
      <c r="Z56" s="59" t="str">
        <f>VLOOKUP(Y56,detail_maturity_score,3,FALSE)</f>
        <v/>
      </c>
    </row>
    <row r="57" spans="1:26" s="55" customFormat="1" ht="30" customHeight="1" x14ac:dyDescent="0.2">
      <c r="A57" s="27">
        <v>106</v>
      </c>
      <c r="B57" s="28" t="str">
        <f t="shared" si="2"/>
        <v>1.3.10b</v>
      </c>
      <c r="C57" s="29">
        <f t="shared" si="3"/>
        <v>6</v>
      </c>
      <c r="D57" s="3"/>
      <c r="E57" s="30"/>
      <c r="F57" s="36"/>
      <c r="G57" s="45"/>
      <c r="H57" s="67" t="str">
        <f>IF(ISERROR(VLOOKUP(Y57,detail_maturity_score,3,FALSE)*VLOOKUP(#REF!,weighting_scores,2,FALSE)),"",VLOOKUP(Y57,detail_maturity_score,3,FALSE)*VLOOKUP(#REF!,weighting_scores,2,FALSE))</f>
        <v/>
      </c>
      <c r="I57" s="133"/>
      <c r="J57" s="29"/>
      <c r="K57" s="29"/>
      <c r="L57" s="29"/>
      <c r="M57" s="29"/>
      <c r="N57" s="29"/>
      <c r="O57" s="29"/>
      <c r="P57" s="29"/>
      <c r="Q57" s="29"/>
      <c r="R57" s="57"/>
      <c r="S57" s="29"/>
      <c r="T57" s="29"/>
      <c r="U57" s="81"/>
      <c r="V57" s="85"/>
      <c r="W57" s="81"/>
      <c r="X57" s="64"/>
      <c r="Y57" s="59">
        <v>1</v>
      </c>
      <c r="Z57" s="59" t="str">
        <f>VLOOKUP(Y57,detail_maturity_score,3,FALSE)</f>
        <v/>
      </c>
    </row>
    <row r="58" spans="1:26" s="55" customFormat="1" ht="30" customHeight="1" x14ac:dyDescent="0.2">
      <c r="A58" s="27">
        <v>107</v>
      </c>
      <c r="B58" s="28" t="str">
        <f t="shared" si="2"/>
        <v>1.3.10c</v>
      </c>
      <c r="C58" s="29">
        <f t="shared" si="3"/>
        <v>6</v>
      </c>
      <c r="D58" s="3"/>
      <c r="E58" s="30"/>
      <c r="F58" s="36"/>
      <c r="G58" s="45"/>
      <c r="H58" s="67" t="str">
        <f>IF(ISERROR(VLOOKUP(Y58,detail_maturity_score,3,FALSE)*VLOOKUP(#REF!,weighting_scores,2,FALSE)),"",VLOOKUP(Y58,detail_maturity_score,3,FALSE)*VLOOKUP(#REF!,weighting_scores,2,FALSE))</f>
        <v/>
      </c>
      <c r="I58" s="133"/>
      <c r="J58" s="29"/>
      <c r="K58" s="29"/>
      <c r="L58" s="29"/>
      <c r="M58" s="29"/>
      <c r="N58" s="29"/>
      <c r="O58" s="29"/>
      <c r="P58" s="29"/>
      <c r="Q58" s="29"/>
      <c r="R58" s="57"/>
      <c r="S58" s="29"/>
      <c r="T58" s="29"/>
      <c r="U58" s="81"/>
      <c r="V58" s="85"/>
      <c r="W58" s="81"/>
      <c r="X58" s="64"/>
      <c r="Y58" s="59">
        <v>1</v>
      </c>
      <c r="Z58" s="59" t="str">
        <f>VLOOKUP(Y58,detail_maturity_score,3,FALSE)</f>
        <v/>
      </c>
    </row>
    <row r="59" spans="1:26" s="55" customFormat="1" ht="30" customHeight="1" x14ac:dyDescent="0.2">
      <c r="A59" s="27">
        <v>108</v>
      </c>
      <c r="B59" s="28" t="str">
        <f t="shared" si="2"/>
        <v>1.3.11</v>
      </c>
      <c r="C59" s="29">
        <f t="shared" si="3"/>
        <v>4</v>
      </c>
      <c r="D59" s="3"/>
      <c r="E59" s="30"/>
      <c r="F59" s="31"/>
      <c r="G59" s="45"/>
      <c r="H59" s="67" t="str">
        <f>IF(ISERROR(VLOOKUP(Y59,detail_maturity_score,3,FALSE)*VLOOKUP(#REF!,weighting_scores,2,FALSE)),"",VLOOKUP(Y59,detail_maturity_score,3,FALSE)*VLOOKUP(#REF!,weighting_scores,2,FALSE))</f>
        <v/>
      </c>
      <c r="I59" s="133"/>
      <c r="J59" s="29"/>
      <c r="K59" s="29"/>
      <c r="L59" s="29"/>
      <c r="M59" s="29"/>
      <c r="N59" s="29"/>
      <c r="O59" s="29"/>
      <c r="P59" s="29"/>
      <c r="Q59" s="29"/>
      <c r="R59" s="57"/>
      <c r="S59" s="29"/>
      <c r="T59" s="29"/>
      <c r="U59" s="81"/>
      <c r="V59" s="85"/>
      <c r="W59" s="81"/>
      <c r="X59" s="64"/>
      <c r="Y59" s="59"/>
      <c r="Z59" s="59"/>
    </row>
    <row r="60" spans="1:26" s="55" customFormat="1" ht="16" x14ac:dyDescent="0.2">
      <c r="A60" s="27">
        <v>109</v>
      </c>
      <c r="B60" s="28" t="str">
        <f t="shared" si="2"/>
        <v>1.3.11a</v>
      </c>
      <c r="C60" s="29">
        <f t="shared" si="3"/>
        <v>6</v>
      </c>
      <c r="D60" s="3"/>
      <c r="E60" s="30"/>
      <c r="F60" s="36"/>
      <c r="G60" s="45"/>
      <c r="H60" s="67" t="str">
        <f>IF(ISERROR(VLOOKUP(Y60,detail_maturity_score,3,FALSE)*VLOOKUP(#REF!,weighting_scores,2,FALSE)),"",VLOOKUP(Y60,detail_maturity_score,3,FALSE)*VLOOKUP(#REF!,weighting_scores,2,FALSE))</f>
        <v/>
      </c>
      <c r="I60" s="133"/>
      <c r="J60" s="29"/>
      <c r="K60" s="29"/>
      <c r="L60" s="29"/>
      <c r="M60" s="29"/>
      <c r="N60" s="29"/>
      <c r="O60" s="29"/>
      <c r="P60" s="29"/>
      <c r="Q60" s="29"/>
      <c r="R60" s="57"/>
      <c r="S60" s="29"/>
      <c r="T60" s="29"/>
      <c r="U60" s="81"/>
      <c r="V60" s="85"/>
      <c r="W60" s="81"/>
      <c r="X60" s="64"/>
      <c r="Y60" s="59">
        <v>1</v>
      </c>
      <c r="Z60" s="59" t="str">
        <f t="shared" ref="Z60:Z67" si="5">VLOOKUP(Y60,detail_maturity_score,3,FALSE)</f>
        <v/>
      </c>
    </row>
    <row r="61" spans="1:26" s="55" customFormat="1" ht="16" x14ac:dyDescent="0.2">
      <c r="A61" s="27">
        <v>110</v>
      </c>
      <c r="B61" s="28" t="str">
        <f t="shared" si="2"/>
        <v>1.3.11b</v>
      </c>
      <c r="C61" s="29">
        <f t="shared" si="3"/>
        <v>6</v>
      </c>
      <c r="D61" s="3"/>
      <c r="E61" s="30"/>
      <c r="F61" s="36"/>
      <c r="G61" s="45"/>
      <c r="H61" s="67" t="str">
        <f>IF(ISERROR(VLOOKUP(Y61,detail_maturity_score,3,FALSE)*VLOOKUP(#REF!,weighting_scores,2,FALSE)),"",VLOOKUP(Y61,detail_maturity_score,3,FALSE)*VLOOKUP(#REF!,weighting_scores,2,FALSE))</f>
        <v/>
      </c>
      <c r="I61" s="133"/>
      <c r="J61" s="29"/>
      <c r="K61" s="29"/>
      <c r="L61" s="29"/>
      <c r="M61" s="29"/>
      <c r="N61" s="29"/>
      <c r="O61" s="29"/>
      <c r="P61" s="29"/>
      <c r="Q61" s="29"/>
      <c r="R61" s="57"/>
      <c r="S61" s="29"/>
      <c r="T61" s="29"/>
      <c r="U61" s="81"/>
      <c r="V61" s="85"/>
      <c r="W61" s="81"/>
      <c r="X61" s="64"/>
      <c r="Y61" s="59">
        <v>1</v>
      </c>
      <c r="Z61" s="59" t="str">
        <f t="shared" si="5"/>
        <v/>
      </c>
    </row>
    <row r="62" spans="1:26" s="55" customFormat="1" ht="16" x14ac:dyDescent="0.2">
      <c r="A62" s="27">
        <v>111</v>
      </c>
      <c r="B62" s="28" t="str">
        <f t="shared" si="2"/>
        <v>1.3.11c</v>
      </c>
      <c r="C62" s="29">
        <f t="shared" si="3"/>
        <v>6</v>
      </c>
      <c r="D62" s="3"/>
      <c r="E62" s="30"/>
      <c r="F62" s="36"/>
      <c r="G62" s="45"/>
      <c r="H62" s="67" t="str">
        <f>IF(ISERROR(VLOOKUP(Y62,detail_maturity_score,3,FALSE)*VLOOKUP(#REF!,weighting_scores,2,FALSE)),"",VLOOKUP(Y62,detail_maturity_score,3,FALSE)*VLOOKUP(#REF!,weighting_scores,2,FALSE))</f>
        <v/>
      </c>
      <c r="I62" s="133"/>
      <c r="J62" s="29"/>
      <c r="K62" s="29"/>
      <c r="L62" s="29"/>
      <c r="M62" s="29"/>
      <c r="N62" s="29"/>
      <c r="O62" s="29"/>
      <c r="P62" s="29"/>
      <c r="Q62" s="29"/>
      <c r="R62" s="57"/>
      <c r="S62" s="29"/>
      <c r="T62" s="29"/>
      <c r="U62" s="81"/>
      <c r="V62" s="85"/>
      <c r="W62" s="81"/>
      <c r="X62" s="64"/>
      <c r="Y62" s="59">
        <v>1</v>
      </c>
      <c r="Z62" s="59" t="str">
        <f t="shared" si="5"/>
        <v/>
      </c>
    </row>
    <row r="63" spans="1:26" s="55" customFormat="1" ht="16" x14ac:dyDescent="0.2">
      <c r="A63" s="27">
        <v>112</v>
      </c>
      <c r="B63" s="28" t="str">
        <f t="shared" si="2"/>
        <v>1.3.11d</v>
      </c>
      <c r="C63" s="29">
        <f t="shared" si="3"/>
        <v>6</v>
      </c>
      <c r="D63" s="3"/>
      <c r="E63" s="30"/>
      <c r="F63" s="36"/>
      <c r="G63" s="45"/>
      <c r="H63" s="67" t="str">
        <f>IF(ISERROR(VLOOKUP(Y63,detail_maturity_score,3,FALSE)*VLOOKUP(#REF!,weighting_scores,2,FALSE)),"",VLOOKUP(Y63,detail_maturity_score,3,FALSE)*VLOOKUP(#REF!,weighting_scores,2,FALSE))</f>
        <v/>
      </c>
      <c r="I63" s="133"/>
      <c r="J63" s="29"/>
      <c r="K63" s="29"/>
      <c r="L63" s="29"/>
      <c r="M63" s="29"/>
      <c r="N63" s="29"/>
      <c r="O63" s="29"/>
      <c r="P63" s="29"/>
      <c r="Q63" s="29"/>
      <c r="R63" s="57"/>
      <c r="S63" s="29"/>
      <c r="T63" s="29"/>
      <c r="U63" s="81"/>
      <c r="V63" s="85"/>
      <c r="W63" s="81"/>
      <c r="X63" s="64"/>
      <c r="Y63" s="59">
        <v>1</v>
      </c>
      <c r="Z63" s="59" t="str">
        <f t="shared" si="5"/>
        <v/>
      </c>
    </row>
    <row r="64" spans="1:26" s="55" customFormat="1" ht="16" x14ac:dyDescent="0.2">
      <c r="A64" s="27">
        <v>113</v>
      </c>
      <c r="B64" s="28" t="str">
        <f t="shared" si="2"/>
        <v>1.3.11e</v>
      </c>
      <c r="C64" s="29">
        <f t="shared" si="3"/>
        <v>6</v>
      </c>
      <c r="D64" s="3"/>
      <c r="E64" s="30"/>
      <c r="F64" s="36"/>
      <c r="G64" s="45"/>
      <c r="H64" s="67" t="str">
        <f>IF(ISERROR(VLOOKUP(Y64,detail_maturity_score,3,FALSE)*VLOOKUP(#REF!,weighting_scores,2,FALSE)),"",VLOOKUP(Y64,detail_maturity_score,3,FALSE)*VLOOKUP(#REF!,weighting_scores,2,FALSE))</f>
        <v/>
      </c>
      <c r="I64" s="133"/>
      <c r="J64" s="29"/>
      <c r="K64" s="29"/>
      <c r="L64" s="29"/>
      <c r="M64" s="29"/>
      <c r="N64" s="29"/>
      <c r="O64" s="29"/>
      <c r="P64" s="29"/>
      <c r="Q64" s="29"/>
      <c r="R64" s="57"/>
      <c r="S64" s="29"/>
      <c r="T64" s="29"/>
      <c r="U64" s="81"/>
      <c r="V64" s="85"/>
      <c r="W64" s="81"/>
      <c r="X64" s="64"/>
      <c r="Y64" s="59">
        <v>1</v>
      </c>
      <c r="Z64" s="59" t="str">
        <f t="shared" si="5"/>
        <v/>
      </c>
    </row>
    <row r="65" spans="1:26" s="55" customFormat="1" ht="16" x14ac:dyDescent="0.2">
      <c r="A65" s="27">
        <v>114</v>
      </c>
      <c r="B65" s="28" t="str">
        <f t="shared" si="2"/>
        <v>1.3.11f</v>
      </c>
      <c r="C65" s="29">
        <f t="shared" si="3"/>
        <v>6</v>
      </c>
      <c r="D65" s="3"/>
      <c r="E65" s="30"/>
      <c r="F65" s="36"/>
      <c r="G65" s="45"/>
      <c r="H65" s="67" t="str">
        <f>IF(ISERROR(VLOOKUP(Y65,detail_maturity_score,3,FALSE)*VLOOKUP(#REF!,weighting_scores,2,FALSE)),"",VLOOKUP(Y65,detail_maturity_score,3,FALSE)*VLOOKUP(#REF!,weighting_scores,2,FALSE))</f>
        <v/>
      </c>
      <c r="I65" s="133"/>
      <c r="J65" s="29"/>
      <c r="K65" s="29"/>
      <c r="L65" s="29"/>
      <c r="M65" s="29"/>
      <c r="N65" s="29"/>
      <c r="O65" s="29"/>
      <c r="P65" s="29"/>
      <c r="Q65" s="29"/>
      <c r="R65" s="57"/>
      <c r="S65" s="29"/>
      <c r="T65" s="29"/>
      <c r="U65" s="81"/>
      <c r="V65" s="85"/>
      <c r="W65" s="81"/>
      <c r="X65" s="64"/>
      <c r="Y65" s="59">
        <v>1</v>
      </c>
      <c r="Z65" s="59" t="str">
        <f t="shared" si="5"/>
        <v/>
      </c>
    </row>
    <row r="66" spans="1:26" s="55" customFormat="1" ht="16" x14ac:dyDescent="0.2">
      <c r="A66" s="27">
        <v>115</v>
      </c>
      <c r="B66" s="28" t="str">
        <f t="shared" si="2"/>
        <v>1.3.11g</v>
      </c>
      <c r="C66" s="29">
        <f t="shared" si="3"/>
        <v>6</v>
      </c>
      <c r="D66" s="3"/>
      <c r="E66" s="30"/>
      <c r="F66" s="36"/>
      <c r="G66" s="45"/>
      <c r="H66" s="67" t="str">
        <f>IF(ISERROR(VLOOKUP(Y66,detail_maturity_score,3,FALSE)*VLOOKUP(#REF!,weighting_scores,2,FALSE)),"",VLOOKUP(Y66,detail_maturity_score,3,FALSE)*VLOOKUP(#REF!,weighting_scores,2,FALSE))</f>
        <v/>
      </c>
      <c r="I66" s="133"/>
      <c r="J66" s="29"/>
      <c r="K66" s="29"/>
      <c r="L66" s="29"/>
      <c r="M66" s="29"/>
      <c r="N66" s="29"/>
      <c r="O66" s="29"/>
      <c r="P66" s="29"/>
      <c r="Q66" s="29"/>
      <c r="R66" s="57"/>
      <c r="S66" s="29"/>
      <c r="T66" s="29"/>
      <c r="U66" s="81"/>
      <c r="V66" s="85"/>
      <c r="W66" s="81"/>
      <c r="X66" s="64"/>
      <c r="Y66" s="59">
        <v>1</v>
      </c>
      <c r="Z66" s="59" t="str">
        <f t="shared" si="5"/>
        <v/>
      </c>
    </row>
    <row r="67" spans="1:26" s="55" customFormat="1" ht="16" x14ac:dyDescent="0.2">
      <c r="A67" s="27">
        <v>116</v>
      </c>
      <c r="B67" s="28" t="str">
        <f t="shared" si="2"/>
        <v>1.3.11h</v>
      </c>
      <c r="C67" s="29">
        <f t="shared" si="3"/>
        <v>6</v>
      </c>
      <c r="D67" s="3"/>
      <c r="E67" s="30"/>
      <c r="F67" s="36"/>
      <c r="G67" s="45"/>
      <c r="H67" s="67" t="str">
        <f>IF(ISERROR(VLOOKUP(Y67,detail_maturity_score,3,FALSE)*VLOOKUP(#REF!,weighting_scores,2,FALSE)),"",VLOOKUP(Y67,detail_maturity_score,3,FALSE)*VLOOKUP(#REF!,weighting_scores,2,FALSE))</f>
        <v/>
      </c>
      <c r="I67" s="133"/>
      <c r="J67" s="29"/>
      <c r="K67" s="29"/>
      <c r="L67" s="29"/>
      <c r="M67" s="29"/>
      <c r="N67" s="29"/>
      <c r="O67" s="29"/>
      <c r="P67" s="29"/>
      <c r="Q67" s="29"/>
      <c r="R67" s="57"/>
      <c r="S67" s="29"/>
      <c r="T67" s="29"/>
      <c r="U67" s="81"/>
      <c r="V67" s="85"/>
      <c r="W67" s="81"/>
      <c r="X67" s="64"/>
      <c r="Y67" s="59">
        <v>1</v>
      </c>
      <c r="Z67" s="59" t="str">
        <f t="shared" si="5"/>
        <v/>
      </c>
    </row>
    <row r="68" spans="1:26" s="55" customFormat="1" ht="30" customHeight="1" x14ac:dyDescent="0.2">
      <c r="A68" s="27">
        <v>117</v>
      </c>
      <c r="B68" s="28" t="str">
        <f t="shared" si="2"/>
        <v>1.3.12</v>
      </c>
      <c r="C68" s="29">
        <f t="shared" si="3"/>
        <v>4</v>
      </c>
      <c r="D68" s="3"/>
      <c r="E68" s="30"/>
      <c r="F68" s="31"/>
      <c r="G68" s="45"/>
      <c r="H68" s="67" t="str">
        <f>IF(ISERROR(VLOOKUP(Y68,detail_maturity_score,3,FALSE)*VLOOKUP(#REF!,weighting_scores,2,FALSE)),"",VLOOKUP(Y68,detail_maturity_score,3,FALSE)*VLOOKUP(#REF!,weighting_scores,2,FALSE))</f>
        <v/>
      </c>
      <c r="I68" s="133"/>
      <c r="J68" s="29"/>
      <c r="K68" s="29"/>
      <c r="L68" s="29"/>
      <c r="M68" s="29"/>
      <c r="N68" s="29"/>
      <c r="O68" s="29"/>
      <c r="P68" s="29"/>
      <c r="Q68" s="29"/>
      <c r="R68" s="57"/>
      <c r="S68" s="29"/>
      <c r="T68" s="29"/>
      <c r="U68" s="81"/>
      <c r="V68" s="85"/>
      <c r="W68" s="81"/>
      <c r="X68" s="64"/>
      <c r="Y68" s="59"/>
      <c r="Z68" s="59"/>
    </row>
    <row r="69" spans="1:26" s="55" customFormat="1" ht="16" x14ac:dyDescent="0.2">
      <c r="A69" s="27">
        <v>118</v>
      </c>
      <c r="B69" s="28" t="str">
        <f t="shared" si="2"/>
        <v>1.3.12a</v>
      </c>
      <c r="C69" s="29">
        <f t="shared" si="3"/>
        <v>6</v>
      </c>
      <c r="D69" s="3"/>
      <c r="E69" s="30"/>
      <c r="F69" s="36"/>
      <c r="G69" s="45"/>
      <c r="H69" s="67" t="str">
        <f>IF(ISERROR(VLOOKUP(Y69,detail_maturity_score,3,FALSE)*VLOOKUP(#REF!,weighting_scores,2,FALSE)),"",VLOOKUP(Y69,detail_maturity_score,3,FALSE)*VLOOKUP(#REF!,weighting_scores,2,FALSE))</f>
        <v/>
      </c>
      <c r="I69" s="133"/>
      <c r="J69" s="29"/>
      <c r="K69" s="29"/>
      <c r="L69" s="29"/>
      <c r="M69" s="29"/>
      <c r="N69" s="29"/>
      <c r="O69" s="29"/>
      <c r="P69" s="29"/>
      <c r="Q69" s="29"/>
      <c r="R69" s="57"/>
      <c r="S69" s="29"/>
      <c r="T69" s="29"/>
      <c r="U69" s="81"/>
      <c r="V69" s="85"/>
      <c r="W69" s="81"/>
      <c r="X69" s="64"/>
      <c r="Y69" s="59">
        <v>1</v>
      </c>
      <c r="Z69" s="59" t="str">
        <f>VLOOKUP(Y69,detail_maturity_score,3,FALSE)</f>
        <v/>
      </c>
    </row>
    <row r="70" spans="1:26" s="55" customFormat="1" ht="16" x14ac:dyDescent="0.2">
      <c r="A70" s="27">
        <v>119</v>
      </c>
      <c r="B70" s="28" t="str">
        <f t="shared" si="2"/>
        <v>1.3.12b</v>
      </c>
      <c r="C70" s="29">
        <f t="shared" si="3"/>
        <v>6</v>
      </c>
      <c r="D70" s="3"/>
      <c r="E70" s="30"/>
      <c r="F70" s="36"/>
      <c r="G70" s="45"/>
      <c r="H70" s="67" t="str">
        <f>IF(ISERROR(VLOOKUP(Y70,detail_maturity_score,3,FALSE)*VLOOKUP(#REF!,weighting_scores,2,FALSE)),"",VLOOKUP(Y70,detail_maturity_score,3,FALSE)*VLOOKUP(#REF!,weighting_scores,2,FALSE))</f>
        <v/>
      </c>
      <c r="I70" s="133"/>
      <c r="J70" s="29"/>
      <c r="K70" s="29"/>
      <c r="L70" s="29"/>
      <c r="M70" s="29"/>
      <c r="N70" s="29"/>
      <c r="O70" s="29"/>
      <c r="P70" s="29"/>
      <c r="Q70" s="29"/>
      <c r="R70" s="57"/>
      <c r="S70" s="29"/>
      <c r="T70" s="29"/>
      <c r="U70" s="81"/>
      <c r="V70" s="85"/>
      <c r="W70" s="81"/>
      <c r="X70" s="64"/>
      <c r="Y70" s="59">
        <v>1</v>
      </c>
      <c r="Z70" s="59" t="str">
        <f>VLOOKUP(Y70,detail_maturity_score,3,FALSE)</f>
        <v/>
      </c>
    </row>
    <row r="71" spans="1:26" s="55" customFormat="1" ht="16" x14ac:dyDescent="0.2">
      <c r="A71" s="27">
        <v>120</v>
      </c>
      <c r="B71" s="28" t="str">
        <f t="shared" si="2"/>
        <v>1.3.12c</v>
      </c>
      <c r="C71" s="29">
        <f t="shared" si="3"/>
        <v>6</v>
      </c>
      <c r="D71" s="3"/>
      <c r="E71" s="30"/>
      <c r="F71" s="36"/>
      <c r="G71" s="45"/>
      <c r="H71" s="67" t="str">
        <f>IF(ISERROR(VLOOKUP(Y71,detail_maturity_score,3,FALSE)*VLOOKUP(#REF!,weighting_scores,2,FALSE)),"",VLOOKUP(Y71,detail_maturity_score,3,FALSE)*VLOOKUP(#REF!,weighting_scores,2,FALSE))</f>
        <v/>
      </c>
      <c r="I71" s="133"/>
      <c r="J71" s="29"/>
      <c r="K71" s="29"/>
      <c r="L71" s="29"/>
      <c r="M71" s="29"/>
      <c r="N71" s="29"/>
      <c r="O71" s="29"/>
      <c r="P71" s="29"/>
      <c r="Q71" s="29"/>
      <c r="R71" s="57"/>
      <c r="S71" s="29"/>
      <c r="T71" s="29"/>
      <c r="U71" s="81"/>
      <c r="V71" s="85"/>
      <c r="W71" s="81"/>
      <c r="X71" s="64"/>
      <c r="Y71" s="59">
        <v>1</v>
      </c>
      <c r="Z71" s="59" t="str">
        <f>VLOOKUP(Y71,detail_maturity_score,3,FALSE)</f>
        <v/>
      </c>
    </row>
    <row r="72" spans="1:26" s="55" customFormat="1" x14ac:dyDescent="0.2">
      <c r="A72" s="27">
        <v>121</v>
      </c>
      <c r="B72" s="28" t="str">
        <f t="shared" si="2"/>
        <v>1.3.13</v>
      </c>
      <c r="C72" s="29">
        <f t="shared" si="3"/>
        <v>4</v>
      </c>
      <c r="D72" s="3"/>
      <c r="E72" s="30"/>
      <c r="F72" s="31"/>
      <c r="G72" s="45"/>
      <c r="H72" s="67" t="str">
        <f>IF(ISERROR(VLOOKUP(Y72,detail_maturity_score,3,FALSE)*VLOOKUP(#REF!,weighting_scores,2,FALSE)),"",VLOOKUP(Y72,detail_maturity_score,3,FALSE)*VLOOKUP(#REF!,weighting_scores,2,FALSE))</f>
        <v/>
      </c>
      <c r="I72" s="133"/>
      <c r="J72" s="29"/>
      <c r="K72" s="29"/>
      <c r="L72" s="29"/>
      <c r="M72" s="29"/>
      <c r="N72" s="29"/>
      <c r="O72" s="29"/>
      <c r="P72" s="29"/>
      <c r="Q72" s="29"/>
      <c r="R72" s="57"/>
      <c r="S72" s="29"/>
      <c r="T72" s="29"/>
      <c r="U72" s="81"/>
      <c r="V72" s="85"/>
      <c r="W72" s="81"/>
      <c r="X72" s="64"/>
      <c r="Y72" s="59"/>
      <c r="Z72" s="59"/>
    </row>
    <row r="73" spans="1:26" s="55" customFormat="1" ht="30" customHeight="1" x14ac:dyDescent="0.2">
      <c r="A73" s="27">
        <v>122</v>
      </c>
      <c r="B73" s="28" t="str">
        <f t="shared" si="2"/>
        <v>1.3.13a</v>
      </c>
      <c r="C73" s="29">
        <f t="shared" si="3"/>
        <v>6</v>
      </c>
      <c r="D73" s="3"/>
      <c r="E73" s="30"/>
      <c r="F73" s="36"/>
      <c r="G73" s="45"/>
      <c r="H73" s="67" t="str">
        <f>IF(ISERROR(VLOOKUP(Y73,detail_maturity_score,3,FALSE)*VLOOKUP(#REF!,weighting_scores,2,FALSE)),"",VLOOKUP(Y73,detail_maturity_score,3,FALSE)*VLOOKUP(#REF!,weighting_scores,2,FALSE))</f>
        <v/>
      </c>
      <c r="I73" s="133"/>
      <c r="J73" s="29"/>
      <c r="K73" s="29"/>
      <c r="L73" s="29"/>
      <c r="M73" s="29"/>
      <c r="N73" s="29"/>
      <c r="O73" s="29"/>
      <c r="P73" s="29"/>
      <c r="Q73" s="29"/>
      <c r="R73" s="57"/>
      <c r="S73" s="29"/>
      <c r="T73" s="29"/>
      <c r="U73" s="81"/>
      <c r="V73" s="85"/>
      <c r="W73" s="81"/>
      <c r="X73" s="64"/>
      <c r="Y73" s="59">
        <v>1</v>
      </c>
      <c r="Z73" s="59" t="str">
        <f>VLOOKUP(Y73,detail_maturity_score,3,FALSE)</f>
        <v/>
      </c>
    </row>
    <row r="74" spans="1:26" s="55" customFormat="1" ht="30" customHeight="1" x14ac:dyDescent="0.2">
      <c r="A74" s="27">
        <v>123</v>
      </c>
      <c r="B74" s="28" t="str">
        <f t="shared" si="2"/>
        <v>1.3.13b</v>
      </c>
      <c r="C74" s="29">
        <f t="shared" si="3"/>
        <v>6</v>
      </c>
      <c r="D74" s="3"/>
      <c r="E74" s="30"/>
      <c r="F74" s="36"/>
      <c r="G74" s="45"/>
      <c r="H74" s="67" t="str">
        <f>IF(ISERROR(VLOOKUP(Y74,detail_maturity_score,3,FALSE)*VLOOKUP(#REF!,weighting_scores,2,FALSE)),"",VLOOKUP(Y74,detail_maturity_score,3,FALSE)*VLOOKUP(#REF!,weighting_scores,2,FALSE))</f>
        <v/>
      </c>
      <c r="I74" s="133"/>
      <c r="J74" s="29"/>
      <c r="K74" s="29"/>
      <c r="L74" s="29"/>
      <c r="M74" s="29"/>
      <c r="N74" s="29"/>
      <c r="O74" s="29"/>
      <c r="P74" s="29"/>
      <c r="Q74" s="29"/>
      <c r="R74" s="57"/>
      <c r="S74" s="29"/>
      <c r="T74" s="29"/>
      <c r="U74" s="81"/>
      <c r="V74" s="85"/>
      <c r="W74" s="81"/>
      <c r="X74" s="64"/>
      <c r="Y74" s="59">
        <v>1</v>
      </c>
      <c r="Z74" s="59" t="str">
        <f>VLOOKUP(Y74,detail_maturity_score,3,FALSE)</f>
        <v/>
      </c>
    </row>
    <row r="75" spans="1:26" s="55" customFormat="1" ht="30" customHeight="1" x14ac:dyDescent="0.2">
      <c r="A75" s="27">
        <v>124</v>
      </c>
      <c r="B75" s="28" t="str">
        <f t="shared" si="2"/>
        <v>1.3.13c</v>
      </c>
      <c r="C75" s="29">
        <f t="shared" si="3"/>
        <v>6</v>
      </c>
      <c r="D75" s="3"/>
      <c r="E75" s="30"/>
      <c r="F75" s="36"/>
      <c r="G75" s="45"/>
      <c r="H75" s="67" t="str">
        <f>IF(ISERROR(VLOOKUP(Y75,detail_maturity_score,3,FALSE)*VLOOKUP(#REF!,weighting_scores,2,FALSE)),"",VLOOKUP(Y75,detail_maturity_score,3,FALSE)*VLOOKUP(#REF!,weighting_scores,2,FALSE))</f>
        <v/>
      </c>
      <c r="I75" s="133"/>
      <c r="J75" s="29"/>
      <c r="K75" s="29"/>
      <c r="L75" s="29"/>
      <c r="M75" s="29"/>
      <c r="N75" s="29"/>
      <c r="O75" s="29"/>
      <c r="P75" s="29"/>
      <c r="Q75" s="29"/>
      <c r="R75" s="57"/>
      <c r="S75" s="29"/>
      <c r="T75" s="29"/>
      <c r="U75" s="81"/>
      <c r="V75" s="85"/>
      <c r="W75" s="81"/>
      <c r="X75" s="64"/>
      <c r="Y75" s="59">
        <v>1</v>
      </c>
      <c r="Z75" s="59" t="str">
        <f>VLOOKUP(Y75,detail_maturity_score,3,FALSE)</f>
        <v/>
      </c>
    </row>
    <row r="76" spans="1:26" s="55" customFormat="1" ht="30" customHeight="1" x14ac:dyDescent="0.2">
      <c r="A76" s="27">
        <v>125</v>
      </c>
      <c r="B76" s="28" t="str">
        <f t="shared" si="2"/>
        <v>1.3.13d</v>
      </c>
      <c r="C76" s="29">
        <f t="shared" si="3"/>
        <v>6</v>
      </c>
      <c r="D76" s="3"/>
      <c r="E76" s="30"/>
      <c r="F76" s="36"/>
      <c r="G76" s="45"/>
      <c r="H76" s="67" t="str">
        <f>IF(ISERROR(VLOOKUP(Y76,detail_maturity_score,3,FALSE)*VLOOKUP(#REF!,weighting_scores,2,FALSE)),"",VLOOKUP(Y76,detail_maturity_score,3,FALSE)*VLOOKUP(#REF!,weighting_scores,2,FALSE))</f>
        <v/>
      </c>
      <c r="I76" s="133"/>
      <c r="J76" s="29"/>
      <c r="K76" s="29"/>
      <c r="L76" s="29"/>
      <c r="M76" s="29"/>
      <c r="N76" s="29"/>
      <c r="O76" s="29"/>
      <c r="P76" s="29"/>
      <c r="Q76" s="29"/>
      <c r="R76" s="57"/>
      <c r="S76" s="29"/>
      <c r="T76" s="29"/>
      <c r="U76" s="81"/>
      <c r="V76" s="85"/>
      <c r="W76" s="81"/>
      <c r="X76" s="64"/>
      <c r="Y76" s="59">
        <v>1</v>
      </c>
      <c r="Z76" s="59" t="str">
        <f>VLOOKUP(Y76,detail_maturity_score,3,FALSE)</f>
        <v/>
      </c>
    </row>
    <row r="77" spans="1:26" s="55" customFormat="1" ht="30" customHeight="1" x14ac:dyDescent="0.2">
      <c r="A77" s="27">
        <v>126</v>
      </c>
      <c r="B77" s="28" t="str">
        <f t="shared" si="2"/>
        <v>1.3.14</v>
      </c>
      <c r="C77" s="29">
        <f t="shared" si="3"/>
        <v>4</v>
      </c>
      <c r="D77" s="3"/>
      <c r="E77" s="30"/>
      <c r="F77" s="31"/>
      <c r="G77" s="45"/>
      <c r="H77" s="67" t="str">
        <f>IF(ISERROR(VLOOKUP(Y77,detail_maturity_score,3,FALSE)*VLOOKUP(#REF!,weighting_scores,2,FALSE)),"",VLOOKUP(Y77,detail_maturity_score,3,FALSE)*VLOOKUP(#REF!,weighting_scores,2,FALSE))</f>
        <v/>
      </c>
      <c r="I77" s="133"/>
      <c r="J77" s="29"/>
      <c r="K77" s="29"/>
      <c r="L77" s="29"/>
      <c r="M77" s="29"/>
      <c r="N77" s="29"/>
      <c r="O77" s="29"/>
      <c r="P77" s="29"/>
      <c r="Q77" s="29"/>
      <c r="R77" s="57"/>
      <c r="S77" s="29"/>
      <c r="T77" s="29"/>
      <c r="U77" s="81"/>
      <c r="V77" s="85"/>
      <c r="W77" s="81"/>
      <c r="X77" s="64"/>
      <c r="Y77" s="59"/>
      <c r="Z77" s="59"/>
    </row>
    <row r="78" spans="1:26" s="55" customFormat="1" ht="30" customHeight="1" x14ac:dyDescent="0.2">
      <c r="A78" s="27">
        <v>127</v>
      </c>
      <c r="B78" s="28" t="str">
        <f t="shared" si="2"/>
        <v>1.3.14a</v>
      </c>
      <c r="C78" s="29">
        <f t="shared" si="3"/>
        <v>6</v>
      </c>
      <c r="D78" s="3"/>
      <c r="E78" s="30"/>
      <c r="F78" s="36"/>
      <c r="G78" s="45"/>
      <c r="H78" s="67" t="str">
        <f>IF(ISERROR(VLOOKUP(Y78,detail_maturity_score,3,FALSE)*VLOOKUP(#REF!,weighting_scores,2,FALSE)),"",VLOOKUP(Y78,detail_maturity_score,3,FALSE)*VLOOKUP(#REF!,weighting_scores,2,FALSE))</f>
        <v/>
      </c>
      <c r="I78" s="133"/>
      <c r="J78" s="29"/>
      <c r="K78" s="29"/>
      <c r="L78" s="29"/>
      <c r="M78" s="29"/>
      <c r="N78" s="29"/>
      <c r="O78" s="29"/>
      <c r="P78" s="29"/>
      <c r="Q78" s="29"/>
      <c r="R78" s="57"/>
      <c r="S78" s="29"/>
      <c r="T78" s="29"/>
      <c r="U78" s="81"/>
      <c r="V78" s="85"/>
      <c r="W78" s="81"/>
      <c r="X78" s="64"/>
      <c r="Y78" s="59">
        <v>1</v>
      </c>
      <c r="Z78" s="59" t="str">
        <f>VLOOKUP(Y78,detail_maturity_score,3,FALSE)</f>
        <v/>
      </c>
    </row>
    <row r="79" spans="1:26" s="55" customFormat="1" ht="30" customHeight="1" x14ac:dyDescent="0.2">
      <c r="A79" s="27">
        <v>128</v>
      </c>
      <c r="B79" s="28" t="str">
        <f t="shared" si="2"/>
        <v>1.3.14b</v>
      </c>
      <c r="C79" s="29">
        <f t="shared" si="3"/>
        <v>6</v>
      </c>
      <c r="D79" s="3"/>
      <c r="E79" s="30"/>
      <c r="F79" s="36"/>
      <c r="G79" s="45"/>
      <c r="H79" s="67" t="str">
        <f>IF(ISERROR(VLOOKUP(Y79,detail_maturity_score,3,FALSE)*VLOOKUP(#REF!,weighting_scores,2,FALSE)),"",VLOOKUP(Y79,detail_maturity_score,3,FALSE)*VLOOKUP(#REF!,weighting_scores,2,FALSE))</f>
        <v/>
      </c>
      <c r="I79" s="133"/>
      <c r="J79" s="29"/>
      <c r="K79" s="29"/>
      <c r="L79" s="29"/>
      <c r="M79" s="29"/>
      <c r="N79" s="29"/>
      <c r="O79" s="29"/>
      <c r="P79" s="29"/>
      <c r="Q79" s="29"/>
      <c r="R79" s="57"/>
      <c r="S79" s="29"/>
      <c r="T79" s="29"/>
      <c r="U79" s="81"/>
      <c r="V79" s="85"/>
      <c r="W79" s="81"/>
      <c r="X79" s="64"/>
      <c r="Y79" s="59">
        <v>1</v>
      </c>
      <c r="Z79" s="59" t="str">
        <f>VLOOKUP(Y79,detail_maturity_score,3,FALSE)</f>
        <v/>
      </c>
    </row>
    <row r="80" spans="1:26" s="55" customFormat="1" ht="30" customHeight="1" x14ac:dyDescent="0.2">
      <c r="A80" s="27">
        <v>129</v>
      </c>
      <c r="B80" s="28" t="str">
        <f t="shared" si="2"/>
        <v>1.3.14c</v>
      </c>
      <c r="C80" s="29">
        <f t="shared" si="3"/>
        <v>6</v>
      </c>
      <c r="D80" s="3"/>
      <c r="E80" s="30"/>
      <c r="F80" s="36"/>
      <c r="G80" s="45"/>
      <c r="H80" s="67" t="str">
        <f>IF(ISERROR(VLOOKUP(Y80,detail_maturity_score,3,FALSE)*VLOOKUP(#REF!,weighting_scores,2,FALSE)),"",VLOOKUP(Y80,detail_maturity_score,3,FALSE)*VLOOKUP(#REF!,weighting_scores,2,FALSE))</f>
        <v/>
      </c>
      <c r="I80" s="133"/>
      <c r="J80" s="29"/>
      <c r="K80" s="29"/>
      <c r="L80" s="29"/>
      <c r="M80" s="29"/>
      <c r="N80" s="29"/>
      <c r="O80" s="29"/>
      <c r="P80" s="29"/>
      <c r="Q80" s="29"/>
      <c r="R80" s="57"/>
      <c r="S80" s="29"/>
      <c r="T80" s="29"/>
      <c r="U80" s="81"/>
      <c r="V80" s="85"/>
      <c r="W80" s="81"/>
      <c r="X80" s="64"/>
      <c r="Y80" s="59">
        <v>1</v>
      </c>
      <c r="Z80" s="59" t="str">
        <f>VLOOKUP(Y80,detail_maturity_score,3,FALSE)</f>
        <v/>
      </c>
    </row>
    <row r="81" spans="1:26" s="55" customFormat="1" ht="16" x14ac:dyDescent="0.2">
      <c r="A81" s="27">
        <v>130</v>
      </c>
      <c r="B81" s="28" t="str">
        <f t="shared" ref="B81:B144" si="6">VLOOKUP(A81,contentref,2,FALSE)</f>
        <v>1.3.15</v>
      </c>
      <c r="C81" s="29">
        <f t="shared" ref="C81:C144" si="7">VLOOKUP(A81,contentref,15,FALSE)</f>
        <v>5</v>
      </c>
      <c r="D81" s="3"/>
      <c r="E81" s="30"/>
      <c r="F81" s="31"/>
      <c r="G81" s="45"/>
      <c r="H81" s="67" t="str">
        <f>IF(ISERROR(VLOOKUP(Y81,detail_maturity_score,3,FALSE)*VLOOKUP(#REF!,weighting_scores,2,FALSE)),"",VLOOKUP(Y81,detail_maturity_score,3,FALSE)*VLOOKUP(#REF!,weighting_scores,2,FALSE))</f>
        <v/>
      </c>
      <c r="I81" s="133"/>
      <c r="J81" s="29"/>
      <c r="K81" s="29"/>
      <c r="L81" s="29"/>
      <c r="M81" s="29"/>
      <c r="N81" s="29"/>
      <c r="O81" s="29"/>
      <c r="P81" s="29"/>
      <c r="Q81" s="29"/>
      <c r="R81" s="57"/>
      <c r="S81" s="29"/>
      <c r="T81" s="29"/>
      <c r="U81" s="81"/>
      <c r="V81" s="85"/>
      <c r="W81" s="81"/>
      <c r="X81" s="92"/>
      <c r="Y81" s="59">
        <v>1</v>
      </c>
      <c r="Z81" s="59" t="str">
        <f>VLOOKUP(Y81,detail_maturity_score,3,FALSE)</f>
        <v/>
      </c>
    </row>
    <row r="82" spans="1:26" s="55" customFormat="1" ht="30" customHeight="1" x14ac:dyDescent="0.2">
      <c r="A82" s="27">
        <v>131</v>
      </c>
      <c r="B82" s="28" t="str">
        <f t="shared" si="6"/>
        <v>1.3.16</v>
      </c>
      <c r="C82" s="29">
        <f t="shared" si="7"/>
        <v>4</v>
      </c>
      <c r="D82" s="3"/>
      <c r="E82" s="30"/>
      <c r="F82" s="31"/>
      <c r="G82" s="45"/>
      <c r="H82" s="67" t="str">
        <f>IF(ISERROR(VLOOKUP(Y82,detail_maturity_score,3,FALSE)*VLOOKUP(#REF!,weighting_scores,2,FALSE)),"",VLOOKUP(Y82,detail_maturity_score,3,FALSE)*VLOOKUP(#REF!,weighting_scores,2,FALSE))</f>
        <v/>
      </c>
      <c r="I82" s="133"/>
      <c r="J82" s="29"/>
      <c r="K82" s="29"/>
      <c r="L82" s="29"/>
      <c r="M82" s="29"/>
      <c r="N82" s="29"/>
      <c r="O82" s="29"/>
      <c r="P82" s="29"/>
      <c r="Q82" s="29"/>
      <c r="R82" s="57"/>
      <c r="S82" s="29"/>
      <c r="T82" s="29"/>
      <c r="U82" s="81"/>
      <c r="V82" s="85"/>
      <c r="W82" s="81"/>
      <c r="X82" s="64"/>
      <c r="Y82" s="59"/>
      <c r="Z82" s="59"/>
    </row>
    <row r="83" spans="1:26" s="55" customFormat="1" ht="16" x14ac:dyDescent="0.2">
      <c r="A83" s="27">
        <v>132</v>
      </c>
      <c r="B83" s="28" t="str">
        <f t="shared" si="6"/>
        <v>1.3.16a</v>
      </c>
      <c r="C83" s="29">
        <f t="shared" si="7"/>
        <v>6</v>
      </c>
      <c r="D83" s="3"/>
      <c r="E83" s="30"/>
      <c r="F83" s="36"/>
      <c r="G83" s="45"/>
      <c r="H83" s="67" t="str">
        <f>IF(ISERROR(VLOOKUP(Y83,detail_maturity_score,3,FALSE)*VLOOKUP(#REF!,weighting_scores,2,FALSE)),"",VLOOKUP(Y83,detail_maturity_score,3,FALSE)*VLOOKUP(#REF!,weighting_scores,2,FALSE))</f>
        <v/>
      </c>
      <c r="I83" s="133"/>
      <c r="J83" s="29"/>
      <c r="K83" s="29"/>
      <c r="L83" s="29"/>
      <c r="M83" s="29"/>
      <c r="N83" s="29"/>
      <c r="O83" s="29"/>
      <c r="P83" s="29"/>
      <c r="Q83" s="29"/>
      <c r="R83" s="57"/>
      <c r="S83" s="29"/>
      <c r="T83" s="29"/>
      <c r="U83" s="81"/>
      <c r="V83" s="85"/>
      <c r="W83" s="81"/>
      <c r="X83" s="64"/>
      <c r="Y83" s="59">
        <v>1</v>
      </c>
      <c r="Z83" s="59" t="str">
        <f>VLOOKUP(Y83,detail_maturity_score,3,FALSE)</f>
        <v/>
      </c>
    </row>
    <row r="84" spans="1:26" s="55" customFormat="1" ht="16" x14ac:dyDescent="0.2">
      <c r="A84" s="27">
        <v>133</v>
      </c>
      <c r="B84" s="28" t="str">
        <f t="shared" si="6"/>
        <v>1.3.16b</v>
      </c>
      <c r="C84" s="29">
        <f t="shared" si="7"/>
        <v>6</v>
      </c>
      <c r="D84" s="3"/>
      <c r="E84" s="30"/>
      <c r="F84" s="36"/>
      <c r="G84" s="45"/>
      <c r="H84" s="67" t="str">
        <f>IF(ISERROR(VLOOKUP(Y84,detail_maturity_score,3,FALSE)*VLOOKUP(#REF!,weighting_scores,2,FALSE)),"",VLOOKUP(Y84,detail_maturity_score,3,FALSE)*VLOOKUP(#REF!,weighting_scores,2,FALSE))</f>
        <v/>
      </c>
      <c r="I84" s="133"/>
      <c r="J84" s="29"/>
      <c r="K84" s="29"/>
      <c r="L84" s="29"/>
      <c r="M84" s="29"/>
      <c r="N84" s="29"/>
      <c r="O84" s="29"/>
      <c r="P84" s="29"/>
      <c r="Q84" s="29"/>
      <c r="R84" s="57"/>
      <c r="S84" s="29"/>
      <c r="T84" s="29"/>
      <c r="U84" s="81"/>
      <c r="V84" s="85"/>
      <c r="W84" s="81"/>
      <c r="X84" s="64"/>
      <c r="Y84" s="59">
        <v>1</v>
      </c>
      <c r="Z84" s="59" t="str">
        <f>VLOOKUP(Y84,detail_maturity_score,3,FALSE)</f>
        <v/>
      </c>
    </row>
    <row r="85" spans="1:26" s="55" customFormat="1" ht="16" x14ac:dyDescent="0.2">
      <c r="A85" s="27">
        <v>134</v>
      </c>
      <c r="B85" s="28" t="str">
        <f t="shared" si="6"/>
        <v>1.3.16c</v>
      </c>
      <c r="C85" s="29">
        <f t="shared" si="7"/>
        <v>6</v>
      </c>
      <c r="D85" s="3"/>
      <c r="E85" s="30"/>
      <c r="F85" s="36"/>
      <c r="G85" s="45"/>
      <c r="H85" s="67" t="str">
        <f>IF(ISERROR(VLOOKUP(Y85,detail_maturity_score,3,FALSE)*VLOOKUP(#REF!,weighting_scores,2,FALSE)),"",VLOOKUP(Y85,detail_maturity_score,3,FALSE)*VLOOKUP(#REF!,weighting_scores,2,FALSE))</f>
        <v/>
      </c>
      <c r="I85" s="133"/>
      <c r="J85" s="29"/>
      <c r="K85" s="29"/>
      <c r="L85" s="29"/>
      <c r="M85" s="29"/>
      <c r="N85" s="29"/>
      <c r="O85" s="29"/>
      <c r="P85" s="29"/>
      <c r="Q85" s="29"/>
      <c r="R85" s="57"/>
      <c r="S85" s="29"/>
      <c r="T85" s="29"/>
      <c r="U85" s="81"/>
      <c r="V85" s="85"/>
      <c r="W85" s="81"/>
      <c r="X85" s="64"/>
      <c r="Y85" s="59">
        <v>1</v>
      </c>
      <c r="Z85" s="59" t="str">
        <f>VLOOKUP(Y85,detail_maturity_score,3,FALSE)</f>
        <v/>
      </c>
    </row>
    <row r="86" spans="1:26" s="55" customFormat="1" ht="30" customHeight="1" x14ac:dyDescent="0.2">
      <c r="A86" s="27">
        <v>135</v>
      </c>
      <c r="B86" s="28" t="str">
        <f t="shared" si="6"/>
        <v>1.3.16d</v>
      </c>
      <c r="C86" s="29">
        <f t="shared" si="7"/>
        <v>6</v>
      </c>
      <c r="D86" s="3"/>
      <c r="E86" s="30"/>
      <c r="F86" s="36"/>
      <c r="G86" s="45"/>
      <c r="H86" s="67" t="str">
        <f>IF(ISERROR(VLOOKUP(Y86,detail_maturity_score,3,FALSE)*VLOOKUP(#REF!,weighting_scores,2,FALSE)),"",VLOOKUP(Y86,detail_maturity_score,3,FALSE)*VLOOKUP(#REF!,weighting_scores,2,FALSE))</f>
        <v/>
      </c>
      <c r="I86" s="133"/>
      <c r="J86" s="29"/>
      <c r="K86" s="29"/>
      <c r="L86" s="29"/>
      <c r="M86" s="29"/>
      <c r="N86" s="29"/>
      <c r="O86" s="29"/>
      <c r="P86" s="29"/>
      <c r="Q86" s="29"/>
      <c r="R86" s="57"/>
      <c r="S86" s="29"/>
      <c r="T86" s="29"/>
      <c r="U86" s="81"/>
      <c r="V86" s="85"/>
      <c r="W86" s="81"/>
      <c r="X86" s="64"/>
      <c r="Y86" s="59">
        <v>1</v>
      </c>
      <c r="Z86" s="59" t="str">
        <f>VLOOKUP(Y86,detail_maturity_score,3,FALSE)</f>
        <v/>
      </c>
    </row>
    <row r="87" spans="1:26" s="55" customFormat="1" x14ac:dyDescent="0.2">
      <c r="A87" s="27">
        <v>136</v>
      </c>
      <c r="B87" s="28" t="str">
        <f t="shared" si="6"/>
        <v>1.3.17</v>
      </c>
      <c r="C87" s="29">
        <f t="shared" si="7"/>
        <v>4</v>
      </c>
      <c r="D87" s="3"/>
      <c r="E87" s="30"/>
      <c r="F87" s="31"/>
      <c r="G87" s="45"/>
      <c r="H87" s="67" t="str">
        <f>IF(ISERROR(VLOOKUP(Y87,detail_maturity_score,3,FALSE)*VLOOKUP(#REF!,weighting_scores,2,FALSE)),"",VLOOKUP(Y87,detail_maturity_score,3,FALSE)*VLOOKUP(#REF!,weighting_scores,2,FALSE))</f>
        <v/>
      </c>
      <c r="I87" s="133"/>
      <c r="J87" s="29"/>
      <c r="K87" s="29"/>
      <c r="L87" s="29"/>
      <c r="M87" s="29"/>
      <c r="N87" s="29"/>
      <c r="O87" s="29"/>
      <c r="P87" s="29"/>
      <c r="Q87" s="29"/>
      <c r="R87" s="57"/>
      <c r="S87" s="29"/>
      <c r="T87" s="29"/>
      <c r="U87" s="81"/>
      <c r="V87" s="85"/>
      <c r="W87" s="81"/>
      <c r="X87" s="64"/>
      <c r="Y87" s="59"/>
      <c r="Z87" s="59"/>
    </row>
    <row r="88" spans="1:26" s="55" customFormat="1" ht="16" x14ac:dyDescent="0.2">
      <c r="A88" s="27">
        <v>137</v>
      </c>
      <c r="B88" s="28" t="str">
        <f t="shared" si="6"/>
        <v>1.3.17a</v>
      </c>
      <c r="C88" s="29">
        <f t="shared" si="7"/>
        <v>6</v>
      </c>
      <c r="D88" s="3"/>
      <c r="E88" s="30"/>
      <c r="F88" s="36"/>
      <c r="G88" s="45"/>
      <c r="H88" s="67" t="str">
        <f>IF(ISERROR(VLOOKUP(Y88,detail_maturity_score,3,FALSE)*VLOOKUP(#REF!,weighting_scores,2,FALSE)),"",VLOOKUP(Y88,detail_maturity_score,3,FALSE)*VLOOKUP(#REF!,weighting_scores,2,FALSE))</f>
        <v/>
      </c>
      <c r="I88" s="133"/>
      <c r="J88" s="29"/>
      <c r="K88" s="29"/>
      <c r="L88" s="29"/>
      <c r="M88" s="29"/>
      <c r="N88" s="29"/>
      <c r="O88" s="29"/>
      <c r="P88" s="29"/>
      <c r="Q88" s="29"/>
      <c r="R88" s="57"/>
      <c r="S88" s="29"/>
      <c r="T88" s="29"/>
      <c r="U88" s="81"/>
      <c r="V88" s="85"/>
      <c r="W88" s="81"/>
      <c r="X88" s="64"/>
      <c r="Y88" s="59">
        <v>1</v>
      </c>
      <c r="Z88" s="59" t="str">
        <f>VLOOKUP(Y88,detail_maturity_score,3,FALSE)</f>
        <v/>
      </c>
    </row>
    <row r="89" spans="1:26" s="55" customFormat="1" ht="16" x14ac:dyDescent="0.2">
      <c r="A89" s="27">
        <v>138</v>
      </c>
      <c r="B89" s="28" t="str">
        <f t="shared" si="6"/>
        <v>1.3.17b</v>
      </c>
      <c r="C89" s="29">
        <f t="shared" si="7"/>
        <v>6</v>
      </c>
      <c r="D89" s="3"/>
      <c r="E89" s="30"/>
      <c r="F89" s="36"/>
      <c r="G89" s="45"/>
      <c r="H89" s="67" t="str">
        <f>IF(ISERROR(VLOOKUP(Y89,detail_maturity_score,3,FALSE)*VLOOKUP(#REF!,weighting_scores,2,FALSE)),"",VLOOKUP(Y89,detail_maturity_score,3,FALSE)*VLOOKUP(#REF!,weighting_scores,2,FALSE))</f>
        <v/>
      </c>
      <c r="I89" s="133"/>
      <c r="J89" s="29"/>
      <c r="K89" s="29"/>
      <c r="L89" s="29"/>
      <c r="M89" s="29"/>
      <c r="N89" s="29"/>
      <c r="O89" s="29"/>
      <c r="P89" s="29"/>
      <c r="Q89" s="29"/>
      <c r="R89" s="57"/>
      <c r="S89" s="29"/>
      <c r="T89" s="29"/>
      <c r="U89" s="81"/>
      <c r="V89" s="85"/>
      <c r="W89" s="81"/>
      <c r="X89" s="64"/>
      <c r="Y89" s="59">
        <v>1</v>
      </c>
      <c r="Z89" s="59" t="str">
        <f>VLOOKUP(Y89,detail_maturity_score,3,FALSE)</f>
        <v/>
      </c>
    </row>
    <row r="90" spans="1:26" s="55" customFormat="1" ht="16" x14ac:dyDescent="0.2">
      <c r="A90" s="27">
        <v>139</v>
      </c>
      <c r="B90" s="28" t="str">
        <f t="shared" si="6"/>
        <v>1.3.17c</v>
      </c>
      <c r="C90" s="29">
        <f t="shared" si="7"/>
        <v>6</v>
      </c>
      <c r="D90" s="3"/>
      <c r="E90" s="30"/>
      <c r="F90" s="36"/>
      <c r="G90" s="45"/>
      <c r="H90" s="67" t="str">
        <f>IF(ISERROR(VLOOKUP(Y90,detail_maturity_score,3,FALSE)*VLOOKUP(#REF!,weighting_scores,2,FALSE)),"",VLOOKUP(Y90,detail_maturity_score,3,FALSE)*VLOOKUP(#REF!,weighting_scores,2,FALSE))</f>
        <v/>
      </c>
      <c r="I90" s="133"/>
      <c r="J90" s="29"/>
      <c r="K90" s="29"/>
      <c r="L90" s="29"/>
      <c r="M90" s="29"/>
      <c r="N90" s="29"/>
      <c r="O90" s="29"/>
      <c r="P90" s="29"/>
      <c r="Q90" s="29"/>
      <c r="R90" s="57"/>
      <c r="S90" s="29"/>
      <c r="T90" s="29"/>
      <c r="U90" s="81"/>
      <c r="V90" s="85"/>
      <c r="W90" s="81"/>
      <c r="X90" s="64"/>
      <c r="Y90" s="59">
        <v>1</v>
      </c>
      <c r="Z90" s="59" t="str">
        <f>VLOOKUP(Y90,detail_maturity_score,3,FALSE)</f>
        <v/>
      </c>
    </row>
    <row r="91" spans="1:26" s="55" customFormat="1" ht="16" x14ac:dyDescent="0.2">
      <c r="A91" s="27">
        <v>140</v>
      </c>
      <c r="B91" s="28" t="str">
        <f t="shared" si="6"/>
        <v>1.3.17d</v>
      </c>
      <c r="C91" s="29">
        <f t="shared" si="7"/>
        <v>6</v>
      </c>
      <c r="D91" s="3"/>
      <c r="E91" s="30"/>
      <c r="F91" s="36"/>
      <c r="G91" s="45"/>
      <c r="H91" s="67" t="str">
        <f>IF(ISERROR(VLOOKUP(Y91,detail_maturity_score,3,FALSE)*VLOOKUP(#REF!,weighting_scores,2,FALSE)),"",VLOOKUP(Y91,detail_maturity_score,3,FALSE)*VLOOKUP(#REF!,weighting_scores,2,FALSE))</f>
        <v/>
      </c>
      <c r="I91" s="133"/>
      <c r="J91" s="29"/>
      <c r="K91" s="29"/>
      <c r="L91" s="29"/>
      <c r="M91" s="29"/>
      <c r="N91" s="29"/>
      <c r="O91" s="29"/>
      <c r="P91" s="29"/>
      <c r="Q91" s="29"/>
      <c r="R91" s="57"/>
      <c r="S91" s="29"/>
      <c r="T91" s="29"/>
      <c r="U91" s="81"/>
      <c r="V91" s="85"/>
      <c r="W91" s="81"/>
      <c r="X91" s="64"/>
      <c r="Y91" s="59">
        <v>1</v>
      </c>
      <c r="Z91" s="59" t="str">
        <f>VLOOKUP(Y91,detail_maturity_score,3,FALSE)</f>
        <v/>
      </c>
    </row>
    <row r="92" spans="1:26" s="55" customFormat="1" ht="30" customHeight="1" x14ac:dyDescent="0.2">
      <c r="A92" s="27">
        <v>141</v>
      </c>
      <c r="B92" s="28" t="str">
        <f t="shared" si="6"/>
        <v>1.3.18</v>
      </c>
      <c r="C92" s="29">
        <f t="shared" si="7"/>
        <v>4</v>
      </c>
      <c r="D92" s="3"/>
      <c r="E92" s="30"/>
      <c r="F92" s="31"/>
      <c r="G92" s="45"/>
      <c r="H92" s="67" t="str">
        <f>IF(ISERROR(VLOOKUP(Y92,detail_maturity_score,3,FALSE)*VLOOKUP(#REF!,weighting_scores,2,FALSE)),"",VLOOKUP(Y92,detail_maturity_score,3,FALSE)*VLOOKUP(#REF!,weighting_scores,2,FALSE))</f>
        <v/>
      </c>
      <c r="I92" s="133"/>
      <c r="J92" s="29"/>
      <c r="K92" s="29"/>
      <c r="L92" s="29"/>
      <c r="M92" s="29"/>
      <c r="N92" s="29"/>
      <c r="O92" s="29"/>
      <c r="P92" s="29"/>
      <c r="Q92" s="29"/>
      <c r="R92" s="57"/>
      <c r="S92" s="29"/>
      <c r="T92" s="29"/>
      <c r="U92" s="81"/>
      <c r="V92" s="85"/>
      <c r="W92" s="81"/>
      <c r="X92" s="64"/>
      <c r="Y92" s="59"/>
      <c r="Z92" s="59"/>
    </row>
    <row r="93" spans="1:26" s="55" customFormat="1" ht="30" customHeight="1" x14ac:dyDescent="0.2">
      <c r="A93" s="27">
        <v>142</v>
      </c>
      <c r="B93" s="28" t="str">
        <f t="shared" si="6"/>
        <v>1.3.18a</v>
      </c>
      <c r="C93" s="29">
        <f t="shared" si="7"/>
        <v>6</v>
      </c>
      <c r="D93" s="3"/>
      <c r="E93" s="30"/>
      <c r="F93" s="36"/>
      <c r="G93" s="45"/>
      <c r="H93" s="67" t="str">
        <f>IF(ISERROR(VLOOKUP(Y93,detail_maturity_score,3,FALSE)*VLOOKUP(#REF!,weighting_scores,2,FALSE)),"",VLOOKUP(Y93,detail_maturity_score,3,FALSE)*VLOOKUP(#REF!,weighting_scores,2,FALSE))</f>
        <v/>
      </c>
      <c r="I93" s="133"/>
      <c r="J93" s="29"/>
      <c r="K93" s="29"/>
      <c r="L93" s="29"/>
      <c r="M93" s="29"/>
      <c r="N93" s="29"/>
      <c r="O93" s="29"/>
      <c r="P93" s="29"/>
      <c r="Q93" s="29"/>
      <c r="R93" s="57"/>
      <c r="S93" s="29"/>
      <c r="T93" s="29"/>
      <c r="U93" s="81"/>
      <c r="V93" s="85"/>
      <c r="W93" s="81"/>
      <c r="X93" s="64"/>
      <c r="Y93" s="59">
        <v>1</v>
      </c>
      <c r="Z93" s="59" t="str">
        <f>VLOOKUP(Y93,detail_maturity_score,3,FALSE)</f>
        <v/>
      </c>
    </row>
    <row r="94" spans="1:26" s="55" customFormat="1" ht="30" customHeight="1" x14ac:dyDescent="0.2">
      <c r="A94" s="27">
        <v>143</v>
      </c>
      <c r="B94" s="28" t="str">
        <f t="shared" si="6"/>
        <v>1.3.18b</v>
      </c>
      <c r="C94" s="29">
        <f t="shared" si="7"/>
        <v>6</v>
      </c>
      <c r="D94" s="3"/>
      <c r="E94" s="30"/>
      <c r="F94" s="36"/>
      <c r="G94" s="45"/>
      <c r="H94" s="67" t="str">
        <f>IF(ISERROR(VLOOKUP(Y94,detail_maturity_score,3,FALSE)*VLOOKUP(#REF!,weighting_scores,2,FALSE)),"",VLOOKUP(Y94,detail_maturity_score,3,FALSE)*VLOOKUP(#REF!,weighting_scores,2,FALSE))</f>
        <v/>
      </c>
      <c r="I94" s="133"/>
      <c r="J94" s="29"/>
      <c r="K94" s="29"/>
      <c r="L94" s="29"/>
      <c r="M94" s="29"/>
      <c r="N94" s="29"/>
      <c r="O94" s="29"/>
      <c r="P94" s="29"/>
      <c r="Q94" s="29"/>
      <c r="R94" s="57"/>
      <c r="S94" s="29"/>
      <c r="T94" s="29"/>
      <c r="U94" s="81"/>
      <c r="V94" s="85"/>
      <c r="W94" s="81"/>
      <c r="X94" s="64"/>
      <c r="Y94" s="59">
        <v>1</v>
      </c>
      <c r="Z94" s="59" t="str">
        <f>VLOOKUP(Y94,detail_maturity_score,3,FALSE)</f>
        <v/>
      </c>
    </row>
    <row r="95" spans="1:26" s="55" customFormat="1" ht="30" customHeight="1" x14ac:dyDescent="0.2">
      <c r="A95" s="27">
        <v>144</v>
      </c>
      <c r="B95" s="28" t="str">
        <f t="shared" si="6"/>
        <v>1.3.18c</v>
      </c>
      <c r="C95" s="29">
        <f t="shared" si="7"/>
        <v>6</v>
      </c>
      <c r="D95" s="3"/>
      <c r="E95" s="30"/>
      <c r="F95" s="36"/>
      <c r="G95" s="45"/>
      <c r="H95" s="67" t="str">
        <f>IF(ISERROR(VLOOKUP(Y95,detail_maturity_score,3,FALSE)*VLOOKUP(#REF!,weighting_scores,2,FALSE)),"",VLOOKUP(Y95,detail_maturity_score,3,FALSE)*VLOOKUP(#REF!,weighting_scores,2,FALSE))</f>
        <v/>
      </c>
      <c r="I95" s="133"/>
      <c r="J95" s="29"/>
      <c r="K95" s="29"/>
      <c r="L95" s="29"/>
      <c r="M95" s="29"/>
      <c r="N95" s="29"/>
      <c r="O95" s="29"/>
      <c r="P95" s="29"/>
      <c r="Q95" s="29"/>
      <c r="R95" s="57"/>
      <c r="S95" s="29"/>
      <c r="T95" s="29"/>
      <c r="U95" s="81"/>
      <c r="V95" s="85"/>
      <c r="W95" s="81"/>
      <c r="X95" s="64"/>
      <c r="Y95" s="59">
        <v>1</v>
      </c>
      <c r="Z95" s="59" t="str">
        <f>VLOOKUP(Y95,detail_maturity_score,3,FALSE)</f>
        <v/>
      </c>
    </row>
    <row r="96" spans="1:26" s="55" customFormat="1" x14ac:dyDescent="0.2">
      <c r="A96" s="27">
        <v>145</v>
      </c>
      <c r="B96" s="28" t="str">
        <f t="shared" si="6"/>
        <v>1.3.19</v>
      </c>
      <c r="C96" s="29">
        <f t="shared" si="7"/>
        <v>4</v>
      </c>
      <c r="D96" s="3"/>
      <c r="E96" s="30"/>
      <c r="F96" s="31"/>
      <c r="G96" s="45"/>
      <c r="H96" s="67" t="str">
        <f>IF(ISERROR(VLOOKUP(Y96,detail_maturity_score,3,FALSE)*VLOOKUP(#REF!,weighting_scores,2,FALSE)),"",VLOOKUP(Y96,detail_maturity_score,3,FALSE)*VLOOKUP(#REF!,weighting_scores,2,FALSE))</f>
        <v/>
      </c>
      <c r="I96" s="133"/>
      <c r="J96" s="29"/>
      <c r="K96" s="29"/>
      <c r="L96" s="29"/>
      <c r="M96" s="29"/>
      <c r="N96" s="29"/>
      <c r="O96" s="29"/>
      <c r="P96" s="29"/>
      <c r="Q96" s="29"/>
      <c r="R96" s="57"/>
      <c r="S96" s="29"/>
      <c r="T96" s="29"/>
      <c r="U96" s="81"/>
      <c r="V96" s="85"/>
      <c r="W96" s="81"/>
      <c r="X96" s="64"/>
      <c r="Y96" s="59"/>
      <c r="Z96" s="59"/>
    </row>
    <row r="97" spans="1:26" s="55" customFormat="1" ht="30" customHeight="1" x14ac:dyDescent="0.2">
      <c r="A97" s="27">
        <v>146</v>
      </c>
      <c r="B97" s="28" t="str">
        <f t="shared" si="6"/>
        <v>1.3.19a</v>
      </c>
      <c r="C97" s="29">
        <f t="shared" si="7"/>
        <v>6</v>
      </c>
      <c r="D97" s="3"/>
      <c r="E97" s="30"/>
      <c r="F97" s="36"/>
      <c r="G97" s="45"/>
      <c r="H97" s="67" t="str">
        <f>IF(ISERROR(VLOOKUP(Y97,detail_maturity_score,3,FALSE)*VLOOKUP(#REF!,weighting_scores,2,FALSE)),"",VLOOKUP(Y97,detail_maturity_score,3,FALSE)*VLOOKUP(#REF!,weighting_scores,2,FALSE))</f>
        <v/>
      </c>
      <c r="I97" s="133"/>
      <c r="J97" s="29"/>
      <c r="K97" s="29"/>
      <c r="L97" s="29"/>
      <c r="M97" s="29"/>
      <c r="N97" s="29"/>
      <c r="O97" s="29"/>
      <c r="P97" s="29"/>
      <c r="Q97" s="29"/>
      <c r="R97" s="57"/>
      <c r="S97" s="29"/>
      <c r="T97" s="29"/>
      <c r="U97" s="81"/>
      <c r="V97" s="85"/>
      <c r="W97" s="81"/>
      <c r="X97" s="64"/>
      <c r="Y97" s="59">
        <v>1</v>
      </c>
      <c r="Z97" s="59" t="str">
        <f>VLOOKUP(Y97,detail_maturity_score,3,FALSE)</f>
        <v/>
      </c>
    </row>
    <row r="98" spans="1:26" s="55" customFormat="1" ht="16" x14ac:dyDescent="0.2">
      <c r="A98" s="27">
        <v>147</v>
      </c>
      <c r="B98" s="28" t="str">
        <f t="shared" si="6"/>
        <v>1.3.19b</v>
      </c>
      <c r="C98" s="29">
        <f t="shared" si="7"/>
        <v>6</v>
      </c>
      <c r="D98" s="3"/>
      <c r="E98" s="30"/>
      <c r="F98" s="36"/>
      <c r="G98" s="45"/>
      <c r="H98" s="67" t="str">
        <f>IF(ISERROR(VLOOKUP(Y98,detail_maturity_score,3,FALSE)*VLOOKUP(#REF!,weighting_scores,2,FALSE)),"",VLOOKUP(Y98,detail_maturity_score,3,FALSE)*VLOOKUP(#REF!,weighting_scores,2,FALSE))</f>
        <v/>
      </c>
      <c r="I98" s="133"/>
      <c r="J98" s="29"/>
      <c r="K98" s="29"/>
      <c r="L98" s="29"/>
      <c r="M98" s="29"/>
      <c r="N98" s="29"/>
      <c r="O98" s="29"/>
      <c r="P98" s="29"/>
      <c r="Q98" s="29"/>
      <c r="R98" s="57"/>
      <c r="S98" s="29"/>
      <c r="T98" s="29"/>
      <c r="U98" s="81"/>
      <c r="V98" s="85"/>
      <c r="W98" s="81"/>
      <c r="X98" s="64"/>
      <c r="Y98" s="59">
        <v>1</v>
      </c>
      <c r="Z98" s="59" t="str">
        <f>VLOOKUP(Y98,detail_maturity_score,3,FALSE)</f>
        <v/>
      </c>
    </row>
    <row r="99" spans="1:26" s="55" customFormat="1" ht="30" customHeight="1" x14ac:dyDescent="0.2">
      <c r="A99" s="27">
        <v>148</v>
      </c>
      <c r="B99" s="28" t="str">
        <f t="shared" si="6"/>
        <v>1.3.19c</v>
      </c>
      <c r="C99" s="29">
        <f t="shared" si="7"/>
        <v>6</v>
      </c>
      <c r="D99" s="3"/>
      <c r="E99" s="30"/>
      <c r="F99" s="36"/>
      <c r="G99" s="45"/>
      <c r="H99" s="67" t="str">
        <f>IF(ISERROR(VLOOKUP(Y99,detail_maturity_score,3,FALSE)*VLOOKUP(#REF!,weighting_scores,2,FALSE)),"",VLOOKUP(Y99,detail_maturity_score,3,FALSE)*VLOOKUP(#REF!,weighting_scores,2,FALSE))</f>
        <v/>
      </c>
      <c r="I99" s="133"/>
      <c r="J99" s="29"/>
      <c r="K99" s="29"/>
      <c r="L99" s="29"/>
      <c r="M99" s="29"/>
      <c r="N99" s="29"/>
      <c r="O99" s="29"/>
      <c r="P99" s="29"/>
      <c r="Q99" s="29"/>
      <c r="R99" s="57"/>
      <c r="S99" s="29"/>
      <c r="T99" s="29"/>
      <c r="U99" s="81"/>
      <c r="V99" s="85"/>
      <c r="W99" s="81"/>
      <c r="X99" s="64"/>
      <c r="Y99" s="59">
        <v>1</v>
      </c>
      <c r="Z99" s="59" t="str">
        <f>VLOOKUP(Y99,detail_maturity_score,3,FALSE)</f>
        <v/>
      </c>
    </row>
    <row r="100" spans="1:26" s="55" customFormat="1" ht="30" customHeight="1" x14ac:dyDescent="0.2">
      <c r="A100" s="27">
        <v>149</v>
      </c>
      <c r="B100" s="28" t="str">
        <f t="shared" si="6"/>
        <v>1.3.20</v>
      </c>
      <c r="C100" s="29">
        <f t="shared" si="7"/>
        <v>4</v>
      </c>
      <c r="D100" s="3"/>
      <c r="E100" s="30"/>
      <c r="F100" s="31"/>
      <c r="G100" s="45"/>
      <c r="H100" s="67" t="str">
        <f>IF(ISERROR(VLOOKUP(Y100,detail_maturity_score,3,FALSE)*VLOOKUP(#REF!,weighting_scores,2,FALSE)),"",VLOOKUP(Y100,detail_maturity_score,3,FALSE)*VLOOKUP(#REF!,weighting_scores,2,FALSE))</f>
        <v/>
      </c>
      <c r="I100" s="133"/>
      <c r="J100" s="29"/>
      <c r="K100" s="29"/>
      <c r="L100" s="29"/>
      <c r="M100" s="29"/>
      <c r="N100" s="29"/>
      <c r="O100" s="29"/>
      <c r="P100" s="29"/>
      <c r="Q100" s="29"/>
      <c r="R100" s="57"/>
      <c r="S100" s="29"/>
      <c r="T100" s="29"/>
      <c r="U100" s="81"/>
      <c r="V100" s="85"/>
      <c r="W100" s="81"/>
      <c r="X100" s="64"/>
      <c r="Y100" s="59"/>
      <c r="Z100" s="59"/>
    </row>
    <row r="101" spans="1:26" s="55" customFormat="1" ht="30" customHeight="1" x14ac:dyDescent="0.2">
      <c r="A101" s="27">
        <v>150</v>
      </c>
      <c r="B101" s="28" t="str">
        <f t="shared" si="6"/>
        <v>1.3.20a</v>
      </c>
      <c r="C101" s="29">
        <f t="shared" si="7"/>
        <v>6</v>
      </c>
      <c r="D101" s="3"/>
      <c r="E101" s="30"/>
      <c r="F101" s="36"/>
      <c r="G101" s="45"/>
      <c r="H101" s="67" t="str">
        <f>IF(ISERROR(VLOOKUP(Y101,detail_maturity_score,3,FALSE)*VLOOKUP(#REF!,weighting_scores,2,FALSE)),"",VLOOKUP(Y101,detail_maturity_score,3,FALSE)*VLOOKUP(#REF!,weighting_scores,2,FALSE))</f>
        <v/>
      </c>
      <c r="I101" s="133"/>
      <c r="J101" s="29"/>
      <c r="K101" s="29"/>
      <c r="L101" s="29"/>
      <c r="M101" s="29"/>
      <c r="N101" s="29"/>
      <c r="O101" s="29"/>
      <c r="P101" s="29"/>
      <c r="Q101" s="29"/>
      <c r="R101" s="57"/>
      <c r="S101" s="29"/>
      <c r="T101" s="29"/>
      <c r="U101" s="81"/>
      <c r="V101" s="85"/>
      <c r="W101" s="81"/>
      <c r="X101" s="64"/>
      <c r="Y101" s="59">
        <v>1</v>
      </c>
      <c r="Z101" s="59" t="str">
        <f>VLOOKUP(Y101,detail_maturity_score,3,FALSE)</f>
        <v/>
      </c>
    </row>
    <row r="102" spans="1:26" s="55" customFormat="1" ht="30" customHeight="1" x14ac:dyDescent="0.2">
      <c r="A102" s="27">
        <v>151</v>
      </c>
      <c r="B102" s="28" t="str">
        <f t="shared" si="6"/>
        <v>1.3.20b</v>
      </c>
      <c r="C102" s="29">
        <f t="shared" si="7"/>
        <v>6</v>
      </c>
      <c r="D102" s="3"/>
      <c r="E102" s="30"/>
      <c r="F102" s="36"/>
      <c r="G102" s="45"/>
      <c r="H102" s="67" t="str">
        <f>IF(ISERROR(VLOOKUP(Y102,detail_maturity_score,3,FALSE)*VLOOKUP(#REF!,weighting_scores,2,FALSE)),"",VLOOKUP(Y102,detail_maturity_score,3,FALSE)*VLOOKUP(#REF!,weighting_scores,2,FALSE))</f>
        <v/>
      </c>
      <c r="I102" s="133"/>
      <c r="J102" s="29"/>
      <c r="K102" s="29"/>
      <c r="L102" s="29"/>
      <c r="M102" s="29"/>
      <c r="N102" s="29"/>
      <c r="O102" s="29"/>
      <c r="P102" s="29"/>
      <c r="Q102" s="29"/>
      <c r="R102" s="57"/>
      <c r="S102" s="29"/>
      <c r="T102" s="29"/>
      <c r="U102" s="81"/>
      <c r="V102" s="85"/>
      <c r="W102" s="81"/>
      <c r="X102" s="64"/>
      <c r="Y102" s="59">
        <v>1</v>
      </c>
      <c r="Z102" s="59" t="str">
        <f>VLOOKUP(Y102,detail_maturity_score,3,FALSE)</f>
        <v/>
      </c>
    </row>
    <row r="103" spans="1:26" s="55" customFormat="1" ht="30" customHeight="1" x14ac:dyDescent="0.2">
      <c r="A103" s="27">
        <v>152</v>
      </c>
      <c r="B103" s="28" t="str">
        <f t="shared" si="6"/>
        <v>1.3.21</v>
      </c>
      <c r="C103" s="29">
        <f t="shared" si="7"/>
        <v>4</v>
      </c>
      <c r="D103" s="3"/>
      <c r="E103" s="30"/>
      <c r="F103" s="31"/>
      <c r="G103" s="45"/>
      <c r="H103" s="67" t="str">
        <f>IF(ISERROR(VLOOKUP(Y103,detail_maturity_score,3,FALSE)*VLOOKUP(#REF!,weighting_scores,2,FALSE)),"",VLOOKUP(Y103,detail_maturity_score,3,FALSE)*VLOOKUP(#REF!,weighting_scores,2,FALSE))</f>
        <v/>
      </c>
      <c r="I103" s="133"/>
      <c r="J103" s="29"/>
      <c r="K103" s="29"/>
      <c r="L103" s="29"/>
      <c r="M103" s="29"/>
      <c r="N103" s="29"/>
      <c r="O103" s="29"/>
      <c r="P103" s="29"/>
      <c r="Q103" s="29"/>
      <c r="R103" s="57"/>
      <c r="S103" s="29"/>
      <c r="T103" s="29"/>
      <c r="U103" s="81"/>
      <c r="V103" s="85"/>
      <c r="W103" s="81"/>
      <c r="X103" s="64"/>
      <c r="Y103" s="59"/>
      <c r="Z103" s="59"/>
    </row>
    <row r="104" spans="1:26" s="55" customFormat="1" ht="30" customHeight="1" x14ac:dyDescent="0.2">
      <c r="A104" s="27">
        <v>153</v>
      </c>
      <c r="B104" s="28" t="str">
        <f t="shared" si="6"/>
        <v>1.3.21a</v>
      </c>
      <c r="C104" s="29">
        <f t="shared" si="7"/>
        <v>6</v>
      </c>
      <c r="D104" s="3"/>
      <c r="E104" s="30"/>
      <c r="F104" s="36"/>
      <c r="G104" s="45"/>
      <c r="H104" s="67" t="str">
        <f>IF(ISERROR(VLOOKUP(Y104,detail_maturity_score,3,FALSE)*VLOOKUP(#REF!,weighting_scores,2,FALSE)),"",VLOOKUP(Y104,detail_maturity_score,3,FALSE)*VLOOKUP(#REF!,weighting_scores,2,FALSE))</f>
        <v/>
      </c>
      <c r="I104" s="133"/>
      <c r="J104" s="29"/>
      <c r="K104" s="29"/>
      <c r="L104" s="29"/>
      <c r="M104" s="29"/>
      <c r="N104" s="29"/>
      <c r="O104" s="29"/>
      <c r="P104" s="29"/>
      <c r="Q104" s="29"/>
      <c r="R104" s="57"/>
      <c r="S104" s="29"/>
      <c r="T104" s="29"/>
      <c r="U104" s="81"/>
      <c r="V104" s="85"/>
      <c r="W104" s="81"/>
      <c r="X104" s="64"/>
      <c r="Y104" s="59">
        <v>1</v>
      </c>
      <c r="Z104" s="59" t="str">
        <f>VLOOKUP(Y104,detail_maturity_score,3,FALSE)</f>
        <v/>
      </c>
    </row>
    <row r="105" spans="1:26" s="55" customFormat="1" ht="30" customHeight="1" x14ac:dyDescent="0.2">
      <c r="A105" s="27">
        <v>154</v>
      </c>
      <c r="B105" s="28" t="str">
        <f t="shared" si="6"/>
        <v>1.3.21b</v>
      </c>
      <c r="C105" s="29">
        <f t="shared" si="7"/>
        <v>6</v>
      </c>
      <c r="D105" s="3"/>
      <c r="E105" s="30"/>
      <c r="F105" s="36"/>
      <c r="G105" s="45"/>
      <c r="H105" s="67" t="str">
        <f>IF(ISERROR(VLOOKUP(Y105,detail_maturity_score,3,FALSE)*VLOOKUP(#REF!,weighting_scores,2,FALSE)),"",VLOOKUP(Y105,detail_maturity_score,3,FALSE)*VLOOKUP(#REF!,weighting_scores,2,FALSE))</f>
        <v/>
      </c>
      <c r="I105" s="133"/>
      <c r="J105" s="29"/>
      <c r="K105" s="29"/>
      <c r="L105" s="29"/>
      <c r="M105" s="29"/>
      <c r="N105" s="29"/>
      <c r="O105" s="29"/>
      <c r="P105" s="29"/>
      <c r="Q105" s="29"/>
      <c r="R105" s="57"/>
      <c r="S105" s="29"/>
      <c r="T105" s="29"/>
      <c r="U105" s="81"/>
      <c r="V105" s="85"/>
      <c r="W105" s="81"/>
      <c r="X105" s="64"/>
      <c r="Y105" s="59">
        <v>1</v>
      </c>
      <c r="Z105" s="59" t="str">
        <f>VLOOKUP(Y105,detail_maturity_score,3,FALSE)</f>
        <v/>
      </c>
    </row>
    <row r="106" spans="1:26" s="55" customFormat="1" ht="30" customHeight="1" x14ac:dyDescent="0.2">
      <c r="A106" s="27">
        <v>155</v>
      </c>
      <c r="B106" s="28" t="str">
        <f t="shared" si="6"/>
        <v>1.3.21c</v>
      </c>
      <c r="C106" s="29">
        <f t="shared" si="7"/>
        <v>6</v>
      </c>
      <c r="D106" s="3"/>
      <c r="E106" s="30"/>
      <c r="F106" s="36"/>
      <c r="G106" s="45"/>
      <c r="H106" s="67" t="str">
        <f>IF(ISERROR(VLOOKUP(Y106,detail_maturity_score,3,FALSE)*VLOOKUP(#REF!,weighting_scores,2,FALSE)),"",VLOOKUP(Y106,detail_maturity_score,3,FALSE)*VLOOKUP(#REF!,weighting_scores,2,FALSE))</f>
        <v/>
      </c>
      <c r="I106" s="133"/>
      <c r="J106" s="29"/>
      <c r="K106" s="29"/>
      <c r="L106" s="29"/>
      <c r="M106" s="29"/>
      <c r="N106" s="29"/>
      <c r="O106" s="29"/>
      <c r="P106" s="29"/>
      <c r="Q106" s="29"/>
      <c r="R106" s="57"/>
      <c r="S106" s="29"/>
      <c r="T106" s="29"/>
      <c r="U106" s="81"/>
      <c r="V106" s="85"/>
      <c r="W106" s="81"/>
      <c r="X106" s="64"/>
      <c r="Y106" s="59">
        <v>1</v>
      </c>
      <c r="Z106" s="59" t="str">
        <f>VLOOKUP(Y106,detail_maturity_score,3,FALSE)</f>
        <v/>
      </c>
    </row>
    <row r="107" spans="1:26" s="55" customFormat="1" ht="30" customHeight="1" x14ac:dyDescent="0.2">
      <c r="A107" s="27">
        <v>156</v>
      </c>
      <c r="B107" s="28" t="str">
        <f t="shared" si="6"/>
        <v>1.3.22</v>
      </c>
      <c r="C107" s="29">
        <f t="shared" si="7"/>
        <v>5</v>
      </c>
      <c r="D107" s="3"/>
      <c r="E107" s="30"/>
      <c r="F107" s="31"/>
      <c r="G107" s="45"/>
      <c r="H107" s="67" t="str">
        <f>IF(ISERROR(VLOOKUP(Y107,detail_maturity_score,3,FALSE)*VLOOKUP(#REF!,weighting_scores,2,FALSE)),"",VLOOKUP(Y107,detail_maturity_score,3,FALSE)*VLOOKUP(#REF!,weighting_scores,2,FALSE))</f>
        <v/>
      </c>
      <c r="I107" s="133"/>
      <c r="J107" s="29"/>
      <c r="K107" s="29"/>
      <c r="L107" s="29"/>
      <c r="M107" s="29"/>
      <c r="N107" s="29"/>
      <c r="O107" s="29"/>
      <c r="P107" s="29"/>
      <c r="Q107" s="29"/>
      <c r="R107" s="57"/>
      <c r="S107" s="29"/>
      <c r="T107" s="29"/>
      <c r="U107" s="81"/>
      <c r="V107" s="85"/>
      <c r="W107" s="81"/>
      <c r="X107" s="92"/>
      <c r="Y107" s="59">
        <v>1</v>
      </c>
      <c r="Z107" s="59" t="str">
        <f>VLOOKUP(Y107,detail_maturity_score,3,FALSE)</f>
        <v/>
      </c>
    </row>
    <row r="108" spans="1:26" s="55" customFormat="1" ht="30" customHeight="1" x14ac:dyDescent="0.2">
      <c r="A108" s="27">
        <v>157</v>
      </c>
      <c r="B108" s="28" t="str">
        <f t="shared" si="6"/>
        <v>1.3.23</v>
      </c>
      <c r="C108" s="29">
        <f t="shared" si="7"/>
        <v>5</v>
      </c>
      <c r="D108" s="3"/>
      <c r="E108" s="30"/>
      <c r="F108" s="31"/>
      <c r="G108" s="45"/>
      <c r="H108" s="67" t="str">
        <f>IF(ISERROR(VLOOKUP(Y108,detail_maturity_score,3,FALSE)*VLOOKUP(#REF!,weighting_scores,2,FALSE)),"",VLOOKUP(Y108,detail_maturity_score,3,FALSE)*VLOOKUP(#REF!,weighting_scores,2,FALSE))</f>
        <v/>
      </c>
      <c r="I108" s="133"/>
      <c r="J108" s="29"/>
      <c r="K108" s="29"/>
      <c r="L108" s="29"/>
      <c r="M108" s="29"/>
      <c r="N108" s="29"/>
      <c r="O108" s="29"/>
      <c r="P108" s="29"/>
      <c r="Q108" s="29"/>
      <c r="R108" s="57"/>
      <c r="S108" s="29"/>
      <c r="T108" s="29"/>
      <c r="U108" s="81"/>
      <c r="V108" s="85"/>
      <c r="W108" s="81"/>
      <c r="X108" s="92"/>
      <c r="Y108" s="59">
        <v>1</v>
      </c>
      <c r="Z108" s="59" t="str">
        <f>VLOOKUP(Y108,detail_maturity_score,3,FALSE)</f>
        <v/>
      </c>
    </row>
    <row r="109" spans="1:26" s="55" customFormat="1" ht="18.75" customHeight="1" x14ac:dyDescent="0.2">
      <c r="A109" s="29">
        <v>158</v>
      </c>
      <c r="B109" s="29" t="str">
        <f t="shared" si="6"/>
        <v/>
      </c>
      <c r="C109" s="29">
        <f t="shared" si="7"/>
        <v>3</v>
      </c>
      <c r="D109" s="3"/>
      <c r="E109" s="34"/>
      <c r="F109" s="35"/>
      <c r="G109" s="43"/>
      <c r="H109" s="67" t="str">
        <f>IF(ISERROR(VLOOKUP(Y109,detail_maturity_score,3,FALSE)*VLOOKUP(#REF!,weighting_scores,2,FALSE)),"",VLOOKUP(Y109,detail_maturity_score,3,FALSE)*VLOOKUP(#REF!,weighting_scores,2,FALSE))</f>
        <v/>
      </c>
      <c r="I109" s="133"/>
      <c r="J109" s="29"/>
      <c r="K109" s="29"/>
      <c r="L109" s="29"/>
      <c r="M109" s="29"/>
      <c r="N109" s="29"/>
      <c r="O109" s="29"/>
      <c r="P109" s="29"/>
      <c r="Q109" s="29"/>
      <c r="R109" s="57"/>
      <c r="S109" s="29"/>
      <c r="T109" s="29"/>
      <c r="U109" s="81"/>
      <c r="V109" s="81"/>
      <c r="W109" s="81"/>
      <c r="X109" s="64"/>
      <c r="Y109" s="59"/>
      <c r="Z109" s="59"/>
    </row>
    <row r="110" spans="1:26" s="55" customFormat="1" ht="16" x14ac:dyDescent="0.2">
      <c r="A110" s="27">
        <v>159</v>
      </c>
      <c r="B110" s="28" t="str">
        <f t="shared" si="6"/>
        <v>1.3.23</v>
      </c>
      <c r="C110" s="29">
        <f t="shared" si="7"/>
        <v>5</v>
      </c>
      <c r="D110" s="3"/>
      <c r="E110" s="30"/>
      <c r="F110" s="31"/>
      <c r="G110" s="45"/>
      <c r="H110" s="67" t="str">
        <f>IF(ISERROR(VLOOKUP(Y110,detail_maturity_score,3,FALSE)*VLOOKUP(#REF!,weighting_scores,2,FALSE)),"",VLOOKUP(Y110,detail_maturity_score,3,FALSE)*VLOOKUP(#REF!,weighting_scores,2,FALSE))</f>
        <v/>
      </c>
      <c r="I110" s="133"/>
      <c r="J110" s="29"/>
      <c r="K110" s="29"/>
      <c r="L110" s="29"/>
      <c r="M110" s="29"/>
      <c r="N110" s="29"/>
      <c r="O110" s="29"/>
      <c r="P110" s="29"/>
      <c r="Q110" s="29"/>
      <c r="R110" s="57"/>
      <c r="S110" s="29"/>
      <c r="T110" s="29"/>
      <c r="U110" s="81"/>
      <c r="V110" s="85"/>
      <c r="W110" s="81"/>
      <c r="X110" s="92"/>
      <c r="Y110" s="59">
        <v>1</v>
      </c>
      <c r="Z110" s="59" t="str">
        <f>VLOOKUP(Y110,detail_maturity_score,3,FALSE)</f>
        <v/>
      </c>
    </row>
    <row r="111" spans="1:26" s="55" customFormat="1" x14ac:dyDescent="0.2">
      <c r="A111" s="27">
        <v>160</v>
      </c>
      <c r="B111" s="28" t="str">
        <f t="shared" si="6"/>
        <v>1.3.24</v>
      </c>
      <c r="C111" s="29">
        <f t="shared" si="7"/>
        <v>4</v>
      </c>
      <c r="D111" s="3"/>
      <c r="E111" s="30"/>
      <c r="F111" s="31"/>
      <c r="G111" s="45"/>
      <c r="H111" s="67" t="str">
        <f>IF(ISERROR(VLOOKUP(Y111,detail_maturity_score,3,FALSE)*VLOOKUP(#REF!,weighting_scores,2,FALSE)),"",VLOOKUP(Y111,detail_maturity_score,3,FALSE)*VLOOKUP(#REF!,weighting_scores,2,FALSE))</f>
        <v/>
      </c>
      <c r="I111" s="133"/>
      <c r="J111" s="29"/>
      <c r="K111" s="29"/>
      <c r="L111" s="29"/>
      <c r="M111" s="29"/>
      <c r="N111" s="29"/>
      <c r="O111" s="29"/>
      <c r="P111" s="29"/>
      <c r="Q111" s="29"/>
      <c r="R111" s="57"/>
      <c r="S111" s="29"/>
      <c r="T111" s="29"/>
      <c r="U111" s="81"/>
      <c r="V111" s="85"/>
      <c r="W111" s="81"/>
      <c r="X111" s="64"/>
      <c r="Y111" s="59"/>
      <c r="Z111" s="59"/>
    </row>
    <row r="112" spans="1:26" s="55" customFormat="1" ht="30" customHeight="1" x14ac:dyDescent="0.2">
      <c r="A112" s="27">
        <v>161</v>
      </c>
      <c r="B112" s="28" t="str">
        <f t="shared" si="6"/>
        <v>1.3.24a</v>
      </c>
      <c r="C112" s="29">
        <f t="shared" si="7"/>
        <v>6</v>
      </c>
      <c r="D112" s="3"/>
      <c r="E112" s="30"/>
      <c r="F112" s="36"/>
      <c r="G112" s="45"/>
      <c r="H112" s="67" t="str">
        <f>IF(ISERROR(VLOOKUP(Y112,detail_maturity_score,3,FALSE)*VLOOKUP(#REF!,weighting_scores,2,FALSE)),"",VLOOKUP(Y112,detail_maturity_score,3,FALSE)*VLOOKUP(#REF!,weighting_scores,2,FALSE))</f>
        <v/>
      </c>
      <c r="I112" s="133"/>
      <c r="J112" s="29"/>
      <c r="K112" s="29"/>
      <c r="L112" s="29"/>
      <c r="M112" s="29"/>
      <c r="N112" s="29"/>
      <c r="O112" s="29"/>
      <c r="P112" s="29"/>
      <c r="Q112" s="29"/>
      <c r="R112" s="57"/>
      <c r="S112" s="29"/>
      <c r="T112" s="29"/>
      <c r="U112" s="81"/>
      <c r="V112" s="85"/>
      <c r="W112" s="81"/>
      <c r="X112" s="64"/>
      <c r="Y112" s="59">
        <v>1</v>
      </c>
      <c r="Z112" s="59" t="str">
        <f>VLOOKUP(Y112,detail_maturity_score,3,FALSE)</f>
        <v/>
      </c>
    </row>
    <row r="113" spans="1:26" s="55" customFormat="1" ht="30" customHeight="1" x14ac:dyDescent="0.2">
      <c r="A113" s="27">
        <v>162</v>
      </c>
      <c r="B113" s="28" t="str">
        <f t="shared" si="6"/>
        <v>1.3.24b</v>
      </c>
      <c r="C113" s="29">
        <f t="shared" si="7"/>
        <v>6</v>
      </c>
      <c r="D113" s="3"/>
      <c r="E113" s="30"/>
      <c r="F113" s="36"/>
      <c r="G113" s="45"/>
      <c r="H113" s="67" t="str">
        <f>IF(ISERROR(VLOOKUP(Y113,detail_maturity_score,3,FALSE)*VLOOKUP(#REF!,weighting_scores,2,FALSE)),"",VLOOKUP(Y113,detail_maturity_score,3,FALSE)*VLOOKUP(#REF!,weighting_scores,2,FALSE))</f>
        <v/>
      </c>
      <c r="I113" s="133"/>
      <c r="J113" s="29"/>
      <c r="K113" s="29"/>
      <c r="L113" s="29"/>
      <c r="M113" s="29"/>
      <c r="N113" s="29"/>
      <c r="O113" s="29"/>
      <c r="P113" s="29"/>
      <c r="Q113" s="29"/>
      <c r="R113" s="57"/>
      <c r="S113" s="29"/>
      <c r="T113" s="29"/>
      <c r="U113" s="81"/>
      <c r="V113" s="85"/>
      <c r="W113" s="81"/>
      <c r="X113" s="64"/>
      <c r="Y113" s="59">
        <v>1</v>
      </c>
      <c r="Z113" s="59" t="str">
        <f>VLOOKUP(Y113,detail_maturity_score,3,FALSE)</f>
        <v/>
      </c>
    </row>
    <row r="114" spans="1:26" s="55" customFormat="1" x14ac:dyDescent="0.2">
      <c r="A114" s="27">
        <v>163</v>
      </c>
      <c r="B114" s="28" t="str">
        <f t="shared" si="6"/>
        <v>1.3.25</v>
      </c>
      <c r="C114" s="29">
        <f t="shared" si="7"/>
        <v>4</v>
      </c>
      <c r="D114" s="3"/>
      <c r="E114" s="30"/>
      <c r="F114" s="31"/>
      <c r="G114" s="45"/>
      <c r="H114" s="67" t="str">
        <f>IF(ISERROR(VLOOKUP(Y114,detail_maturity_score,3,FALSE)*VLOOKUP(#REF!,weighting_scores,2,FALSE)),"",VLOOKUP(Y114,detail_maturity_score,3,FALSE)*VLOOKUP(#REF!,weighting_scores,2,FALSE))</f>
        <v/>
      </c>
      <c r="I114" s="133"/>
      <c r="J114" s="29"/>
      <c r="K114" s="29"/>
      <c r="L114" s="29"/>
      <c r="M114" s="29"/>
      <c r="N114" s="29"/>
      <c r="O114" s="29"/>
      <c r="P114" s="29"/>
      <c r="Q114" s="29"/>
      <c r="R114" s="57"/>
      <c r="S114" s="29"/>
      <c r="T114" s="29"/>
      <c r="U114" s="81"/>
      <c r="V114" s="85"/>
      <c r="W114" s="81"/>
      <c r="X114" s="64"/>
      <c r="Y114" s="59"/>
      <c r="Z114" s="59"/>
    </row>
    <row r="115" spans="1:26" s="55" customFormat="1" ht="30" customHeight="1" x14ac:dyDescent="0.2">
      <c r="A115" s="27">
        <v>164</v>
      </c>
      <c r="B115" s="28" t="str">
        <f t="shared" si="6"/>
        <v>1.3.25a</v>
      </c>
      <c r="C115" s="29">
        <f t="shared" si="7"/>
        <v>6</v>
      </c>
      <c r="D115" s="3"/>
      <c r="E115" s="30"/>
      <c r="F115" s="36"/>
      <c r="G115" s="45"/>
      <c r="H115" s="67" t="str">
        <f>IF(ISERROR(VLOOKUP(Y115,detail_maturity_score,3,FALSE)*VLOOKUP(#REF!,weighting_scores,2,FALSE)),"",VLOOKUP(Y115,detail_maturity_score,3,FALSE)*VLOOKUP(#REF!,weighting_scores,2,FALSE))</f>
        <v/>
      </c>
      <c r="I115" s="133"/>
      <c r="J115" s="29"/>
      <c r="K115" s="29"/>
      <c r="L115" s="29"/>
      <c r="M115" s="29"/>
      <c r="N115" s="29"/>
      <c r="O115" s="29"/>
      <c r="P115" s="29"/>
      <c r="Q115" s="29"/>
      <c r="R115" s="57"/>
      <c r="S115" s="29"/>
      <c r="T115" s="29"/>
      <c r="U115" s="81"/>
      <c r="V115" s="85"/>
      <c r="W115" s="81"/>
      <c r="X115" s="64"/>
      <c r="Y115" s="59">
        <v>1</v>
      </c>
      <c r="Z115" s="59" t="str">
        <f t="shared" ref="Z115:Z121" si="8">VLOOKUP(Y115,detail_maturity_score,3,FALSE)</f>
        <v/>
      </c>
    </row>
    <row r="116" spans="1:26" s="55" customFormat="1" ht="16" x14ac:dyDescent="0.2">
      <c r="A116" s="27">
        <v>165</v>
      </c>
      <c r="B116" s="28" t="str">
        <f t="shared" si="6"/>
        <v>1.3.25b</v>
      </c>
      <c r="C116" s="29">
        <f t="shared" si="7"/>
        <v>6</v>
      </c>
      <c r="D116" s="3"/>
      <c r="E116" s="30"/>
      <c r="F116" s="36"/>
      <c r="G116" s="45"/>
      <c r="H116" s="67" t="str">
        <f>IF(ISERROR(VLOOKUP(Y116,detail_maturity_score,3,FALSE)*VLOOKUP(#REF!,weighting_scores,2,FALSE)),"",VLOOKUP(Y116,detail_maturity_score,3,FALSE)*VLOOKUP(#REF!,weighting_scores,2,FALSE))</f>
        <v/>
      </c>
      <c r="I116" s="133"/>
      <c r="J116" s="29"/>
      <c r="K116" s="29"/>
      <c r="L116" s="29"/>
      <c r="M116" s="29"/>
      <c r="N116" s="29"/>
      <c r="O116" s="29"/>
      <c r="P116" s="29"/>
      <c r="Q116" s="29"/>
      <c r="R116" s="57"/>
      <c r="S116" s="29"/>
      <c r="T116" s="29"/>
      <c r="U116" s="81"/>
      <c r="V116" s="85"/>
      <c r="W116" s="81"/>
      <c r="X116" s="64"/>
      <c r="Y116" s="59">
        <v>1</v>
      </c>
      <c r="Z116" s="59" t="str">
        <f t="shared" si="8"/>
        <v/>
      </c>
    </row>
    <row r="117" spans="1:26" s="55" customFormat="1" ht="16" x14ac:dyDescent="0.2">
      <c r="A117" s="27">
        <v>166</v>
      </c>
      <c r="B117" s="28" t="str">
        <f t="shared" si="6"/>
        <v>1.3.25c</v>
      </c>
      <c r="C117" s="29">
        <f t="shared" si="7"/>
        <v>6</v>
      </c>
      <c r="D117" s="3"/>
      <c r="E117" s="30"/>
      <c r="F117" s="36"/>
      <c r="G117" s="45"/>
      <c r="H117" s="67" t="str">
        <f>IF(ISERROR(VLOOKUP(Y117,detail_maturity_score,3,FALSE)*VLOOKUP(#REF!,weighting_scores,2,FALSE)),"",VLOOKUP(Y117,detail_maturity_score,3,FALSE)*VLOOKUP(#REF!,weighting_scores,2,FALSE))</f>
        <v/>
      </c>
      <c r="I117" s="133"/>
      <c r="J117" s="29"/>
      <c r="K117" s="29"/>
      <c r="L117" s="29"/>
      <c r="M117" s="29"/>
      <c r="N117" s="29"/>
      <c r="O117" s="29"/>
      <c r="P117" s="29"/>
      <c r="Q117" s="29"/>
      <c r="R117" s="57"/>
      <c r="S117" s="29"/>
      <c r="T117" s="29"/>
      <c r="U117" s="81"/>
      <c r="V117" s="85"/>
      <c r="W117" s="81"/>
      <c r="X117" s="64"/>
      <c r="Y117" s="59">
        <v>1</v>
      </c>
      <c r="Z117" s="59" t="str">
        <f t="shared" si="8"/>
        <v/>
      </c>
    </row>
    <row r="118" spans="1:26" s="55" customFormat="1" ht="16" x14ac:dyDescent="0.2">
      <c r="A118" s="27">
        <v>167</v>
      </c>
      <c r="B118" s="28" t="str">
        <f t="shared" si="6"/>
        <v>1.3.25d</v>
      </c>
      <c r="C118" s="29">
        <f t="shared" si="7"/>
        <v>6</v>
      </c>
      <c r="D118" s="3"/>
      <c r="E118" s="30"/>
      <c r="F118" s="36"/>
      <c r="G118" s="45"/>
      <c r="H118" s="67" t="str">
        <f>IF(ISERROR(VLOOKUP(Y118,detail_maturity_score,3,FALSE)*VLOOKUP(#REF!,weighting_scores,2,FALSE)),"",VLOOKUP(Y118,detail_maturity_score,3,FALSE)*VLOOKUP(#REF!,weighting_scores,2,FALSE))</f>
        <v/>
      </c>
      <c r="I118" s="133"/>
      <c r="J118" s="29"/>
      <c r="K118" s="29"/>
      <c r="L118" s="29"/>
      <c r="M118" s="29"/>
      <c r="N118" s="29"/>
      <c r="O118" s="29"/>
      <c r="P118" s="29"/>
      <c r="Q118" s="29"/>
      <c r="R118" s="57"/>
      <c r="S118" s="29"/>
      <c r="T118" s="29"/>
      <c r="U118" s="81"/>
      <c r="V118" s="85"/>
      <c r="W118" s="81"/>
      <c r="X118" s="64"/>
      <c r="Y118" s="59">
        <v>1</v>
      </c>
      <c r="Z118" s="59" t="str">
        <f t="shared" si="8"/>
        <v/>
      </c>
    </row>
    <row r="119" spans="1:26" s="55" customFormat="1" ht="16" x14ac:dyDescent="0.2">
      <c r="A119" s="27">
        <v>168</v>
      </c>
      <c r="B119" s="28" t="str">
        <f t="shared" si="6"/>
        <v>1.3.25e</v>
      </c>
      <c r="C119" s="29">
        <f t="shared" si="7"/>
        <v>6</v>
      </c>
      <c r="D119" s="3"/>
      <c r="E119" s="30"/>
      <c r="F119" s="36"/>
      <c r="G119" s="45"/>
      <c r="H119" s="67" t="str">
        <f>IF(ISERROR(VLOOKUP(Y119,detail_maturity_score,3,FALSE)*VLOOKUP(#REF!,weighting_scores,2,FALSE)),"",VLOOKUP(Y119,detail_maturity_score,3,FALSE)*VLOOKUP(#REF!,weighting_scores,2,FALSE))</f>
        <v/>
      </c>
      <c r="I119" s="133"/>
      <c r="J119" s="29"/>
      <c r="K119" s="29"/>
      <c r="L119" s="29"/>
      <c r="M119" s="29"/>
      <c r="N119" s="29"/>
      <c r="O119" s="29"/>
      <c r="P119" s="29"/>
      <c r="Q119" s="29"/>
      <c r="R119" s="57"/>
      <c r="S119" s="29"/>
      <c r="T119" s="29"/>
      <c r="U119" s="81"/>
      <c r="V119" s="85"/>
      <c r="W119" s="81"/>
      <c r="X119" s="64"/>
      <c r="Y119" s="59">
        <v>1</v>
      </c>
      <c r="Z119" s="59" t="str">
        <f t="shared" si="8"/>
        <v/>
      </c>
    </row>
    <row r="120" spans="1:26" s="55" customFormat="1" ht="30" customHeight="1" x14ac:dyDescent="0.2">
      <c r="A120" s="27">
        <v>169</v>
      </c>
      <c r="B120" s="28" t="str">
        <f t="shared" si="6"/>
        <v>1.3.25f</v>
      </c>
      <c r="C120" s="29">
        <f t="shared" si="7"/>
        <v>6</v>
      </c>
      <c r="D120" s="3"/>
      <c r="E120" s="30"/>
      <c r="F120" s="36"/>
      <c r="G120" s="45"/>
      <c r="H120" s="67" t="str">
        <f>IF(ISERROR(VLOOKUP(Y120,detail_maturity_score,3,FALSE)*VLOOKUP(#REF!,weighting_scores,2,FALSE)),"",VLOOKUP(Y120,detail_maturity_score,3,FALSE)*VLOOKUP(#REF!,weighting_scores,2,FALSE))</f>
        <v/>
      </c>
      <c r="I120" s="133"/>
      <c r="J120" s="29"/>
      <c r="K120" s="29"/>
      <c r="L120" s="29"/>
      <c r="M120" s="29"/>
      <c r="N120" s="29"/>
      <c r="O120" s="29"/>
      <c r="P120" s="29"/>
      <c r="Q120" s="29"/>
      <c r="R120" s="57"/>
      <c r="S120" s="29"/>
      <c r="T120" s="29"/>
      <c r="U120" s="81"/>
      <c r="V120" s="85"/>
      <c r="W120" s="81"/>
      <c r="X120" s="64"/>
      <c r="Y120" s="59">
        <v>1</v>
      </c>
      <c r="Z120" s="59" t="str">
        <f t="shared" si="8"/>
        <v/>
      </c>
    </row>
    <row r="121" spans="1:26" s="55" customFormat="1" ht="16" x14ac:dyDescent="0.2">
      <c r="A121" s="27">
        <v>170</v>
      </c>
      <c r="B121" s="28" t="str">
        <f t="shared" si="6"/>
        <v>1.3.26</v>
      </c>
      <c r="C121" s="29">
        <f t="shared" si="7"/>
        <v>5</v>
      </c>
      <c r="D121" s="3"/>
      <c r="E121" s="30"/>
      <c r="F121" s="31"/>
      <c r="G121" s="45"/>
      <c r="H121" s="67" t="str">
        <f>IF(ISERROR(VLOOKUP(Y121,detail_maturity_score,3,FALSE)*VLOOKUP(#REF!,weighting_scores,2,FALSE)),"",VLOOKUP(Y121,detail_maturity_score,3,FALSE)*VLOOKUP(#REF!,weighting_scores,2,FALSE))</f>
        <v/>
      </c>
      <c r="I121" s="133"/>
      <c r="J121" s="29"/>
      <c r="K121" s="29"/>
      <c r="L121" s="29"/>
      <c r="M121" s="29"/>
      <c r="N121" s="29"/>
      <c r="O121" s="29"/>
      <c r="P121" s="29"/>
      <c r="Q121" s="29"/>
      <c r="R121" s="57"/>
      <c r="S121" s="29"/>
      <c r="T121" s="29"/>
      <c r="U121" s="81"/>
      <c r="V121" s="85"/>
      <c r="W121" s="81"/>
      <c r="X121" s="92"/>
      <c r="Y121" s="59">
        <v>1</v>
      </c>
      <c r="Z121" s="59" t="str">
        <f t="shared" si="8"/>
        <v/>
      </c>
    </row>
    <row r="122" spans="1:26" s="55" customFormat="1" ht="18.75" customHeight="1" x14ac:dyDescent="0.2">
      <c r="A122" s="29">
        <v>171</v>
      </c>
      <c r="B122" s="29" t="str">
        <f t="shared" si="6"/>
        <v/>
      </c>
      <c r="C122" s="29">
        <f t="shared" si="7"/>
        <v>3</v>
      </c>
      <c r="D122" s="3"/>
      <c r="E122" s="34"/>
      <c r="F122" s="35"/>
      <c r="G122" s="43"/>
      <c r="H122" s="67" t="str">
        <f>IF(ISERROR(VLOOKUP(Y122,detail_maturity_score,3,FALSE)*VLOOKUP(#REF!,weighting_scores,2,FALSE)),"",VLOOKUP(Y122,detail_maturity_score,3,FALSE)*VLOOKUP(#REF!,weighting_scores,2,FALSE))</f>
        <v/>
      </c>
      <c r="I122" s="133"/>
      <c r="J122" s="29"/>
      <c r="K122" s="29"/>
      <c r="L122" s="29"/>
      <c r="M122" s="29"/>
      <c r="N122" s="29"/>
      <c r="O122" s="29"/>
      <c r="P122" s="29"/>
      <c r="Q122" s="29"/>
      <c r="R122" s="57"/>
      <c r="S122" s="29"/>
      <c r="T122" s="29"/>
      <c r="U122" s="81"/>
      <c r="V122" s="81"/>
      <c r="W122" s="81"/>
      <c r="X122" s="64"/>
      <c r="Y122" s="59"/>
      <c r="Z122" s="59"/>
    </row>
    <row r="123" spans="1:26" s="55" customFormat="1" ht="16" x14ac:dyDescent="0.2">
      <c r="A123" s="27">
        <v>172</v>
      </c>
      <c r="B123" s="28" t="str">
        <f t="shared" si="6"/>
        <v>1.3.27</v>
      </c>
      <c r="C123" s="29">
        <f t="shared" si="7"/>
        <v>5</v>
      </c>
      <c r="D123" s="3"/>
      <c r="E123" s="30"/>
      <c r="F123" s="31"/>
      <c r="G123" s="45"/>
      <c r="H123" s="67" t="str">
        <f>IF(ISERROR(VLOOKUP(Y123,detail_maturity_score,3,FALSE)*VLOOKUP(#REF!,weighting_scores,2,FALSE)),"",VLOOKUP(Y123,detail_maturity_score,3,FALSE)*VLOOKUP(#REF!,weighting_scores,2,FALSE))</f>
        <v/>
      </c>
      <c r="I123" s="133"/>
      <c r="J123" s="29"/>
      <c r="K123" s="29"/>
      <c r="L123" s="29"/>
      <c r="M123" s="29"/>
      <c r="N123" s="29"/>
      <c r="O123" s="29"/>
      <c r="P123" s="29"/>
      <c r="Q123" s="29"/>
      <c r="R123" s="57"/>
      <c r="S123" s="29"/>
      <c r="T123" s="29"/>
      <c r="U123" s="81"/>
      <c r="V123" s="85"/>
      <c r="W123" s="81"/>
      <c r="X123" s="92"/>
      <c r="Y123" s="59">
        <v>1</v>
      </c>
      <c r="Z123" s="59" t="str">
        <f>VLOOKUP(Y123,detail_maturity_score,3,FALSE)</f>
        <v/>
      </c>
    </row>
    <row r="124" spans="1:26" s="55" customFormat="1" ht="30" customHeight="1" x14ac:dyDescent="0.2">
      <c r="A124" s="27">
        <v>173</v>
      </c>
      <c r="B124" s="28" t="str">
        <f t="shared" si="6"/>
        <v>1.3.28</v>
      </c>
      <c r="C124" s="29">
        <f t="shared" si="7"/>
        <v>4</v>
      </c>
      <c r="D124" s="3"/>
      <c r="E124" s="30"/>
      <c r="F124" s="31"/>
      <c r="G124" s="45"/>
      <c r="H124" s="67" t="str">
        <f>IF(ISERROR(VLOOKUP(Y124,detail_maturity_score,3,FALSE)*VLOOKUP(#REF!,weighting_scores,2,FALSE)),"",VLOOKUP(Y124,detail_maturity_score,3,FALSE)*VLOOKUP(#REF!,weighting_scores,2,FALSE))</f>
        <v/>
      </c>
      <c r="I124" s="133"/>
      <c r="J124" s="29"/>
      <c r="K124" s="29"/>
      <c r="L124" s="29"/>
      <c r="M124" s="29"/>
      <c r="N124" s="29"/>
      <c r="O124" s="29"/>
      <c r="P124" s="29"/>
      <c r="Q124" s="29"/>
      <c r="R124" s="57"/>
      <c r="S124" s="29"/>
      <c r="T124" s="29"/>
      <c r="U124" s="81"/>
      <c r="V124" s="85"/>
      <c r="W124" s="81"/>
      <c r="X124" s="64"/>
      <c r="Y124" s="59"/>
      <c r="Z124" s="59"/>
    </row>
    <row r="125" spans="1:26" s="55" customFormat="1" ht="16" x14ac:dyDescent="0.2">
      <c r="A125" s="27">
        <v>174</v>
      </c>
      <c r="B125" s="28" t="str">
        <f t="shared" si="6"/>
        <v>1.3.28a</v>
      </c>
      <c r="C125" s="29">
        <f t="shared" si="7"/>
        <v>6</v>
      </c>
      <c r="D125" s="3"/>
      <c r="E125" s="30"/>
      <c r="F125" s="36"/>
      <c r="G125" s="45"/>
      <c r="H125" s="67" t="str">
        <f>IF(ISERROR(VLOOKUP(Y125,detail_maturity_score,3,FALSE)*VLOOKUP(#REF!,weighting_scores,2,FALSE)),"",VLOOKUP(Y125,detail_maturity_score,3,FALSE)*VLOOKUP(#REF!,weighting_scores,2,FALSE))</f>
        <v/>
      </c>
      <c r="I125" s="133"/>
      <c r="J125" s="29"/>
      <c r="K125" s="29"/>
      <c r="L125" s="29"/>
      <c r="M125" s="29"/>
      <c r="N125" s="29"/>
      <c r="O125" s="29"/>
      <c r="P125" s="29"/>
      <c r="Q125" s="29"/>
      <c r="R125" s="57"/>
      <c r="S125" s="29"/>
      <c r="T125" s="29"/>
      <c r="U125" s="81"/>
      <c r="V125" s="85"/>
      <c r="W125" s="81"/>
      <c r="X125" s="64"/>
      <c r="Y125" s="59">
        <v>1</v>
      </c>
      <c r="Z125" s="59" t="str">
        <f>VLOOKUP(Y125,detail_maturity_score,3,FALSE)</f>
        <v/>
      </c>
    </row>
    <row r="126" spans="1:26" s="55" customFormat="1" ht="16" x14ac:dyDescent="0.2">
      <c r="A126" s="27">
        <v>175</v>
      </c>
      <c r="B126" s="28" t="str">
        <f t="shared" si="6"/>
        <v>1.3.28b</v>
      </c>
      <c r="C126" s="29">
        <f t="shared" si="7"/>
        <v>6</v>
      </c>
      <c r="D126" s="3"/>
      <c r="E126" s="30"/>
      <c r="F126" s="36"/>
      <c r="G126" s="45"/>
      <c r="H126" s="67" t="str">
        <f>IF(ISERROR(VLOOKUP(Y126,detail_maturity_score,3,FALSE)*VLOOKUP(#REF!,weighting_scores,2,FALSE)),"",VLOOKUP(Y126,detail_maturity_score,3,FALSE)*VLOOKUP(#REF!,weighting_scores,2,FALSE))</f>
        <v/>
      </c>
      <c r="I126" s="133"/>
      <c r="J126" s="29"/>
      <c r="K126" s="29"/>
      <c r="L126" s="29"/>
      <c r="M126" s="29"/>
      <c r="N126" s="29"/>
      <c r="O126" s="29"/>
      <c r="P126" s="29"/>
      <c r="Q126" s="29"/>
      <c r="R126" s="57"/>
      <c r="S126" s="29"/>
      <c r="T126" s="29"/>
      <c r="U126" s="81"/>
      <c r="V126" s="85"/>
      <c r="W126" s="81"/>
      <c r="X126" s="64"/>
      <c r="Y126" s="59">
        <v>1</v>
      </c>
      <c r="Z126" s="59" t="str">
        <f>VLOOKUP(Y126,detail_maturity_score,3,FALSE)</f>
        <v/>
      </c>
    </row>
    <row r="127" spans="1:26" s="55" customFormat="1" ht="30" customHeight="1" x14ac:dyDescent="0.2">
      <c r="A127" s="27">
        <v>176</v>
      </c>
      <c r="B127" s="28" t="str">
        <f t="shared" si="6"/>
        <v>1.3.28c</v>
      </c>
      <c r="C127" s="29">
        <f t="shared" si="7"/>
        <v>6</v>
      </c>
      <c r="D127" s="3"/>
      <c r="E127" s="30"/>
      <c r="F127" s="36"/>
      <c r="G127" s="45"/>
      <c r="H127" s="67" t="str">
        <f>IF(ISERROR(VLOOKUP(Y127,detail_maturity_score,3,FALSE)*VLOOKUP(#REF!,weighting_scores,2,FALSE)),"",VLOOKUP(Y127,detail_maturity_score,3,FALSE)*VLOOKUP(#REF!,weighting_scores,2,FALSE))</f>
        <v/>
      </c>
      <c r="I127" s="133"/>
      <c r="J127" s="29"/>
      <c r="K127" s="29"/>
      <c r="L127" s="29"/>
      <c r="M127" s="29"/>
      <c r="N127" s="29"/>
      <c r="O127" s="29"/>
      <c r="P127" s="29"/>
      <c r="Q127" s="29"/>
      <c r="R127" s="57"/>
      <c r="S127" s="29"/>
      <c r="T127" s="29"/>
      <c r="U127" s="81"/>
      <c r="V127" s="85"/>
      <c r="W127" s="81"/>
      <c r="X127" s="64"/>
      <c r="Y127" s="59">
        <v>1</v>
      </c>
      <c r="Z127" s="59" t="str">
        <f>VLOOKUP(Y127,detail_maturity_score,3,FALSE)</f>
        <v/>
      </c>
    </row>
    <row r="128" spans="1:26" s="55" customFormat="1" ht="16" x14ac:dyDescent="0.2">
      <c r="A128" s="27">
        <v>177</v>
      </c>
      <c r="B128" s="28" t="str">
        <f t="shared" si="6"/>
        <v>1.3.28d</v>
      </c>
      <c r="C128" s="29">
        <f t="shared" si="7"/>
        <v>6</v>
      </c>
      <c r="D128" s="3"/>
      <c r="E128" s="30"/>
      <c r="F128" s="36"/>
      <c r="G128" s="45"/>
      <c r="H128" s="67" t="str">
        <f>IF(ISERROR(VLOOKUP(Y128,detail_maturity_score,3,FALSE)*VLOOKUP(#REF!,weighting_scores,2,FALSE)),"",VLOOKUP(Y128,detail_maturity_score,3,FALSE)*VLOOKUP(#REF!,weighting_scores,2,FALSE))</f>
        <v/>
      </c>
      <c r="I128" s="133"/>
      <c r="J128" s="29"/>
      <c r="K128" s="29"/>
      <c r="L128" s="29"/>
      <c r="M128" s="29"/>
      <c r="N128" s="29"/>
      <c r="O128" s="29"/>
      <c r="P128" s="29"/>
      <c r="Q128" s="29"/>
      <c r="R128" s="57"/>
      <c r="S128" s="29"/>
      <c r="T128" s="29"/>
      <c r="U128" s="81"/>
      <c r="V128" s="85"/>
      <c r="W128" s="81"/>
      <c r="X128" s="64"/>
      <c r="Y128" s="59">
        <v>1</v>
      </c>
      <c r="Z128" s="59" t="str">
        <f>VLOOKUP(Y128,detail_maturity_score,3,FALSE)</f>
        <v/>
      </c>
    </row>
    <row r="129" spans="1:26" s="55" customFormat="1" x14ac:dyDescent="0.2">
      <c r="A129" s="27">
        <v>178</v>
      </c>
      <c r="B129" s="28" t="str">
        <f t="shared" si="6"/>
        <v>1.3.29</v>
      </c>
      <c r="C129" s="29">
        <f t="shared" si="7"/>
        <v>4</v>
      </c>
      <c r="D129" s="3"/>
      <c r="E129" s="30"/>
      <c r="F129" s="31"/>
      <c r="G129" s="45"/>
      <c r="H129" s="67" t="str">
        <f>IF(ISERROR(VLOOKUP(Y129,detail_maturity_score,3,FALSE)*VLOOKUP(#REF!,weighting_scores,2,FALSE)),"",VLOOKUP(Y129,detail_maturity_score,3,FALSE)*VLOOKUP(#REF!,weighting_scores,2,FALSE))</f>
        <v/>
      </c>
      <c r="I129" s="133"/>
      <c r="J129" s="29"/>
      <c r="K129" s="29"/>
      <c r="L129" s="29"/>
      <c r="M129" s="29"/>
      <c r="N129" s="29"/>
      <c r="O129" s="29"/>
      <c r="P129" s="29"/>
      <c r="Q129" s="29"/>
      <c r="R129" s="57"/>
      <c r="S129" s="29"/>
      <c r="T129" s="29"/>
      <c r="U129" s="81"/>
      <c r="V129" s="85"/>
      <c r="W129" s="81"/>
      <c r="X129" s="64"/>
      <c r="Y129" s="59"/>
      <c r="Z129" s="59"/>
    </row>
    <row r="130" spans="1:26" s="55" customFormat="1" ht="30" customHeight="1" x14ac:dyDescent="0.2">
      <c r="A130" s="27">
        <v>179</v>
      </c>
      <c r="B130" s="28" t="str">
        <f t="shared" si="6"/>
        <v>1.3.29a</v>
      </c>
      <c r="C130" s="29">
        <f t="shared" si="7"/>
        <v>6</v>
      </c>
      <c r="D130" s="3"/>
      <c r="E130" s="30"/>
      <c r="F130" s="36"/>
      <c r="G130" s="45"/>
      <c r="H130" s="67" t="str">
        <f>IF(ISERROR(VLOOKUP(Y130,detail_maturity_score,3,FALSE)*VLOOKUP(#REF!,weighting_scores,2,FALSE)),"",VLOOKUP(Y130,detail_maturity_score,3,FALSE)*VLOOKUP(#REF!,weighting_scores,2,FALSE))</f>
        <v/>
      </c>
      <c r="I130" s="133"/>
      <c r="J130" s="29"/>
      <c r="K130" s="29"/>
      <c r="L130" s="29"/>
      <c r="M130" s="29"/>
      <c r="N130" s="29"/>
      <c r="O130" s="29"/>
      <c r="P130" s="29"/>
      <c r="Q130" s="29"/>
      <c r="R130" s="57"/>
      <c r="S130" s="29"/>
      <c r="T130" s="29"/>
      <c r="U130" s="81"/>
      <c r="V130" s="85"/>
      <c r="W130" s="81"/>
      <c r="X130" s="64"/>
      <c r="Y130" s="59">
        <v>1</v>
      </c>
      <c r="Z130" s="59" t="str">
        <f>VLOOKUP(Y130,detail_maturity_score,3,FALSE)</f>
        <v/>
      </c>
    </row>
    <row r="131" spans="1:26" s="55" customFormat="1" ht="30" customHeight="1" x14ac:dyDescent="0.2">
      <c r="A131" s="27">
        <v>180</v>
      </c>
      <c r="B131" s="28" t="str">
        <f t="shared" si="6"/>
        <v>1.3.29b</v>
      </c>
      <c r="C131" s="29">
        <f t="shared" si="7"/>
        <v>6</v>
      </c>
      <c r="D131" s="3"/>
      <c r="E131" s="30"/>
      <c r="F131" s="36"/>
      <c r="G131" s="45"/>
      <c r="H131" s="67" t="str">
        <f>IF(ISERROR(VLOOKUP(Y131,detail_maturity_score,3,FALSE)*VLOOKUP(#REF!,weighting_scores,2,FALSE)),"",VLOOKUP(Y131,detail_maturity_score,3,FALSE)*VLOOKUP(#REF!,weighting_scores,2,FALSE))</f>
        <v/>
      </c>
      <c r="I131" s="133"/>
      <c r="J131" s="29"/>
      <c r="K131" s="29"/>
      <c r="L131" s="29"/>
      <c r="M131" s="29"/>
      <c r="N131" s="29"/>
      <c r="O131" s="29"/>
      <c r="P131" s="29"/>
      <c r="Q131" s="29"/>
      <c r="R131" s="57"/>
      <c r="S131" s="29"/>
      <c r="T131" s="29"/>
      <c r="U131" s="81"/>
      <c r="V131" s="85"/>
      <c r="W131" s="81"/>
      <c r="X131" s="64"/>
      <c r="Y131" s="59">
        <v>1</v>
      </c>
      <c r="Z131" s="59" t="str">
        <f>VLOOKUP(Y131,detail_maturity_score,3,FALSE)</f>
        <v/>
      </c>
    </row>
    <row r="132" spans="1:26" s="55" customFormat="1" ht="30" customHeight="1" x14ac:dyDescent="0.2">
      <c r="A132" s="27">
        <v>181</v>
      </c>
      <c r="B132" s="28" t="str">
        <f t="shared" si="6"/>
        <v>1.3.29c</v>
      </c>
      <c r="C132" s="29">
        <f t="shared" si="7"/>
        <v>6</v>
      </c>
      <c r="D132" s="3"/>
      <c r="E132" s="30"/>
      <c r="F132" s="36"/>
      <c r="G132" s="45"/>
      <c r="H132" s="67" t="str">
        <f>IF(ISERROR(VLOOKUP(Y132,detail_maturity_score,3,FALSE)*VLOOKUP(#REF!,weighting_scores,2,FALSE)),"",VLOOKUP(Y132,detail_maturity_score,3,FALSE)*VLOOKUP(#REF!,weighting_scores,2,FALSE))</f>
        <v/>
      </c>
      <c r="I132" s="133"/>
      <c r="J132" s="29"/>
      <c r="K132" s="29"/>
      <c r="L132" s="29"/>
      <c r="M132" s="29"/>
      <c r="N132" s="29"/>
      <c r="O132" s="29"/>
      <c r="P132" s="29"/>
      <c r="Q132" s="29"/>
      <c r="R132" s="57"/>
      <c r="S132" s="29"/>
      <c r="T132" s="29"/>
      <c r="U132" s="81"/>
      <c r="V132" s="85"/>
      <c r="W132" s="81"/>
      <c r="X132" s="64"/>
      <c r="Y132" s="59">
        <v>1</v>
      </c>
      <c r="Z132" s="59" t="str">
        <f>VLOOKUP(Y132,detail_maturity_score,3,FALSE)</f>
        <v/>
      </c>
    </row>
    <row r="133" spans="1:26" s="55" customFormat="1" ht="30" customHeight="1" x14ac:dyDescent="0.2">
      <c r="A133" s="27">
        <v>182</v>
      </c>
      <c r="B133" s="28" t="str">
        <f t="shared" si="6"/>
        <v>1.3.29d</v>
      </c>
      <c r="C133" s="29">
        <f t="shared" si="7"/>
        <v>6</v>
      </c>
      <c r="D133" s="3"/>
      <c r="E133" s="30"/>
      <c r="F133" s="36"/>
      <c r="G133" s="45"/>
      <c r="H133" s="67" t="str">
        <f>IF(ISERROR(VLOOKUP(Y133,detail_maturity_score,3,FALSE)*VLOOKUP(#REF!,weighting_scores,2,FALSE)),"",VLOOKUP(Y133,detail_maturity_score,3,FALSE)*VLOOKUP(#REF!,weighting_scores,2,FALSE))</f>
        <v/>
      </c>
      <c r="I133" s="133"/>
      <c r="J133" s="29"/>
      <c r="K133" s="29"/>
      <c r="L133" s="29"/>
      <c r="M133" s="29"/>
      <c r="N133" s="29"/>
      <c r="O133" s="29"/>
      <c r="P133" s="29"/>
      <c r="Q133" s="29"/>
      <c r="R133" s="57"/>
      <c r="S133" s="29"/>
      <c r="T133" s="29"/>
      <c r="U133" s="81"/>
      <c r="V133" s="85"/>
      <c r="W133" s="81"/>
      <c r="X133" s="64"/>
      <c r="Y133" s="59">
        <v>1</v>
      </c>
      <c r="Z133" s="59" t="str">
        <f>VLOOKUP(Y133,detail_maturity_score,3,FALSE)</f>
        <v/>
      </c>
    </row>
    <row r="134" spans="1:26" s="55" customFormat="1" ht="30" customHeight="1" x14ac:dyDescent="0.2">
      <c r="A134" s="27">
        <v>183</v>
      </c>
      <c r="B134" s="28" t="str">
        <f t="shared" si="6"/>
        <v>1.3.30</v>
      </c>
      <c r="C134" s="29">
        <f t="shared" si="7"/>
        <v>4</v>
      </c>
      <c r="D134" s="3"/>
      <c r="E134" s="30"/>
      <c r="F134" s="31"/>
      <c r="G134" s="45"/>
      <c r="H134" s="67" t="str">
        <f>IF(ISERROR(VLOOKUP(Y134,detail_maturity_score,3,FALSE)*VLOOKUP(#REF!,weighting_scores,2,FALSE)),"",VLOOKUP(Y134,detail_maturity_score,3,FALSE)*VLOOKUP(#REF!,weighting_scores,2,FALSE))</f>
        <v/>
      </c>
      <c r="I134" s="133"/>
      <c r="J134" s="29"/>
      <c r="K134" s="29"/>
      <c r="L134" s="29"/>
      <c r="M134" s="29"/>
      <c r="N134" s="29"/>
      <c r="O134" s="29"/>
      <c r="P134" s="29"/>
      <c r="Q134" s="29"/>
      <c r="R134" s="57"/>
      <c r="S134" s="29"/>
      <c r="T134" s="29"/>
      <c r="U134" s="81"/>
      <c r="V134" s="85"/>
      <c r="W134" s="81"/>
      <c r="X134" s="64"/>
      <c r="Y134" s="59"/>
      <c r="Z134" s="59"/>
    </row>
    <row r="135" spans="1:26" s="55" customFormat="1" ht="16" x14ac:dyDescent="0.2">
      <c r="A135" s="27">
        <v>184</v>
      </c>
      <c r="B135" s="28" t="str">
        <f t="shared" si="6"/>
        <v>1.3.30a</v>
      </c>
      <c r="C135" s="29">
        <f t="shared" si="7"/>
        <v>6</v>
      </c>
      <c r="D135" s="3"/>
      <c r="E135" s="30"/>
      <c r="F135" s="36"/>
      <c r="G135" s="45"/>
      <c r="H135" s="67" t="str">
        <f>IF(ISERROR(VLOOKUP(Y135,detail_maturity_score,3,FALSE)*VLOOKUP(#REF!,weighting_scores,2,FALSE)),"",VLOOKUP(Y135,detail_maturity_score,3,FALSE)*VLOOKUP(#REF!,weighting_scores,2,FALSE))</f>
        <v/>
      </c>
      <c r="I135" s="133"/>
      <c r="J135" s="29"/>
      <c r="K135" s="29"/>
      <c r="L135" s="29"/>
      <c r="M135" s="29"/>
      <c r="N135" s="29"/>
      <c r="O135" s="29"/>
      <c r="P135" s="29"/>
      <c r="Q135" s="29"/>
      <c r="R135" s="57"/>
      <c r="S135" s="29"/>
      <c r="T135" s="29"/>
      <c r="U135" s="81"/>
      <c r="V135" s="85"/>
      <c r="W135" s="81"/>
      <c r="X135" s="64"/>
      <c r="Y135" s="59">
        <v>1</v>
      </c>
      <c r="Z135" s="59" t="str">
        <f>VLOOKUP(Y135,detail_maturity_score,3,FALSE)</f>
        <v/>
      </c>
    </row>
    <row r="136" spans="1:26" s="55" customFormat="1" ht="16" x14ac:dyDescent="0.2">
      <c r="A136" s="27">
        <v>185</v>
      </c>
      <c r="B136" s="28" t="str">
        <f t="shared" si="6"/>
        <v>1.3.30b</v>
      </c>
      <c r="C136" s="29">
        <f t="shared" si="7"/>
        <v>6</v>
      </c>
      <c r="D136" s="3"/>
      <c r="E136" s="30"/>
      <c r="F136" s="36"/>
      <c r="G136" s="45"/>
      <c r="H136" s="67" t="str">
        <f>IF(ISERROR(VLOOKUP(Y136,detail_maturity_score,3,FALSE)*VLOOKUP(#REF!,weighting_scores,2,FALSE)),"",VLOOKUP(Y136,detail_maturity_score,3,FALSE)*VLOOKUP(#REF!,weighting_scores,2,FALSE))</f>
        <v/>
      </c>
      <c r="I136" s="133"/>
      <c r="J136" s="29"/>
      <c r="K136" s="29"/>
      <c r="L136" s="29"/>
      <c r="M136" s="29"/>
      <c r="N136" s="29"/>
      <c r="O136" s="29"/>
      <c r="P136" s="29"/>
      <c r="Q136" s="29"/>
      <c r="R136" s="57"/>
      <c r="S136" s="29"/>
      <c r="T136" s="29"/>
      <c r="U136" s="81"/>
      <c r="V136" s="85"/>
      <c r="W136" s="81"/>
      <c r="X136" s="64"/>
      <c r="Y136" s="59">
        <v>1</v>
      </c>
      <c r="Z136" s="59" t="str">
        <f>VLOOKUP(Y136,detail_maturity_score,3,FALSE)</f>
        <v/>
      </c>
    </row>
    <row r="137" spans="1:26" s="55" customFormat="1" ht="16" x14ac:dyDescent="0.2">
      <c r="A137" s="27">
        <v>186</v>
      </c>
      <c r="B137" s="28" t="str">
        <f t="shared" si="6"/>
        <v>1.3.30c</v>
      </c>
      <c r="C137" s="29">
        <f t="shared" si="7"/>
        <v>6</v>
      </c>
      <c r="D137" s="3"/>
      <c r="E137" s="38"/>
      <c r="F137" s="39"/>
      <c r="G137" s="118"/>
      <c r="H137" s="68" t="str">
        <f>IF(ISERROR(VLOOKUP(Y137,detail_maturity_score,3,FALSE)*VLOOKUP(#REF!,weighting_scores,2,FALSE)),"",VLOOKUP(Y137,detail_maturity_score,3,FALSE)*VLOOKUP(#REF!,weighting_scores,2,FALSE))</f>
        <v/>
      </c>
      <c r="I137" s="134"/>
      <c r="J137" s="37"/>
      <c r="K137" s="37"/>
      <c r="L137" s="37"/>
      <c r="M137" s="37"/>
      <c r="N137" s="37"/>
      <c r="O137" s="37"/>
      <c r="P137" s="37"/>
      <c r="Q137" s="37"/>
      <c r="R137" s="77"/>
      <c r="S137" s="37"/>
      <c r="T137" s="37"/>
      <c r="U137" s="82"/>
      <c r="V137" s="86"/>
      <c r="W137" s="82"/>
      <c r="X137" s="127"/>
      <c r="Y137" s="58">
        <v>1</v>
      </c>
      <c r="Z137" s="58" t="str">
        <f>VLOOKUP(Y137,detail_maturity_score,3,FALSE)</f>
        <v/>
      </c>
    </row>
    <row r="138" spans="1:26" s="54" customFormat="1" ht="30" customHeight="1" x14ac:dyDescent="0.2">
      <c r="A138" s="27">
        <v>187</v>
      </c>
      <c r="B138" s="28" t="str">
        <f t="shared" si="6"/>
        <v>1.4</v>
      </c>
      <c r="C138" s="29">
        <f t="shared" si="7"/>
        <v>2</v>
      </c>
      <c r="D138" s="3"/>
      <c r="E138" s="26"/>
      <c r="F138" s="13"/>
      <c r="G138" s="6"/>
      <c r="H138" s="14" t="str">
        <f>IF(ISERROR(VLOOKUP(Y138,detail_maturity_score,3,FALSE)*VLOOKUP(#REF!,weighting_scores,2,FALSE)),"",VLOOKUP(Y138,detail_maturity_score,3,FALSE)*VLOOKUP(#REF!,weighting_scores,2,FALSE))</f>
        <v/>
      </c>
      <c r="I138" s="14"/>
      <c r="J138" s="14"/>
      <c r="K138" s="6"/>
      <c r="L138" s="6"/>
      <c r="M138" s="6"/>
      <c r="N138" s="6"/>
      <c r="O138" s="6"/>
      <c r="P138" s="6"/>
      <c r="Q138" s="6"/>
      <c r="R138" s="6"/>
      <c r="S138" s="6"/>
      <c r="T138" s="6"/>
      <c r="U138" s="79"/>
      <c r="V138" s="79"/>
      <c r="W138" s="83"/>
      <c r="X138" s="62"/>
      <c r="Y138" s="58"/>
      <c r="Z138" s="58"/>
    </row>
    <row r="139" spans="1:26" s="55" customFormat="1" ht="16" x14ac:dyDescent="0.2">
      <c r="A139" s="27">
        <v>188</v>
      </c>
      <c r="B139" s="28" t="str">
        <f t="shared" si="6"/>
        <v>1.4.01</v>
      </c>
      <c r="C139" s="29">
        <f t="shared" si="7"/>
        <v>5</v>
      </c>
      <c r="D139" s="3"/>
      <c r="E139" s="44"/>
      <c r="F139" s="45"/>
      <c r="G139" s="45"/>
      <c r="H139" s="69" t="str">
        <f>IF(ISERROR(VLOOKUP(Y139,detail_maturity_score,3,FALSE)*VLOOKUP(#REF!,weighting_scores,2,FALSE)),"",VLOOKUP(Y139,detail_maturity_score,3,FALSE)*VLOOKUP(#REF!,weighting_scores,2,FALSE))</f>
        <v/>
      </c>
      <c r="I139" s="132"/>
      <c r="J139" s="43"/>
      <c r="K139" s="43"/>
      <c r="L139" s="43"/>
      <c r="M139" s="43"/>
      <c r="N139" s="43"/>
      <c r="O139" s="43"/>
      <c r="P139" s="43"/>
      <c r="Q139" s="43"/>
      <c r="R139" s="78"/>
      <c r="S139" s="43"/>
      <c r="T139" s="43"/>
      <c r="U139" s="80"/>
      <c r="V139" s="84"/>
      <c r="W139" s="80"/>
      <c r="X139" s="63"/>
      <c r="Y139" s="59">
        <v>1</v>
      </c>
      <c r="Z139" s="59" t="str">
        <f>VLOOKUP(Y139,detail_maturity_score,3,FALSE)</f>
        <v/>
      </c>
    </row>
    <row r="140" spans="1:26" s="55" customFormat="1" x14ac:dyDescent="0.2">
      <c r="A140" s="27">
        <v>189</v>
      </c>
      <c r="B140" s="28" t="str">
        <f t="shared" si="6"/>
        <v>1.4.02</v>
      </c>
      <c r="C140" s="29">
        <f t="shared" si="7"/>
        <v>4</v>
      </c>
      <c r="D140" s="3"/>
      <c r="E140" s="30"/>
      <c r="F140" s="31"/>
      <c r="G140" s="45"/>
      <c r="H140" s="67" t="str">
        <f>IF(ISERROR(VLOOKUP(Y140,detail_maturity_score,3,FALSE)*VLOOKUP(#REF!,weighting_scores,2,FALSE)),"",VLOOKUP(Y140,detail_maturity_score,3,FALSE)*VLOOKUP(#REF!,weighting_scores,2,FALSE))</f>
        <v/>
      </c>
      <c r="I140" s="133"/>
      <c r="J140" s="29"/>
      <c r="K140" s="29"/>
      <c r="L140" s="29"/>
      <c r="M140" s="29"/>
      <c r="N140" s="29"/>
      <c r="O140" s="29"/>
      <c r="P140" s="29"/>
      <c r="Q140" s="29"/>
      <c r="R140" s="57"/>
      <c r="S140" s="29"/>
      <c r="T140" s="29"/>
      <c r="U140" s="81"/>
      <c r="V140" s="85"/>
      <c r="W140" s="81"/>
      <c r="X140" s="64"/>
      <c r="Y140" s="59"/>
      <c r="Z140" s="59"/>
    </row>
    <row r="141" spans="1:26" s="55" customFormat="1" ht="30" customHeight="1" x14ac:dyDescent="0.2">
      <c r="A141" s="27">
        <v>190</v>
      </c>
      <c r="B141" s="28" t="str">
        <f t="shared" si="6"/>
        <v>1.4.02a</v>
      </c>
      <c r="C141" s="29">
        <f t="shared" si="7"/>
        <v>6</v>
      </c>
      <c r="D141" s="3"/>
      <c r="E141" s="30"/>
      <c r="F141" s="36"/>
      <c r="G141" s="45"/>
      <c r="H141" s="67" t="str">
        <f>IF(ISERROR(VLOOKUP(Y141,detail_maturity_score,3,FALSE)*VLOOKUP(#REF!,weighting_scores,2,FALSE)),"",VLOOKUP(Y141,detail_maturity_score,3,FALSE)*VLOOKUP(#REF!,weighting_scores,2,FALSE))</f>
        <v/>
      </c>
      <c r="I141" s="133"/>
      <c r="J141" s="29"/>
      <c r="K141" s="29"/>
      <c r="L141" s="29"/>
      <c r="M141" s="29"/>
      <c r="N141" s="29"/>
      <c r="O141" s="29"/>
      <c r="P141" s="29"/>
      <c r="Q141" s="29"/>
      <c r="R141" s="57"/>
      <c r="S141" s="29"/>
      <c r="T141" s="29"/>
      <c r="U141" s="81"/>
      <c r="V141" s="85"/>
      <c r="W141" s="81"/>
      <c r="X141" s="64"/>
      <c r="Y141" s="59">
        <v>1</v>
      </c>
      <c r="Z141" s="59" t="str">
        <f t="shared" ref="Z141:Z147" si="9">VLOOKUP(Y141,detail_maturity_score,3,FALSE)</f>
        <v/>
      </c>
    </row>
    <row r="142" spans="1:26" s="55" customFormat="1" ht="30" customHeight="1" x14ac:dyDescent="0.2">
      <c r="A142" s="27">
        <v>191</v>
      </c>
      <c r="B142" s="28" t="str">
        <f t="shared" si="6"/>
        <v>1.4.02b</v>
      </c>
      <c r="C142" s="29">
        <f t="shared" si="7"/>
        <v>6</v>
      </c>
      <c r="D142" s="3"/>
      <c r="E142" s="30"/>
      <c r="F142" s="36"/>
      <c r="G142" s="45"/>
      <c r="H142" s="67" t="str">
        <f>IF(ISERROR(VLOOKUP(Y142,detail_maturity_score,3,FALSE)*VLOOKUP(#REF!,weighting_scores,2,FALSE)),"",VLOOKUP(Y142,detail_maturity_score,3,FALSE)*VLOOKUP(#REF!,weighting_scores,2,FALSE))</f>
        <v/>
      </c>
      <c r="I142" s="133"/>
      <c r="J142" s="29"/>
      <c r="K142" s="29"/>
      <c r="L142" s="29"/>
      <c r="M142" s="29"/>
      <c r="N142" s="29"/>
      <c r="O142" s="29"/>
      <c r="P142" s="29"/>
      <c r="Q142" s="29"/>
      <c r="R142" s="57"/>
      <c r="S142" s="29"/>
      <c r="T142" s="29"/>
      <c r="U142" s="81"/>
      <c r="V142" s="85"/>
      <c r="W142" s="81"/>
      <c r="X142" s="64"/>
      <c r="Y142" s="59">
        <v>1</v>
      </c>
      <c r="Z142" s="59" t="str">
        <f t="shared" si="9"/>
        <v/>
      </c>
    </row>
    <row r="143" spans="1:26" s="55" customFormat="1" ht="30" customHeight="1" x14ac:dyDescent="0.2">
      <c r="A143" s="27">
        <v>192</v>
      </c>
      <c r="B143" s="28" t="str">
        <f t="shared" si="6"/>
        <v>1.4.02c</v>
      </c>
      <c r="C143" s="29">
        <f t="shared" si="7"/>
        <v>6</v>
      </c>
      <c r="D143" s="3"/>
      <c r="E143" s="30"/>
      <c r="F143" s="36"/>
      <c r="G143" s="45"/>
      <c r="H143" s="67" t="str">
        <f>IF(ISERROR(VLOOKUP(Y143,detail_maturity_score,3,FALSE)*VLOOKUP(#REF!,weighting_scores,2,FALSE)),"",VLOOKUP(Y143,detail_maturity_score,3,FALSE)*VLOOKUP(#REF!,weighting_scores,2,FALSE))</f>
        <v/>
      </c>
      <c r="I143" s="133"/>
      <c r="J143" s="29"/>
      <c r="K143" s="29"/>
      <c r="L143" s="29"/>
      <c r="M143" s="29"/>
      <c r="N143" s="29"/>
      <c r="O143" s="29"/>
      <c r="P143" s="29"/>
      <c r="Q143" s="29"/>
      <c r="R143" s="57"/>
      <c r="S143" s="29"/>
      <c r="T143" s="29"/>
      <c r="U143" s="81"/>
      <c r="V143" s="85"/>
      <c r="W143" s="81"/>
      <c r="X143" s="64"/>
      <c r="Y143" s="59">
        <v>1</v>
      </c>
      <c r="Z143" s="59" t="str">
        <f t="shared" si="9"/>
        <v/>
      </c>
    </row>
    <row r="144" spans="1:26" s="55" customFormat="1" ht="30" customHeight="1" x14ac:dyDescent="0.2">
      <c r="A144" s="27">
        <v>193</v>
      </c>
      <c r="B144" s="28" t="str">
        <f t="shared" si="6"/>
        <v>1.4.02d</v>
      </c>
      <c r="C144" s="29">
        <f t="shared" si="7"/>
        <v>6</v>
      </c>
      <c r="D144" s="3"/>
      <c r="E144" s="30"/>
      <c r="F144" s="36"/>
      <c r="G144" s="45"/>
      <c r="H144" s="67" t="str">
        <f>IF(ISERROR(VLOOKUP(Y144,detail_maturity_score,3,FALSE)*VLOOKUP(#REF!,weighting_scores,2,FALSE)),"",VLOOKUP(Y144,detail_maturity_score,3,FALSE)*VLOOKUP(#REF!,weighting_scores,2,FALSE))</f>
        <v/>
      </c>
      <c r="I144" s="133"/>
      <c r="J144" s="29"/>
      <c r="K144" s="29"/>
      <c r="L144" s="29"/>
      <c r="M144" s="29"/>
      <c r="N144" s="29"/>
      <c r="O144" s="29"/>
      <c r="P144" s="29"/>
      <c r="Q144" s="29"/>
      <c r="R144" s="57"/>
      <c r="S144" s="29"/>
      <c r="T144" s="29"/>
      <c r="U144" s="81"/>
      <c r="V144" s="85"/>
      <c r="W144" s="81"/>
      <c r="X144" s="64"/>
      <c r="Y144" s="59">
        <v>1</v>
      </c>
      <c r="Z144" s="59" t="str">
        <f t="shared" si="9"/>
        <v/>
      </c>
    </row>
    <row r="145" spans="1:26" s="55" customFormat="1" ht="30" customHeight="1" x14ac:dyDescent="0.2">
      <c r="A145" s="27">
        <v>194</v>
      </c>
      <c r="B145" s="28" t="str">
        <f t="shared" ref="B145:B208" si="10">VLOOKUP(A145,contentref,2,FALSE)</f>
        <v>1.4.02e</v>
      </c>
      <c r="C145" s="29">
        <f t="shared" ref="C145:C211" si="11">VLOOKUP(A145,contentref,15,FALSE)</f>
        <v>6</v>
      </c>
      <c r="D145" s="3"/>
      <c r="E145" s="30"/>
      <c r="F145" s="36"/>
      <c r="G145" s="45"/>
      <c r="H145" s="67" t="str">
        <f>IF(ISERROR(VLOOKUP(Y145,detail_maturity_score,3,FALSE)*VLOOKUP(#REF!,weighting_scores,2,FALSE)),"",VLOOKUP(Y145,detail_maturity_score,3,FALSE)*VLOOKUP(#REF!,weighting_scores,2,FALSE))</f>
        <v/>
      </c>
      <c r="I145" s="133"/>
      <c r="J145" s="29"/>
      <c r="K145" s="29"/>
      <c r="L145" s="29"/>
      <c r="M145" s="29"/>
      <c r="N145" s="29"/>
      <c r="O145" s="29"/>
      <c r="P145" s="29"/>
      <c r="Q145" s="29"/>
      <c r="R145" s="57"/>
      <c r="S145" s="29"/>
      <c r="T145" s="29"/>
      <c r="U145" s="81"/>
      <c r="V145" s="85"/>
      <c r="W145" s="81"/>
      <c r="X145" s="64"/>
      <c r="Y145" s="59">
        <v>1</v>
      </c>
      <c r="Z145" s="59" t="str">
        <f t="shared" si="9"/>
        <v/>
      </c>
    </row>
    <row r="146" spans="1:26" s="55" customFormat="1" ht="30" customHeight="1" x14ac:dyDescent="0.2">
      <c r="A146" s="27">
        <v>195</v>
      </c>
      <c r="B146" s="28" t="str">
        <f t="shared" si="10"/>
        <v>1.4.02f</v>
      </c>
      <c r="C146" s="29">
        <f t="shared" si="11"/>
        <v>6</v>
      </c>
      <c r="D146" s="3"/>
      <c r="E146" s="30"/>
      <c r="F146" s="36"/>
      <c r="G146" s="45"/>
      <c r="H146" s="67" t="str">
        <f>IF(ISERROR(VLOOKUP(Y146,detail_maturity_score,3,FALSE)*VLOOKUP(#REF!,weighting_scores,2,FALSE)),"",VLOOKUP(Y146,detail_maturity_score,3,FALSE)*VLOOKUP(#REF!,weighting_scores,2,FALSE))</f>
        <v/>
      </c>
      <c r="I146" s="133"/>
      <c r="J146" s="29"/>
      <c r="K146" s="29"/>
      <c r="L146" s="29"/>
      <c r="M146" s="29"/>
      <c r="N146" s="29"/>
      <c r="O146" s="29"/>
      <c r="P146" s="29"/>
      <c r="Q146" s="29"/>
      <c r="R146" s="57"/>
      <c r="S146" s="29"/>
      <c r="T146" s="29"/>
      <c r="U146" s="81"/>
      <c r="V146" s="85"/>
      <c r="W146" s="81"/>
      <c r="X146" s="64"/>
      <c r="Y146" s="59">
        <v>1</v>
      </c>
      <c r="Z146" s="59" t="str">
        <f t="shared" si="9"/>
        <v/>
      </c>
    </row>
    <row r="147" spans="1:26" s="55" customFormat="1" ht="30" customHeight="1" x14ac:dyDescent="0.2">
      <c r="A147" s="27">
        <v>196</v>
      </c>
      <c r="B147" s="28" t="str">
        <f t="shared" si="10"/>
        <v>1.4.02g</v>
      </c>
      <c r="C147" s="29">
        <f t="shared" si="11"/>
        <v>6</v>
      </c>
      <c r="D147" s="3"/>
      <c r="E147" s="30"/>
      <c r="F147" s="36"/>
      <c r="G147" s="45"/>
      <c r="H147" s="67" t="str">
        <f>IF(ISERROR(VLOOKUP(Y147,detail_maturity_score,3,FALSE)*VLOOKUP(#REF!,weighting_scores,2,FALSE)),"",VLOOKUP(Y147,detail_maturity_score,3,FALSE)*VLOOKUP(#REF!,weighting_scores,2,FALSE))</f>
        <v/>
      </c>
      <c r="I147" s="133"/>
      <c r="J147" s="29"/>
      <c r="K147" s="29"/>
      <c r="L147" s="29"/>
      <c r="M147" s="29"/>
      <c r="N147" s="29"/>
      <c r="O147" s="29"/>
      <c r="P147" s="29"/>
      <c r="Q147" s="29"/>
      <c r="R147" s="57"/>
      <c r="S147" s="29"/>
      <c r="T147" s="29"/>
      <c r="U147" s="81"/>
      <c r="V147" s="85"/>
      <c r="W147" s="81"/>
      <c r="X147" s="64"/>
      <c r="Y147" s="59">
        <v>1</v>
      </c>
      <c r="Z147" s="59" t="str">
        <f t="shared" si="9"/>
        <v/>
      </c>
    </row>
    <row r="148" spans="1:26" s="55" customFormat="1" ht="30" customHeight="1" x14ac:dyDescent="0.2">
      <c r="A148" s="27">
        <v>197</v>
      </c>
      <c r="B148" s="28" t="str">
        <f t="shared" si="10"/>
        <v>1.4.03</v>
      </c>
      <c r="C148" s="29">
        <f t="shared" si="11"/>
        <v>4</v>
      </c>
      <c r="D148" s="3"/>
      <c r="E148" s="30"/>
      <c r="F148" s="31"/>
      <c r="G148" s="45"/>
      <c r="H148" s="67" t="str">
        <f>IF(ISERROR(VLOOKUP(Y148,detail_maturity_score,3,FALSE)*VLOOKUP(#REF!,weighting_scores,2,FALSE)),"",VLOOKUP(Y148,detail_maturity_score,3,FALSE)*VLOOKUP(#REF!,weighting_scores,2,FALSE))</f>
        <v/>
      </c>
      <c r="I148" s="133"/>
      <c r="J148" s="29"/>
      <c r="K148" s="29"/>
      <c r="L148" s="29"/>
      <c r="M148" s="29"/>
      <c r="N148" s="29"/>
      <c r="O148" s="29"/>
      <c r="P148" s="29"/>
      <c r="Q148" s="29"/>
      <c r="R148" s="57"/>
      <c r="S148" s="29"/>
      <c r="T148" s="29"/>
      <c r="U148" s="81"/>
      <c r="V148" s="85"/>
      <c r="W148" s="81"/>
      <c r="X148" s="64"/>
      <c r="Y148" s="59"/>
      <c r="Z148" s="59"/>
    </row>
    <row r="149" spans="1:26" s="55" customFormat="1" ht="16" x14ac:dyDescent="0.2">
      <c r="A149" s="27">
        <v>198</v>
      </c>
      <c r="B149" s="28" t="str">
        <f t="shared" si="10"/>
        <v>1.4.03a</v>
      </c>
      <c r="C149" s="29">
        <f t="shared" si="11"/>
        <v>6</v>
      </c>
      <c r="D149" s="3"/>
      <c r="E149" s="30"/>
      <c r="F149" s="36"/>
      <c r="G149" s="45"/>
      <c r="H149" s="67" t="str">
        <f>IF(ISERROR(VLOOKUP(Y149,detail_maturity_score,3,FALSE)*VLOOKUP(#REF!,weighting_scores,2,FALSE)),"",VLOOKUP(Y149,detail_maturity_score,3,FALSE)*VLOOKUP(#REF!,weighting_scores,2,FALSE))</f>
        <v/>
      </c>
      <c r="I149" s="133"/>
      <c r="J149" s="29"/>
      <c r="K149" s="29"/>
      <c r="L149" s="29"/>
      <c r="M149" s="29"/>
      <c r="N149" s="29"/>
      <c r="O149" s="29"/>
      <c r="P149" s="29"/>
      <c r="Q149" s="29"/>
      <c r="R149" s="57"/>
      <c r="S149" s="29"/>
      <c r="T149" s="29"/>
      <c r="U149" s="81"/>
      <c r="V149" s="85"/>
      <c r="W149" s="81"/>
      <c r="X149" s="64"/>
      <c r="Y149" s="59">
        <v>1</v>
      </c>
      <c r="Z149" s="59" t="str">
        <f t="shared" ref="Z149:Z155" si="12">VLOOKUP(Y149,detail_maturity_score,3,FALSE)</f>
        <v/>
      </c>
    </row>
    <row r="150" spans="1:26" s="55" customFormat="1" ht="30" customHeight="1" x14ac:dyDescent="0.2">
      <c r="A150" s="27">
        <v>199</v>
      </c>
      <c r="B150" s="28" t="str">
        <f t="shared" si="10"/>
        <v>1.4.03b</v>
      </c>
      <c r="C150" s="29">
        <f t="shared" si="11"/>
        <v>6</v>
      </c>
      <c r="D150" s="3"/>
      <c r="E150" s="30"/>
      <c r="F150" s="36"/>
      <c r="G150" s="45"/>
      <c r="H150" s="67" t="str">
        <f>IF(ISERROR(VLOOKUP(Y150,detail_maturity_score,3,FALSE)*VLOOKUP(#REF!,weighting_scores,2,FALSE)),"",VLOOKUP(Y150,detail_maturity_score,3,FALSE)*VLOOKUP(#REF!,weighting_scores,2,FALSE))</f>
        <v/>
      </c>
      <c r="I150" s="133"/>
      <c r="J150" s="29"/>
      <c r="K150" s="29"/>
      <c r="L150" s="29"/>
      <c r="M150" s="29"/>
      <c r="N150" s="29"/>
      <c r="O150" s="29"/>
      <c r="P150" s="29"/>
      <c r="Q150" s="29"/>
      <c r="R150" s="57"/>
      <c r="S150" s="29"/>
      <c r="T150" s="29"/>
      <c r="U150" s="81"/>
      <c r="V150" s="85"/>
      <c r="W150" s="81"/>
      <c r="X150" s="64"/>
      <c r="Y150" s="59">
        <v>1</v>
      </c>
      <c r="Z150" s="59" t="str">
        <f t="shared" si="12"/>
        <v/>
      </c>
    </row>
    <row r="151" spans="1:26" s="55" customFormat="1" ht="30" customHeight="1" x14ac:dyDescent="0.2">
      <c r="A151" s="27">
        <v>200</v>
      </c>
      <c r="B151" s="28" t="str">
        <f t="shared" si="10"/>
        <v>1.4.03c</v>
      </c>
      <c r="C151" s="29">
        <f t="shared" si="11"/>
        <v>6</v>
      </c>
      <c r="D151" s="3"/>
      <c r="E151" s="30"/>
      <c r="F151" s="36"/>
      <c r="G151" s="45"/>
      <c r="H151" s="67" t="str">
        <f>IF(ISERROR(VLOOKUP(Y151,detail_maturity_score,3,FALSE)*VLOOKUP(#REF!,weighting_scores,2,FALSE)),"",VLOOKUP(Y151,detail_maturity_score,3,FALSE)*VLOOKUP(#REF!,weighting_scores,2,FALSE))</f>
        <v/>
      </c>
      <c r="I151" s="133"/>
      <c r="J151" s="29"/>
      <c r="K151" s="29"/>
      <c r="L151" s="29"/>
      <c r="M151" s="29"/>
      <c r="N151" s="29"/>
      <c r="O151" s="29"/>
      <c r="P151" s="29"/>
      <c r="Q151" s="29"/>
      <c r="R151" s="57"/>
      <c r="S151" s="29"/>
      <c r="T151" s="29"/>
      <c r="U151" s="81"/>
      <c r="V151" s="85"/>
      <c r="W151" s="81"/>
      <c r="X151" s="64"/>
      <c r="Y151" s="59">
        <v>1</v>
      </c>
      <c r="Z151" s="59" t="str">
        <f t="shared" si="12"/>
        <v/>
      </c>
    </row>
    <row r="152" spans="1:26" s="55" customFormat="1" ht="30" customHeight="1" x14ac:dyDescent="0.2">
      <c r="A152" s="27">
        <v>201</v>
      </c>
      <c r="B152" s="28" t="str">
        <f t="shared" si="10"/>
        <v>1.4.03d</v>
      </c>
      <c r="C152" s="29">
        <f t="shared" si="11"/>
        <v>6</v>
      </c>
      <c r="D152" s="3"/>
      <c r="E152" s="30"/>
      <c r="F152" s="36"/>
      <c r="G152" s="45"/>
      <c r="H152" s="67" t="str">
        <f>IF(ISERROR(VLOOKUP(Y152,detail_maturity_score,3,FALSE)*VLOOKUP(#REF!,weighting_scores,2,FALSE)),"",VLOOKUP(Y152,detail_maturity_score,3,FALSE)*VLOOKUP(#REF!,weighting_scores,2,FALSE))</f>
        <v/>
      </c>
      <c r="I152" s="133"/>
      <c r="J152" s="29"/>
      <c r="K152" s="29"/>
      <c r="L152" s="29"/>
      <c r="M152" s="29"/>
      <c r="N152" s="29"/>
      <c r="O152" s="29"/>
      <c r="P152" s="29"/>
      <c r="Q152" s="29"/>
      <c r="R152" s="57"/>
      <c r="S152" s="29"/>
      <c r="T152" s="29"/>
      <c r="U152" s="81"/>
      <c r="V152" s="85"/>
      <c r="W152" s="81"/>
      <c r="X152" s="64"/>
      <c r="Y152" s="59">
        <v>1</v>
      </c>
      <c r="Z152" s="59" t="str">
        <f t="shared" si="12"/>
        <v/>
      </c>
    </row>
    <row r="153" spans="1:26" s="55" customFormat="1" ht="30" customHeight="1" x14ac:dyDescent="0.2">
      <c r="A153" s="27">
        <v>202</v>
      </c>
      <c r="B153" s="28" t="str">
        <f t="shared" si="10"/>
        <v>1.4.03e</v>
      </c>
      <c r="C153" s="29">
        <f t="shared" si="11"/>
        <v>6</v>
      </c>
      <c r="D153" s="3"/>
      <c r="E153" s="30"/>
      <c r="F153" s="36"/>
      <c r="G153" s="45"/>
      <c r="H153" s="67" t="str">
        <f>IF(ISERROR(VLOOKUP(Y153,detail_maturity_score,3,FALSE)*VLOOKUP(#REF!,weighting_scores,2,FALSE)),"",VLOOKUP(Y153,detail_maturity_score,3,FALSE)*VLOOKUP(#REF!,weighting_scores,2,FALSE))</f>
        <v/>
      </c>
      <c r="I153" s="133"/>
      <c r="J153" s="29"/>
      <c r="K153" s="29"/>
      <c r="L153" s="29"/>
      <c r="M153" s="29"/>
      <c r="N153" s="29"/>
      <c r="O153" s="29"/>
      <c r="P153" s="29"/>
      <c r="Q153" s="29"/>
      <c r="R153" s="57"/>
      <c r="S153" s="29"/>
      <c r="T153" s="29"/>
      <c r="U153" s="81"/>
      <c r="V153" s="85"/>
      <c r="W153" s="81"/>
      <c r="X153" s="64"/>
      <c r="Y153" s="59">
        <v>1</v>
      </c>
      <c r="Z153" s="59" t="str">
        <f t="shared" si="12"/>
        <v/>
      </c>
    </row>
    <row r="154" spans="1:26" s="55" customFormat="1" ht="16" x14ac:dyDescent="0.2">
      <c r="A154" s="27">
        <v>203</v>
      </c>
      <c r="B154" s="28" t="str">
        <f t="shared" si="10"/>
        <v>1.4.04</v>
      </c>
      <c r="C154" s="29">
        <f t="shared" si="11"/>
        <v>5</v>
      </c>
      <c r="D154" s="3"/>
      <c r="E154" s="30"/>
      <c r="F154" s="31"/>
      <c r="G154" s="45"/>
      <c r="H154" s="67" t="str">
        <f>IF(ISERROR(VLOOKUP(Y154,detail_maturity_score,3,FALSE)*VLOOKUP(#REF!,weighting_scores,2,FALSE)),"",VLOOKUP(Y154,detail_maturity_score,3,FALSE)*VLOOKUP(#REF!,weighting_scores,2,FALSE))</f>
        <v/>
      </c>
      <c r="I154" s="133"/>
      <c r="J154" s="29"/>
      <c r="K154" s="29"/>
      <c r="L154" s="29"/>
      <c r="M154" s="29"/>
      <c r="N154" s="29"/>
      <c r="O154" s="29"/>
      <c r="P154" s="29"/>
      <c r="Q154" s="29"/>
      <c r="R154" s="57"/>
      <c r="S154" s="29"/>
      <c r="T154" s="29"/>
      <c r="U154" s="81"/>
      <c r="V154" s="85"/>
      <c r="W154" s="81"/>
      <c r="X154" s="92"/>
      <c r="Y154" s="59">
        <v>1</v>
      </c>
      <c r="Z154" s="59" t="str">
        <f t="shared" si="12"/>
        <v/>
      </c>
    </row>
    <row r="155" spans="1:26" s="55" customFormat="1" ht="30" customHeight="1" x14ac:dyDescent="0.2">
      <c r="A155" s="27">
        <v>204</v>
      </c>
      <c r="B155" s="28" t="str">
        <f t="shared" si="10"/>
        <v>1.4.05</v>
      </c>
      <c r="C155" s="29">
        <f t="shared" si="11"/>
        <v>5</v>
      </c>
      <c r="D155" s="3"/>
      <c r="E155" s="30"/>
      <c r="F155" s="31"/>
      <c r="G155" s="45"/>
      <c r="H155" s="67" t="str">
        <f>IF(ISERROR(VLOOKUP(Y155,detail_maturity_score,3,FALSE)*VLOOKUP(#REF!,weighting_scores,2,FALSE)),"",VLOOKUP(Y155,detail_maturity_score,3,FALSE)*VLOOKUP(#REF!,weighting_scores,2,FALSE))</f>
        <v/>
      </c>
      <c r="I155" s="133"/>
      <c r="J155" s="29"/>
      <c r="K155" s="29"/>
      <c r="L155" s="29"/>
      <c r="M155" s="29"/>
      <c r="N155" s="29"/>
      <c r="O155" s="29"/>
      <c r="P155" s="29"/>
      <c r="Q155" s="29"/>
      <c r="R155" s="57"/>
      <c r="S155" s="29"/>
      <c r="T155" s="29"/>
      <c r="U155" s="81"/>
      <c r="V155" s="85"/>
      <c r="W155" s="81"/>
      <c r="X155" s="92"/>
      <c r="Y155" s="59">
        <v>1</v>
      </c>
      <c r="Z155" s="59" t="str">
        <f t="shared" si="12"/>
        <v/>
      </c>
    </row>
    <row r="156" spans="1:26" s="55" customFormat="1" ht="30" customHeight="1" x14ac:dyDescent="0.2">
      <c r="A156" s="27">
        <v>205</v>
      </c>
      <c r="B156" s="28" t="str">
        <f t="shared" si="10"/>
        <v>1.4.06</v>
      </c>
      <c r="C156" s="29">
        <f t="shared" si="11"/>
        <v>4</v>
      </c>
      <c r="D156" s="3"/>
      <c r="E156" s="30"/>
      <c r="F156" s="31"/>
      <c r="G156" s="45"/>
      <c r="H156" s="67" t="str">
        <f>IF(ISERROR(VLOOKUP(Y156,detail_maturity_score,3,FALSE)*VLOOKUP(#REF!,weighting_scores,2,FALSE)),"",VLOOKUP(Y156,detail_maturity_score,3,FALSE)*VLOOKUP(#REF!,weighting_scores,2,FALSE))</f>
        <v/>
      </c>
      <c r="I156" s="133"/>
      <c r="J156" s="29"/>
      <c r="K156" s="29"/>
      <c r="L156" s="29"/>
      <c r="M156" s="29"/>
      <c r="N156" s="29"/>
      <c r="O156" s="29"/>
      <c r="P156" s="29"/>
      <c r="Q156" s="29"/>
      <c r="R156" s="57"/>
      <c r="S156" s="29"/>
      <c r="T156" s="29"/>
      <c r="U156" s="81"/>
      <c r="V156" s="85"/>
      <c r="W156" s="81"/>
      <c r="X156" s="64"/>
      <c r="Y156" s="59"/>
      <c r="Z156" s="59"/>
    </row>
    <row r="157" spans="1:26" s="55" customFormat="1" ht="30" customHeight="1" x14ac:dyDescent="0.2">
      <c r="A157" s="27">
        <v>206</v>
      </c>
      <c r="B157" s="28" t="str">
        <f t="shared" si="10"/>
        <v>1.4.06a</v>
      </c>
      <c r="C157" s="29">
        <f t="shared" si="11"/>
        <v>6</v>
      </c>
      <c r="D157" s="3"/>
      <c r="E157" s="30"/>
      <c r="F157" s="36"/>
      <c r="G157" s="45"/>
      <c r="H157" s="67" t="str">
        <f>IF(ISERROR(VLOOKUP(Y157,detail_maturity_score,3,FALSE)*VLOOKUP(#REF!,weighting_scores,2,FALSE)),"",VLOOKUP(Y157,detail_maturity_score,3,FALSE)*VLOOKUP(#REF!,weighting_scores,2,FALSE))</f>
        <v/>
      </c>
      <c r="I157" s="133"/>
      <c r="J157" s="29"/>
      <c r="K157" s="29"/>
      <c r="L157" s="29"/>
      <c r="M157" s="29"/>
      <c r="N157" s="29"/>
      <c r="O157" s="29"/>
      <c r="P157" s="29"/>
      <c r="Q157" s="29"/>
      <c r="R157" s="57"/>
      <c r="S157" s="29"/>
      <c r="T157" s="29"/>
      <c r="U157" s="81"/>
      <c r="V157" s="85"/>
      <c r="W157" s="81"/>
      <c r="X157" s="64"/>
      <c r="Y157" s="59">
        <v>1</v>
      </c>
      <c r="Z157" s="59" t="str">
        <f t="shared" ref="Z157:Z162" si="13">VLOOKUP(Y157,detail_maturity_score,3,FALSE)</f>
        <v/>
      </c>
    </row>
    <row r="158" spans="1:26" s="55" customFormat="1" ht="30" customHeight="1" x14ac:dyDescent="0.2">
      <c r="A158" s="27">
        <v>207</v>
      </c>
      <c r="B158" s="28" t="str">
        <f t="shared" si="10"/>
        <v>1.4.06b</v>
      </c>
      <c r="C158" s="29">
        <f t="shared" si="11"/>
        <v>6</v>
      </c>
      <c r="D158" s="3"/>
      <c r="E158" s="30"/>
      <c r="F158" s="36"/>
      <c r="G158" s="45"/>
      <c r="H158" s="67" t="str">
        <f>IF(ISERROR(VLOOKUP(Y158,detail_maturity_score,3,FALSE)*VLOOKUP(#REF!,weighting_scores,2,FALSE)),"",VLOOKUP(Y158,detail_maturity_score,3,FALSE)*VLOOKUP(#REF!,weighting_scores,2,FALSE))</f>
        <v/>
      </c>
      <c r="I158" s="133"/>
      <c r="J158" s="29"/>
      <c r="K158" s="29"/>
      <c r="L158" s="29"/>
      <c r="M158" s="29"/>
      <c r="N158" s="29"/>
      <c r="O158" s="29"/>
      <c r="P158" s="29"/>
      <c r="Q158" s="29"/>
      <c r="R158" s="57"/>
      <c r="S158" s="29"/>
      <c r="T158" s="29"/>
      <c r="U158" s="81"/>
      <c r="V158" s="85"/>
      <c r="W158" s="81"/>
      <c r="X158" s="64"/>
      <c r="Y158" s="59">
        <v>1</v>
      </c>
      <c r="Z158" s="59" t="str">
        <f t="shared" si="13"/>
        <v/>
      </c>
    </row>
    <row r="159" spans="1:26" s="55" customFormat="1" ht="30" customHeight="1" x14ac:dyDescent="0.2">
      <c r="A159" s="27">
        <v>208</v>
      </c>
      <c r="B159" s="28" t="str">
        <f t="shared" si="10"/>
        <v>1.4.06c</v>
      </c>
      <c r="C159" s="29">
        <f t="shared" si="11"/>
        <v>6</v>
      </c>
      <c r="D159" s="3"/>
      <c r="E159" s="30"/>
      <c r="F159" s="36"/>
      <c r="G159" s="45"/>
      <c r="H159" s="67" t="str">
        <f>IF(ISERROR(VLOOKUP(Y159,detail_maturity_score,3,FALSE)*VLOOKUP(#REF!,weighting_scores,2,FALSE)),"",VLOOKUP(Y159,detail_maturity_score,3,FALSE)*VLOOKUP(#REF!,weighting_scores,2,FALSE))</f>
        <v/>
      </c>
      <c r="I159" s="133"/>
      <c r="J159" s="29"/>
      <c r="K159" s="29"/>
      <c r="L159" s="29"/>
      <c r="M159" s="29"/>
      <c r="N159" s="29"/>
      <c r="O159" s="29"/>
      <c r="P159" s="29"/>
      <c r="Q159" s="29"/>
      <c r="R159" s="57"/>
      <c r="S159" s="29"/>
      <c r="T159" s="29"/>
      <c r="U159" s="81"/>
      <c r="V159" s="85"/>
      <c r="W159" s="81"/>
      <c r="X159" s="64"/>
      <c r="Y159" s="59">
        <v>1</v>
      </c>
      <c r="Z159" s="59" t="str">
        <f t="shared" si="13"/>
        <v/>
      </c>
    </row>
    <row r="160" spans="1:26" s="55" customFormat="1" ht="30" customHeight="1" x14ac:dyDescent="0.2">
      <c r="A160" s="27">
        <v>209</v>
      </c>
      <c r="B160" s="28" t="str">
        <f t="shared" si="10"/>
        <v>1.4.06d</v>
      </c>
      <c r="C160" s="29">
        <f t="shared" si="11"/>
        <v>6</v>
      </c>
      <c r="D160" s="3"/>
      <c r="E160" s="30"/>
      <c r="F160" s="36"/>
      <c r="G160" s="45"/>
      <c r="H160" s="67" t="str">
        <f>IF(ISERROR(VLOOKUP(Y160,detail_maturity_score,3,FALSE)*VLOOKUP(#REF!,weighting_scores,2,FALSE)),"",VLOOKUP(Y160,detail_maturity_score,3,FALSE)*VLOOKUP(#REF!,weighting_scores,2,FALSE))</f>
        <v/>
      </c>
      <c r="I160" s="133"/>
      <c r="J160" s="29"/>
      <c r="K160" s="29"/>
      <c r="L160" s="29"/>
      <c r="M160" s="29"/>
      <c r="N160" s="29"/>
      <c r="O160" s="29"/>
      <c r="P160" s="29"/>
      <c r="Q160" s="29"/>
      <c r="R160" s="57"/>
      <c r="S160" s="29"/>
      <c r="T160" s="29"/>
      <c r="U160" s="81"/>
      <c r="V160" s="85"/>
      <c r="W160" s="81"/>
      <c r="X160" s="64"/>
      <c r="Y160" s="59">
        <v>1</v>
      </c>
      <c r="Z160" s="59" t="str">
        <f t="shared" si="13"/>
        <v/>
      </c>
    </row>
    <row r="161" spans="1:26" s="55" customFormat="1" ht="30" customHeight="1" x14ac:dyDescent="0.2">
      <c r="A161" s="27">
        <v>210</v>
      </c>
      <c r="B161" s="28" t="str">
        <f t="shared" si="10"/>
        <v>1.4.06e</v>
      </c>
      <c r="C161" s="29">
        <f t="shared" si="11"/>
        <v>6</v>
      </c>
      <c r="D161" s="3"/>
      <c r="E161" s="30"/>
      <c r="F161" s="36"/>
      <c r="G161" s="45"/>
      <c r="H161" s="67" t="str">
        <f>IF(ISERROR(VLOOKUP(Y161,detail_maturity_score,3,FALSE)*VLOOKUP(#REF!,weighting_scores,2,FALSE)),"",VLOOKUP(Y161,detail_maturity_score,3,FALSE)*VLOOKUP(#REF!,weighting_scores,2,FALSE))</f>
        <v/>
      </c>
      <c r="I161" s="133"/>
      <c r="J161" s="29"/>
      <c r="K161" s="29"/>
      <c r="L161" s="29"/>
      <c r="M161" s="29"/>
      <c r="N161" s="29"/>
      <c r="O161" s="29"/>
      <c r="P161" s="29"/>
      <c r="Q161" s="29"/>
      <c r="R161" s="57"/>
      <c r="S161" s="29"/>
      <c r="T161" s="29"/>
      <c r="U161" s="81"/>
      <c r="V161" s="85"/>
      <c r="W161" s="81"/>
      <c r="X161" s="64"/>
      <c r="Y161" s="59">
        <v>1</v>
      </c>
      <c r="Z161" s="59" t="str">
        <f t="shared" si="13"/>
        <v/>
      </c>
    </row>
    <row r="162" spans="1:26" s="55" customFormat="1" ht="16" x14ac:dyDescent="0.2">
      <c r="A162" s="27">
        <v>211</v>
      </c>
      <c r="B162" s="28" t="str">
        <f t="shared" si="10"/>
        <v>1.4.07</v>
      </c>
      <c r="C162" s="29">
        <f t="shared" si="11"/>
        <v>5</v>
      </c>
      <c r="D162" s="3"/>
      <c r="E162" s="30"/>
      <c r="F162" s="31"/>
      <c r="G162" s="45"/>
      <c r="H162" s="67" t="str">
        <f>IF(ISERROR(VLOOKUP(Y162,detail_maturity_score,3,FALSE)*VLOOKUP(#REF!,weighting_scores,2,FALSE)),"",VLOOKUP(Y162,detail_maturity_score,3,FALSE)*VLOOKUP(#REF!,weighting_scores,2,FALSE))</f>
        <v/>
      </c>
      <c r="I162" s="133"/>
      <c r="J162" s="29"/>
      <c r="K162" s="29"/>
      <c r="L162" s="29"/>
      <c r="M162" s="29"/>
      <c r="N162" s="29"/>
      <c r="O162" s="29"/>
      <c r="P162" s="29"/>
      <c r="Q162" s="29"/>
      <c r="R162" s="57"/>
      <c r="S162" s="29"/>
      <c r="T162" s="29"/>
      <c r="U162" s="81"/>
      <c r="V162" s="85"/>
      <c r="W162" s="81"/>
      <c r="X162" s="92"/>
      <c r="Y162" s="59">
        <v>1</v>
      </c>
      <c r="Z162" s="59" t="str">
        <f t="shared" si="13"/>
        <v/>
      </c>
    </row>
    <row r="163" spans="1:26" s="55" customFormat="1" ht="30" customHeight="1" x14ac:dyDescent="0.2">
      <c r="A163" s="27">
        <v>212</v>
      </c>
      <c r="B163" s="28" t="str">
        <f t="shared" si="10"/>
        <v>1.4.08</v>
      </c>
      <c r="C163" s="29">
        <f t="shared" si="11"/>
        <v>4</v>
      </c>
      <c r="D163" s="3"/>
      <c r="E163" s="30"/>
      <c r="F163" s="31"/>
      <c r="G163" s="45"/>
      <c r="H163" s="67" t="str">
        <f>IF(ISERROR(VLOOKUP(Y163,detail_maturity_score,3,FALSE)*VLOOKUP(#REF!,weighting_scores,2,FALSE)),"",VLOOKUP(Y163,detail_maturity_score,3,FALSE)*VLOOKUP(#REF!,weighting_scores,2,FALSE))</f>
        <v/>
      </c>
      <c r="I163" s="133"/>
      <c r="J163" s="29"/>
      <c r="K163" s="29"/>
      <c r="L163" s="29"/>
      <c r="M163" s="29"/>
      <c r="N163" s="29"/>
      <c r="O163" s="29"/>
      <c r="P163" s="29"/>
      <c r="Q163" s="29"/>
      <c r="R163" s="57"/>
      <c r="S163" s="29"/>
      <c r="T163" s="29"/>
      <c r="U163" s="81"/>
      <c r="V163" s="85"/>
      <c r="W163" s="81"/>
      <c r="X163" s="64"/>
      <c r="Y163" s="59"/>
      <c r="Z163" s="59"/>
    </row>
    <row r="164" spans="1:26" s="55" customFormat="1" ht="16" x14ac:dyDescent="0.2">
      <c r="A164" s="27">
        <v>213</v>
      </c>
      <c r="B164" s="28" t="str">
        <f t="shared" si="10"/>
        <v>1.4.08a</v>
      </c>
      <c r="C164" s="29">
        <f t="shared" si="11"/>
        <v>6</v>
      </c>
      <c r="D164" s="3"/>
      <c r="E164" s="30"/>
      <c r="F164" s="36"/>
      <c r="G164" s="45"/>
      <c r="H164" s="67" t="str">
        <f>IF(ISERROR(VLOOKUP(Y164,detail_maturity_score,3,FALSE)*VLOOKUP(#REF!,weighting_scores,2,FALSE)),"",VLOOKUP(Y164,detail_maturity_score,3,FALSE)*VLOOKUP(#REF!,weighting_scores,2,FALSE))</f>
        <v/>
      </c>
      <c r="I164" s="133"/>
      <c r="J164" s="29"/>
      <c r="K164" s="29"/>
      <c r="L164" s="29"/>
      <c r="M164" s="29"/>
      <c r="N164" s="29"/>
      <c r="O164" s="29"/>
      <c r="P164" s="29"/>
      <c r="Q164" s="29"/>
      <c r="R164" s="57"/>
      <c r="S164" s="29"/>
      <c r="T164" s="29"/>
      <c r="U164" s="81"/>
      <c r="V164" s="85"/>
      <c r="W164" s="81"/>
      <c r="X164" s="64"/>
      <c r="Y164" s="59">
        <v>1</v>
      </c>
      <c r="Z164" s="59" t="str">
        <f>VLOOKUP(Y164,detail_maturity_score,3,FALSE)</f>
        <v/>
      </c>
    </row>
    <row r="165" spans="1:26" s="55" customFormat="1" ht="16" x14ac:dyDescent="0.2">
      <c r="A165" s="27">
        <v>214</v>
      </c>
      <c r="B165" s="28" t="str">
        <f t="shared" si="10"/>
        <v>1.4.08b</v>
      </c>
      <c r="C165" s="29">
        <f t="shared" si="11"/>
        <v>6</v>
      </c>
      <c r="D165" s="3"/>
      <c r="E165" s="30"/>
      <c r="F165" s="36"/>
      <c r="G165" s="45"/>
      <c r="H165" s="67" t="str">
        <f>IF(ISERROR(VLOOKUP(Y165,detail_maturity_score,3,FALSE)*VLOOKUP(#REF!,weighting_scores,2,FALSE)),"",VLOOKUP(Y165,detail_maturity_score,3,FALSE)*VLOOKUP(#REF!,weighting_scores,2,FALSE))</f>
        <v/>
      </c>
      <c r="I165" s="133"/>
      <c r="J165" s="29"/>
      <c r="K165" s="29"/>
      <c r="L165" s="29"/>
      <c r="M165" s="29"/>
      <c r="N165" s="29"/>
      <c r="O165" s="29"/>
      <c r="P165" s="29"/>
      <c r="Q165" s="29"/>
      <c r="R165" s="57"/>
      <c r="S165" s="29"/>
      <c r="T165" s="29"/>
      <c r="U165" s="81"/>
      <c r="V165" s="85"/>
      <c r="W165" s="81"/>
      <c r="X165" s="64"/>
      <c r="Y165" s="59">
        <v>1</v>
      </c>
      <c r="Z165" s="59" t="str">
        <f>VLOOKUP(Y165,detail_maturity_score,3,FALSE)</f>
        <v/>
      </c>
    </row>
    <row r="166" spans="1:26" s="55" customFormat="1" ht="16" x14ac:dyDescent="0.2">
      <c r="A166" s="27">
        <v>215</v>
      </c>
      <c r="B166" s="28" t="str">
        <f t="shared" si="10"/>
        <v>1.4.08c</v>
      </c>
      <c r="C166" s="29">
        <f t="shared" si="11"/>
        <v>6</v>
      </c>
      <c r="D166" s="3"/>
      <c r="E166" s="30"/>
      <c r="F166" s="36"/>
      <c r="G166" s="45"/>
      <c r="H166" s="67" t="str">
        <f>IF(ISERROR(VLOOKUP(Y166,detail_maturity_score,3,FALSE)*VLOOKUP(#REF!,weighting_scores,2,FALSE)),"",VLOOKUP(Y166,detail_maturity_score,3,FALSE)*VLOOKUP(#REF!,weighting_scores,2,FALSE))</f>
        <v/>
      </c>
      <c r="I166" s="133"/>
      <c r="J166" s="29"/>
      <c r="K166" s="29"/>
      <c r="L166" s="29"/>
      <c r="M166" s="29"/>
      <c r="N166" s="29"/>
      <c r="O166" s="29"/>
      <c r="P166" s="29"/>
      <c r="Q166" s="29"/>
      <c r="R166" s="57"/>
      <c r="S166" s="29"/>
      <c r="T166" s="29"/>
      <c r="U166" s="81"/>
      <c r="V166" s="85"/>
      <c r="W166" s="81"/>
      <c r="X166" s="64"/>
      <c r="Y166" s="59">
        <v>1</v>
      </c>
      <c r="Z166" s="59" t="str">
        <f>VLOOKUP(Y166,detail_maturity_score,3,FALSE)</f>
        <v/>
      </c>
    </row>
    <row r="167" spans="1:26" s="55" customFormat="1" ht="16" x14ac:dyDescent="0.2">
      <c r="A167" s="27">
        <v>216</v>
      </c>
      <c r="B167" s="28" t="str">
        <f t="shared" si="10"/>
        <v>1.4.09</v>
      </c>
      <c r="C167" s="29">
        <f t="shared" si="11"/>
        <v>5</v>
      </c>
      <c r="D167" s="3"/>
      <c r="E167" s="30"/>
      <c r="F167" s="31"/>
      <c r="G167" s="45"/>
      <c r="H167" s="67" t="str">
        <f>IF(ISERROR(VLOOKUP(Y167,detail_maturity_score,3,FALSE)*VLOOKUP(#REF!,weighting_scores,2,FALSE)),"",VLOOKUP(Y167,detail_maturity_score,3,FALSE)*VLOOKUP(#REF!,weighting_scores,2,FALSE))</f>
        <v/>
      </c>
      <c r="I167" s="133"/>
      <c r="J167" s="29"/>
      <c r="K167" s="29"/>
      <c r="L167" s="29"/>
      <c r="M167" s="29"/>
      <c r="N167" s="29"/>
      <c r="O167" s="29"/>
      <c r="P167" s="29"/>
      <c r="Q167" s="29"/>
      <c r="R167" s="57"/>
      <c r="S167" s="29"/>
      <c r="T167" s="29"/>
      <c r="U167" s="81"/>
      <c r="V167" s="85"/>
      <c r="W167" s="81"/>
      <c r="X167" s="92"/>
      <c r="Y167" s="59">
        <v>1</v>
      </c>
      <c r="Z167" s="59" t="str">
        <f>VLOOKUP(Y167,detail_maturity_score,3,FALSE)</f>
        <v/>
      </c>
    </row>
    <row r="168" spans="1:26" s="55" customFormat="1" ht="30" customHeight="1" x14ac:dyDescent="0.2">
      <c r="A168" s="27">
        <v>217</v>
      </c>
      <c r="B168" s="28" t="str">
        <f t="shared" si="10"/>
        <v>1.4.10</v>
      </c>
      <c r="C168" s="29">
        <f t="shared" si="11"/>
        <v>4</v>
      </c>
      <c r="D168" s="3"/>
      <c r="E168" s="30"/>
      <c r="F168" s="31"/>
      <c r="G168" s="45"/>
      <c r="H168" s="67" t="str">
        <f>IF(ISERROR(VLOOKUP(Y168,detail_maturity_score,3,FALSE)*VLOOKUP(#REF!,weighting_scores,2,FALSE)),"",VLOOKUP(Y168,detail_maturity_score,3,FALSE)*VLOOKUP(#REF!,weighting_scores,2,FALSE))</f>
        <v/>
      </c>
      <c r="I168" s="133"/>
      <c r="J168" s="29"/>
      <c r="K168" s="29"/>
      <c r="L168" s="29"/>
      <c r="M168" s="29"/>
      <c r="N168" s="29"/>
      <c r="O168" s="29"/>
      <c r="P168" s="29"/>
      <c r="Q168" s="29"/>
      <c r="R168" s="57"/>
      <c r="S168" s="29"/>
      <c r="T168" s="29"/>
      <c r="U168" s="81"/>
      <c r="V168" s="85"/>
      <c r="W168" s="81"/>
      <c r="X168" s="64"/>
      <c r="Y168" s="59"/>
      <c r="Z168" s="59"/>
    </row>
    <row r="169" spans="1:26" s="55" customFormat="1" ht="30" customHeight="1" x14ac:dyDescent="0.2">
      <c r="A169" s="27">
        <v>218</v>
      </c>
      <c r="B169" s="28" t="str">
        <f t="shared" si="10"/>
        <v>1.4.10a</v>
      </c>
      <c r="C169" s="29">
        <f t="shared" si="11"/>
        <v>6</v>
      </c>
      <c r="D169" s="3"/>
      <c r="E169" s="30"/>
      <c r="F169" s="36"/>
      <c r="G169" s="45"/>
      <c r="H169" s="67" t="str">
        <f>IF(ISERROR(VLOOKUP(Y169,detail_maturity_score,3,FALSE)*VLOOKUP(#REF!,weighting_scores,2,FALSE)),"",VLOOKUP(Y169,detail_maturity_score,3,FALSE)*VLOOKUP(#REF!,weighting_scores,2,FALSE))</f>
        <v/>
      </c>
      <c r="I169" s="133"/>
      <c r="J169" s="29"/>
      <c r="K169" s="29"/>
      <c r="L169" s="29"/>
      <c r="M169" s="29"/>
      <c r="N169" s="29"/>
      <c r="O169" s="29"/>
      <c r="P169" s="29"/>
      <c r="Q169" s="29"/>
      <c r="R169" s="57"/>
      <c r="S169" s="29"/>
      <c r="T169" s="29"/>
      <c r="U169" s="81"/>
      <c r="V169" s="85"/>
      <c r="W169" s="81"/>
      <c r="X169" s="64"/>
      <c r="Y169" s="59">
        <v>1</v>
      </c>
      <c r="Z169" s="59" t="str">
        <f t="shared" ref="Z169:Z174" si="14">VLOOKUP(Y169,detail_maturity_score,3,FALSE)</f>
        <v/>
      </c>
    </row>
    <row r="170" spans="1:26" s="55" customFormat="1" ht="30" customHeight="1" x14ac:dyDescent="0.2">
      <c r="A170" s="27">
        <v>219</v>
      </c>
      <c r="B170" s="28" t="str">
        <f t="shared" si="10"/>
        <v>1.4.10b</v>
      </c>
      <c r="C170" s="29">
        <f t="shared" si="11"/>
        <v>6</v>
      </c>
      <c r="D170" s="3"/>
      <c r="E170" s="30"/>
      <c r="F170" s="36"/>
      <c r="G170" s="45"/>
      <c r="H170" s="67" t="str">
        <f>IF(ISERROR(VLOOKUP(Y170,detail_maturity_score,3,FALSE)*VLOOKUP(#REF!,weighting_scores,2,FALSE)),"",VLOOKUP(Y170,detail_maturity_score,3,FALSE)*VLOOKUP(#REF!,weighting_scores,2,FALSE))</f>
        <v/>
      </c>
      <c r="I170" s="133"/>
      <c r="J170" s="29"/>
      <c r="K170" s="29"/>
      <c r="L170" s="29"/>
      <c r="M170" s="29"/>
      <c r="N170" s="29"/>
      <c r="O170" s="29"/>
      <c r="P170" s="29"/>
      <c r="Q170" s="29"/>
      <c r="R170" s="57"/>
      <c r="S170" s="29"/>
      <c r="T170" s="29"/>
      <c r="U170" s="81"/>
      <c r="V170" s="85"/>
      <c r="W170" s="81"/>
      <c r="X170" s="64"/>
      <c r="Y170" s="59">
        <v>1</v>
      </c>
      <c r="Z170" s="59" t="str">
        <f t="shared" si="14"/>
        <v/>
      </c>
    </row>
    <row r="171" spans="1:26" s="55" customFormat="1" ht="30" customHeight="1" x14ac:dyDescent="0.2">
      <c r="A171" s="27">
        <v>220</v>
      </c>
      <c r="B171" s="28" t="str">
        <f t="shared" si="10"/>
        <v>1.4.10c</v>
      </c>
      <c r="C171" s="29">
        <f t="shared" si="11"/>
        <v>6</v>
      </c>
      <c r="D171" s="3"/>
      <c r="E171" s="30"/>
      <c r="F171" s="36"/>
      <c r="G171" s="45"/>
      <c r="H171" s="67" t="str">
        <f>IF(ISERROR(VLOOKUP(Y171,detail_maturity_score,3,FALSE)*VLOOKUP(#REF!,weighting_scores,2,FALSE)),"",VLOOKUP(Y171,detail_maturity_score,3,FALSE)*VLOOKUP(#REF!,weighting_scores,2,FALSE))</f>
        <v/>
      </c>
      <c r="I171" s="133"/>
      <c r="J171" s="29"/>
      <c r="K171" s="29"/>
      <c r="L171" s="29"/>
      <c r="M171" s="29"/>
      <c r="N171" s="29"/>
      <c r="O171" s="29"/>
      <c r="P171" s="29"/>
      <c r="Q171" s="29"/>
      <c r="R171" s="57"/>
      <c r="S171" s="29"/>
      <c r="T171" s="29"/>
      <c r="U171" s="81"/>
      <c r="V171" s="85"/>
      <c r="W171" s="81"/>
      <c r="X171" s="64"/>
      <c r="Y171" s="59">
        <v>1</v>
      </c>
      <c r="Z171" s="59" t="str">
        <f t="shared" si="14"/>
        <v/>
      </c>
    </row>
    <row r="172" spans="1:26" s="55" customFormat="1" ht="30" customHeight="1" x14ac:dyDescent="0.2">
      <c r="A172" s="27">
        <v>221</v>
      </c>
      <c r="B172" s="28" t="str">
        <f t="shared" si="10"/>
        <v>1.4.10d</v>
      </c>
      <c r="C172" s="29">
        <f t="shared" si="11"/>
        <v>6</v>
      </c>
      <c r="D172" s="3"/>
      <c r="E172" s="30"/>
      <c r="F172" s="36"/>
      <c r="G172" s="45"/>
      <c r="H172" s="67" t="str">
        <f>IF(ISERROR(VLOOKUP(Y172,detail_maturity_score,3,FALSE)*VLOOKUP(#REF!,weighting_scores,2,FALSE)),"",VLOOKUP(Y172,detail_maturity_score,3,FALSE)*VLOOKUP(#REF!,weighting_scores,2,FALSE))</f>
        <v/>
      </c>
      <c r="I172" s="133"/>
      <c r="J172" s="29"/>
      <c r="K172" s="29"/>
      <c r="L172" s="29"/>
      <c r="M172" s="29"/>
      <c r="N172" s="29"/>
      <c r="O172" s="29"/>
      <c r="P172" s="29"/>
      <c r="Q172" s="29"/>
      <c r="R172" s="57"/>
      <c r="S172" s="29"/>
      <c r="T172" s="29"/>
      <c r="U172" s="81"/>
      <c r="V172" s="85"/>
      <c r="W172" s="81"/>
      <c r="X172" s="64"/>
      <c r="Y172" s="59">
        <v>1</v>
      </c>
      <c r="Z172" s="59" t="str">
        <f t="shared" si="14"/>
        <v/>
      </c>
    </row>
    <row r="173" spans="1:26" s="55" customFormat="1" ht="30" customHeight="1" x14ac:dyDescent="0.2">
      <c r="A173" s="27">
        <v>222</v>
      </c>
      <c r="B173" s="28" t="str">
        <f t="shared" si="10"/>
        <v>1.4.10e</v>
      </c>
      <c r="C173" s="29">
        <f t="shared" si="11"/>
        <v>6</v>
      </c>
      <c r="D173" s="3"/>
      <c r="E173" s="30"/>
      <c r="F173" s="36"/>
      <c r="G173" s="45"/>
      <c r="H173" s="67" t="str">
        <f>IF(ISERROR(VLOOKUP(Y173,detail_maturity_score,3,FALSE)*VLOOKUP(#REF!,weighting_scores,2,FALSE)),"",VLOOKUP(Y173,detail_maturity_score,3,FALSE)*VLOOKUP(#REF!,weighting_scores,2,FALSE))</f>
        <v/>
      </c>
      <c r="I173" s="133"/>
      <c r="J173" s="29"/>
      <c r="K173" s="29"/>
      <c r="L173" s="29"/>
      <c r="M173" s="29"/>
      <c r="N173" s="29"/>
      <c r="O173" s="29"/>
      <c r="P173" s="29"/>
      <c r="Q173" s="29"/>
      <c r="R173" s="57"/>
      <c r="S173" s="29"/>
      <c r="T173" s="29"/>
      <c r="U173" s="81"/>
      <c r="V173" s="85"/>
      <c r="W173" s="81"/>
      <c r="X173" s="64"/>
      <c r="Y173" s="59">
        <v>1</v>
      </c>
      <c r="Z173" s="59" t="str">
        <f t="shared" si="14"/>
        <v/>
      </c>
    </row>
    <row r="174" spans="1:26" s="55" customFormat="1" ht="30" customHeight="1" x14ac:dyDescent="0.2">
      <c r="A174" s="27">
        <v>223</v>
      </c>
      <c r="B174" s="28" t="str">
        <f t="shared" si="10"/>
        <v>1.4.10f</v>
      </c>
      <c r="C174" s="29">
        <f t="shared" si="11"/>
        <v>6</v>
      </c>
      <c r="D174" s="3"/>
      <c r="E174" s="30"/>
      <c r="F174" s="36"/>
      <c r="G174" s="45"/>
      <c r="H174" s="67" t="str">
        <f>IF(ISERROR(VLOOKUP(Y174,detail_maturity_score,3,FALSE)*VLOOKUP(#REF!,weighting_scores,2,FALSE)),"",VLOOKUP(Y174,detail_maturity_score,3,FALSE)*VLOOKUP(#REF!,weighting_scores,2,FALSE))</f>
        <v/>
      </c>
      <c r="I174" s="133"/>
      <c r="J174" s="29"/>
      <c r="K174" s="29"/>
      <c r="L174" s="29"/>
      <c r="M174" s="29"/>
      <c r="N174" s="29"/>
      <c r="O174" s="29"/>
      <c r="P174" s="29"/>
      <c r="Q174" s="29"/>
      <c r="R174" s="57"/>
      <c r="S174" s="29"/>
      <c r="T174" s="29"/>
      <c r="U174" s="81"/>
      <c r="V174" s="85"/>
      <c r="W174" s="81"/>
      <c r="X174" s="64"/>
      <c r="Y174" s="59">
        <v>1</v>
      </c>
      <c r="Z174" s="59" t="str">
        <f t="shared" si="14"/>
        <v/>
      </c>
    </row>
    <row r="175" spans="1:26" s="55" customFormat="1" ht="30" customHeight="1" x14ac:dyDescent="0.2">
      <c r="A175" s="27">
        <v>224</v>
      </c>
      <c r="B175" s="28" t="str">
        <f t="shared" si="10"/>
        <v>1.4.11</v>
      </c>
      <c r="C175" s="29">
        <f t="shared" si="11"/>
        <v>4</v>
      </c>
      <c r="D175" s="3"/>
      <c r="E175" s="30"/>
      <c r="F175" s="31"/>
      <c r="G175" s="45"/>
      <c r="H175" s="67" t="str">
        <f>IF(ISERROR(VLOOKUP(Y175,detail_maturity_score,3,FALSE)*VLOOKUP(#REF!,weighting_scores,2,FALSE)),"",VLOOKUP(Y175,detail_maturity_score,3,FALSE)*VLOOKUP(#REF!,weighting_scores,2,FALSE))</f>
        <v/>
      </c>
      <c r="I175" s="133"/>
      <c r="J175" s="29"/>
      <c r="K175" s="29"/>
      <c r="L175" s="29"/>
      <c r="M175" s="29"/>
      <c r="N175" s="29"/>
      <c r="O175" s="29"/>
      <c r="P175" s="29"/>
      <c r="Q175" s="29"/>
      <c r="R175" s="57"/>
      <c r="S175" s="29"/>
      <c r="T175" s="29"/>
      <c r="U175" s="81"/>
      <c r="V175" s="85"/>
      <c r="W175" s="81"/>
      <c r="X175" s="64"/>
      <c r="Y175" s="59"/>
      <c r="Z175" s="59"/>
    </row>
    <row r="176" spans="1:26" s="55" customFormat="1" ht="30" customHeight="1" x14ac:dyDescent="0.2">
      <c r="A176" s="27">
        <v>225</v>
      </c>
      <c r="B176" s="28" t="str">
        <f t="shared" si="10"/>
        <v>1.4.11a</v>
      </c>
      <c r="C176" s="29">
        <f t="shared" si="11"/>
        <v>6</v>
      </c>
      <c r="D176" s="3"/>
      <c r="E176" s="30"/>
      <c r="F176" s="36"/>
      <c r="G176" s="45"/>
      <c r="H176" s="67" t="str">
        <f>IF(ISERROR(VLOOKUP(Y176,detail_maturity_score,3,FALSE)*VLOOKUP(#REF!,weighting_scores,2,FALSE)),"",VLOOKUP(Y176,detail_maturity_score,3,FALSE)*VLOOKUP(#REF!,weighting_scores,2,FALSE))</f>
        <v/>
      </c>
      <c r="I176" s="133"/>
      <c r="J176" s="29"/>
      <c r="K176" s="29"/>
      <c r="L176" s="29"/>
      <c r="M176" s="29"/>
      <c r="N176" s="29"/>
      <c r="O176" s="29"/>
      <c r="P176" s="29"/>
      <c r="Q176" s="29"/>
      <c r="R176" s="57"/>
      <c r="S176" s="29"/>
      <c r="T176" s="29"/>
      <c r="U176" s="81"/>
      <c r="V176" s="85"/>
      <c r="W176" s="81"/>
      <c r="X176" s="64"/>
      <c r="Y176" s="59">
        <v>1</v>
      </c>
      <c r="Z176" s="59" t="str">
        <f>VLOOKUP(Y176,detail_maturity_score,3,FALSE)</f>
        <v/>
      </c>
    </row>
    <row r="177" spans="1:26" s="55" customFormat="1" ht="16" x14ac:dyDescent="0.2">
      <c r="A177" s="27">
        <v>226</v>
      </c>
      <c r="B177" s="28" t="str">
        <f t="shared" si="10"/>
        <v>1.4.11b</v>
      </c>
      <c r="C177" s="29">
        <f t="shared" si="11"/>
        <v>6</v>
      </c>
      <c r="D177" s="3"/>
      <c r="E177" s="38"/>
      <c r="F177" s="39"/>
      <c r="G177" s="118"/>
      <c r="H177" s="68" t="str">
        <f>IF(ISERROR(VLOOKUP(Y177,detail_maturity_score,3,FALSE)*VLOOKUP(#REF!,weighting_scores,2,FALSE)),"",VLOOKUP(Y177,detail_maturity_score,3,FALSE)*VLOOKUP(#REF!,weighting_scores,2,FALSE))</f>
        <v/>
      </c>
      <c r="I177" s="134"/>
      <c r="J177" s="37"/>
      <c r="K177" s="37"/>
      <c r="L177" s="37"/>
      <c r="M177" s="37"/>
      <c r="N177" s="37"/>
      <c r="O177" s="37"/>
      <c r="P177" s="37"/>
      <c r="Q177" s="37"/>
      <c r="R177" s="77"/>
      <c r="S177" s="37"/>
      <c r="T177" s="37"/>
      <c r="U177" s="82"/>
      <c r="V177" s="86"/>
      <c r="W177" s="82"/>
      <c r="X177" s="127"/>
      <c r="Y177" s="58">
        <v>1</v>
      </c>
      <c r="Z177" s="58" t="str">
        <f>VLOOKUP(Y177,detail_maturity_score,3,FALSE)</f>
        <v/>
      </c>
    </row>
    <row r="178" spans="1:26" s="54" customFormat="1" ht="30" customHeight="1" x14ac:dyDescent="0.2">
      <c r="A178" s="27">
        <v>227</v>
      </c>
      <c r="B178" s="28" t="str">
        <f t="shared" si="10"/>
        <v>1.5</v>
      </c>
      <c r="C178" s="29">
        <f t="shared" si="11"/>
        <v>2</v>
      </c>
      <c r="D178" s="3"/>
      <c r="E178" s="26"/>
      <c r="F178" s="13"/>
      <c r="G178" s="6"/>
      <c r="H178" s="14" t="str">
        <f>IF(ISERROR(VLOOKUP(Y178,detail_maturity_score,3,FALSE)*VLOOKUP(#REF!,weighting_scores,2,FALSE)),"",VLOOKUP(Y178,detail_maturity_score,3,FALSE)*VLOOKUP(#REF!,weighting_scores,2,FALSE))</f>
        <v/>
      </c>
      <c r="I178" s="14"/>
      <c r="J178" s="14"/>
      <c r="K178" s="6"/>
      <c r="L178" s="6"/>
      <c r="M178" s="6"/>
      <c r="N178" s="6"/>
      <c r="O178" s="6"/>
      <c r="P178" s="6"/>
      <c r="Q178" s="6"/>
      <c r="R178" s="6"/>
      <c r="S178" s="6"/>
      <c r="T178" s="6"/>
      <c r="U178" s="79"/>
      <c r="V178" s="79"/>
      <c r="W178" s="83"/>
      <c r="X178" s="62"/>
      <c r="Y178" s="58"/>
      <c r="Z178" s="58"/>
    </row>
    <row r="179" spans="1:26" s="55" customFormat="1" ht="16" x14ac:dyDescent="0.2">
      <c r="A179" s="27">
        <v>228</v>
      </c>
      <c r="B179" s="28" t="str">
        <f t="shared" si="10"/>
        <v>1.5.01</v>
      </c>
      <c r="C179" s="29">
        <f t="shared" si="11"/>
        <v>5</v>
      </c>
      <c r="D179" s="3"/>
      <c r="E179" s="44"/>
      <c r="F179" s="45"/>
      <c r="G179" s="45"/>
      <c r="H179" s="69" t="str">
        <f>IF(ISERROR(VLOOKUP(Y179,detail_maturity_score,3,FALSE)*VLOOKUP(#REF!,weighting_scores,2,FALSE)),"",VLOOKUP(Y179,detail_maturity_score,3,FALSE)*VLOOKUP(#REF!,weighting_scores,2,FALSE))</f>
        <v/>
      </c>
      <c r="I179" s="132"/>
      <c r="J179" s="43"/>
      <c r="K179" s="43"/>
      <c r="L179" s="43"/>
      <c r="M179" s="43"/>
      <c r="N179" s="43"/>
      <c r="O179" s="43"/>
      <c r="P179" s="43"/>
      <c r="Q179" s="43"/>
      <c r="R179" s="78"/>
      <c r="S179" s="43"/>
      <c r="T179" s="43"/>
      <c r="U179" s="80"/>
      <c r="V179" s="84"/>
      <c r="W179" s="80"/>
      <c r="X179" s="63"/>
      <c r="Y179" s="59">
        <v>1</v>
      </c>
      <c r="Z179" s="59" t="str">
        <f>VLOOKUP(Y179,detail_maturity_score,3,FALSE)</f>
        <v/>
      </c>
    </row>
    <row r="180" spans="1:26" s="55" customFormat="1" x14ac:dyDescent="0.2">
      <c r="A180" s="27">
        <v>229</v>
      </c>
      <c r="B180" s="28" t="str">
        <f t="shared" si="10"/>
        <v>1.5.02</v>
      </c>
      <c r="C180" s="29">
        <f t="shared" si="11"/>
        <v>4</v>
      </c>
      <c r="D180" s="3"/>
      <c r="E180" s="30"/>
      <c r="F180" s="31"/>
      <c r="G180" s="45"/>
      <c r="H180" s="67" t="str">
        <f>IF(ISERROR(VLOOKUP(Y180,detail_maturity_score,3,FALSE)*VLOOKUP(#REF!,weighting_scores,2,FALSE)),"",VLOOKUP(Y180,detail_maturity_score,3,FALSE)*VLOOKUP(#REF!,weighting_scores,2,FALSE))</f>
        <v/>
      </c>
      <c r="I180" s="133"/>
      <c r="J180" s="29"/>
      <c r="K180" s="29"/>
      <c r="L180" s="29"/>
      <c r="M180" s="29"/>
      <c r="N180" s="29"/>
      <c r="O180" s="29"/>
      <c r="P180" s="29"/>
      <c r="Q180" s="29"/>
      <c r="R180" s="57"/>
      <c r="S180" s="29"/>
      <c r="T180" s="29"/>
      <c r="U180" s="81"/>
      <c r="V180" s="85"/>
      <c r="W180" s="81"/>
      <c r="X180" s="64"/>
      <c r="Y180" s="59"/>
      <c r="Z180" s="59"/>
    </row>
    <row r="181" spans="1:26" s="55" customFormat="1" ht="16" x14ac:dyDescent="0.2">
      <c r="A181" s="27">
        <v>230</v>
      </c>
      <c r="B181" s="28" t="str">
        <f t="shared" si="10"/>
        <v>1.5.02a</v>
      </c>
      <c r="C181" s="29">
        <f t="shared" si="11"/>
        <v>6</v>
      </c>
      <c r="D181" s="3"/>
      <c r="E181" s="30"/>
      <c r="F181" s="36"/>
      <c r="G181" s="45"/>
      <c r="H181" s="67" t="str">
        <f>IF(ISERROR(VLOOKUP(Y181,detail_maturity_score,3,FALSE)*VLOOKUP(#REF!,weighting_scores,2,FALSE)),"",VLOOKUP(Y181,detail_maturity_score,3,FALSE)*VLOOKUP(#REF!,weighting_scores,2,FALSE))</f>
        <v/>
      </c>
      <c r="I181" s="133"/>
      <c r="J181" s="29"/>
      <c r="K181" s="29"/>
      <c r="L181" s="29"/>
      <c r="M181" s="29"/>
      <c r="N181" s="29"/>
      <c r="O181" s="29"/>
      <c r="P181" s="29"/>
      <c r="Q181" s="29"/>
      <c r="R181" s="57"/>
      <c r="S181" s="29"/>
      <c r="T181" s="29"/>
      <c r="U181" s="81"/>
      <c r="V181" s="85"/>
      <c r="W181" s="81"/>
      <c r="X181" s="64"/>
      <c r="Y181" s="59">
        <v>1</v>
      </c>
      <c r="Z181" s="59" t="str">
        <f t="shared" ref="Z181:Z186" si="15">VLOOKUP(Y181,detail_maturity_score,3,FALSE)</f>
        <v/>
      </c>
    </row>
    <row r="182" spans="1:26" s="55" customFormat="1" ht="16" x14ac:dyDescent="0.2">
      <c r="A182" s="27">
        <v>231</v>
      </c>
      <c r="B182" s="28" t="str">
        <f t="shared" si="10"/>
        <v>1.5.02b</v>
      </c>
      <c r="C182" s="29">
        <f t="shared" si="11"/>
        <v>6</v>
      </c>
      <c r="D182" s="3"/>
      <c r="E182" s="30"/>
      <c r="F182" s="36"/>
      <c r="G182" s="45"/>
      <c r="H182" s="67" t="str">
        <f>IF(ISERROR(VLOOKUP(Y182,detail_maturity_score,3,FALSE)*VLOOKUP(#REF!,weighting_scores,2,FALSE)),"",VLOOKUP(Y182,detail_maturity_score,3,FALSE)*VLOOKUP(#REF!,weighting_scores,2,FALSE))</f>
        <v/>
      </c>
      <c r="I182" s="133"/>
      <c r="J182" s="29"/>
      <c r="K182" s="29"/>
      <c r="L182" s="29"/>
      <c r="M182" s="29"/>
      <c r="N182" s="29"/>
      <c r="O182" s="29"/>
      <c r="P182" s="29"/>
      <c r="Q182" s="29"/>
      <c r="R182" s="57"/>
      <c r="S182" s="29"/>
      <c r="T182" s="29"/>
      <c r="U182" s="81"/>
      <c r="V182" s="85"/>
      <c r="W182" s="81"/>
      <c r="X182" s="64"/>
      <c r="Y182" s="59">
        <v>1</v>
      </c>
      <c r="Z182" s="59" t="str">
        <f t="shared" si="15"/>
        <v/>
      </c>
    </row>
    <row r="183" spans="1:26" s="55" customFormat="1" ht="16" x14ac:dyDescent="0.2">
      <c r="A183" s="27">
        <v>232</v>
      </c>
      <c r="B183" s="28" t="str">
        <f t="shared" si="10"/>
        <v>1.5.02c</v>
      </c>
      <c r="C183" s="29">
        <f t="shared" si="11"/>
        <v>6</v>
      </c>
      <c r="D183" s="3"/>
      <c r="E183" s="30"/>
      <c r="F183" s="36"/>
      <c r="G183" s="45"/>
      <c r="H183" s="67" t="str">
        <f>IF(ISERROR(VLOOKUP(Y183,detail_maturity_score,3,FALSE)*VLOOKUP(#REF!,weighting_scores,2,FALSE)),"",VLOOKUP(Y183,detail_maturity_score,3,FALSE)*VLOOKUP(#REF!,weighting_scores,2,FALSE))</f>
        <v/>
      </c>
      <c r="I183" s="133"/>
      <c r="J183" s="29"/>
      <c r="K183" s="29"/>
      <c r="L183" s="29"/>
      <c r="M183" s="29"/>
      <c r="N183" s="29"/>
      <c r="O183" s="29"/>
      <c r="P183" s="29"/>
      <c r="Q183" s="29"/>
      <c r="R183" s="57"/>
      <c r="S183" s="29"/>
      <c r="T183" s="29"/>
      <c r="U183" s="81"/>
      <c r="V183" s="85"/>
      <c r="W183" s="81"/>
      <c r="X183" s="64"/>
      <c r="Y183" s="59">
        <v>1</v>
      </c>
      <c r="Z183" s="59" t="str">
        <f t="shared" si="15"/>
        <v/>
      </c>
    </row>
    <row r="184" spans="1:26" s="55" customFormat="1" ht="16" x14ac:dyDescent="0.2">
      <c r="A184" s="27">
        <v>233</v>
      </c>
      <c r="B184" s="28" t="str">
        <f t="shared" si="10"/>
        <v>1.5.02d</v>
      </c>
      <c r="C184" s="29">
        <f t="shared" si="11"/>
        <v>6</v>
      </c>
      <c r="D184" s="3"/>
      <c r="E184" s="30"/>
      <c r="F184" s="36"/>
      <c r="G184" s="45"/>
      <c r="H184" s="67" t="str">
        <f>IF(ISERROR(VLOOKUP(Y184,detail_maturity_score,3,FALSE)*VLOOKUP(#REF!,weighting_scores,2,FALSE)),"",VLOOKUP(Y184,detail_maturity_score,3,FALSE)*VLOOKUP(#REF!,weighting_scores,2,FALSE))</f>
        <v/>
      </c>
      <c r="I184" s="133"/>
      <c r="J184" s="29"/>
      <c r="K184" s="29"/>
      <c r="L184" s="29"/>
      <c r="M184" s="29"/>
      <c r="N184" s="29"/>
      <c r="O184" s="29"/>
      <c r="P184" s="29"/>
      <c r="Q184" s="29"/>
      <c r="R184" s="57"/>
      <c r="S184" s="29"/>
      <c r="T184" s="29"/>
      <c r="U184" s="81"/>
      <c r="V184" s="85"/>
      <c r="W184" s="81"/>
      <c r="X184" s="64"/>
      <c r="Y184" s="59">
        <v>1</v>
      </c>
      <c r="Z184" s="59" t="str">
        <f t="shared" si="15"/>
        <v/>
      </c>
    </row>
    <row r="185" spans="1:26" s="55" customFormat="1" ht="16" x14ac:dyDescent="0.2">
      <c r="A185" s="27">
        <v>234</v>
      </c>
      <c r="B185" s="28" t="str">
        <f t="shared" si="10"/>
        <v>1.5.02e</v>
      </c>
      <c r="C185" s="29">
        <f t="shared" si="11"/>
        <v>6</v>
      </c>
      <c r="D185" s="3"/>
      <c r="E185" s="30"/>
      <c r="F185" s="36"/>
      <c r="G185" s="45"/>
      <c r="H185" s="67" t="str">
        <f>IF(ISERROR(VLOOKUP(Y185,detail_maturity_score,3,FALSE)*VLOOKUP(#REF!,weighting_scores,2,FALSE)),"",VLOOKUP(Y185,detail_maturity_score,3,FALSE)*VLOOKUP(#REF!,weighting_scores,2,FALSE))</f>
        <v/>
      </c>
      <c r="I185" s="133"/>
      <c r="J185" s="29"/>
      <c r="K185" s="29"/>
      <c r="L185" s="29"/>
      <c r="M185" s="29"/>
      <c r="N185" s="29"/>
      <c r="O185" s="29"/>
      <c r="P185" s="29"/>
      <c r="Q185" s="29"/>
      <c r="R185" s="57"/>
      <c r="S185" s="29"/>
      <c r="T185" s="29"/>
      <c r="U185" s="81"/>
      <c r="V185" s="85"/>
      <c r="W185" s="81"/>
      <c r="X185" s="64"/>
      <c r="Y185" s="59">
        <v>1</v>
      </c>
      <c r="Z185" s="59" t="str">
        <f t="shared" si="15"/>
        <v/>
      </c>
    </row>
    <row r="186" spans="1:26" s="55" customFormat="1" ht="16" x14ac:dyDescent="0.2">
      <c r="A186" s="27">
        <v>235</v>
      </c>
      <c r="B186" s="28" t="str">
        <f t="shared" si="10"/>
        <v>1.5.03</v>
      </c>
      <c r="C186" s="29">
        <f t="shared" si="11"/>
        <v>5</v>
      </c>
      <c r="D186" s="3"/>
      <c r="E186" s="30"/>
      <c r="F186" s="31"/>
      <c r="G186" s="45"/>
      <c r="H186" s="67" t="str">
        <f>IF(ISERROR(VLOOKUP(Y186,detail_maturity_score,3,FALSE)*VLOOKUP(#REF!,weighting_scores,2,FALSE)),"",VLOOKUP(Y186,detail_maturity_score,3,FALSE)*VLOOKUP(#REF!,weighting_scores,2,FALSE))</f>
        <v/>
      </c>
      <c r="I186" s="133"/>
      <c r="J186" s="29"/>
      <c r="K186" s="29"/>
      <c r="L186" s="29"/>
      <c r="M186" s="29"/>
      <c r="N186" s="29"/>
      <c r="O186" s="29"/>
      <c r="P186" s="29"/>
      <c r="Q186" s="29"/>
      <c r="R186" s="57"/>
      <c r="S186" s="29"/>
      <c r="T186" s="29"/>
      <c r="U186" s="81"/>
      <c r="V186" s="85"/>
      <c r="W186" s="81"/>
      <c r="X186" s="92"/>
      <c r="Y186" s="59">
        <v>1</v>
      </c>
      <c r="Z186" s="59" t="str">
        <f t="shared" si="15"/>
        <v/>
      </c>
    </row>
    <row r="187" spans="1:26" s="55" customFormat="1" ht="30" customHeight="1" x14ac:dyDescent="0.2">
      <c r="A187" s="27">
        <v>236</v>
      </c>
      <c r="B187" s="28" t="str">
        <f t="shared" si="10"/>
        <v>1.5.04</v>
      </c>
      <c r="C187" s="29">
        <f t="shared" si="11"/>
        <v>4</v>
      </c>
      <c r="D187" s="3"/>
      <c r="E187" s="30"/>
      <c r="F187" s="31"/>
      <c r="G187" s="45"/>
      <c r="H187" s="67" t="str">
        <f>IF(ISERROR(VLOOKUP(Y187,detail_maturity_score,3,FALSE)*VLOOKUP(#REF!,weighting_scores,2,FALSE)),"",VLOOKUP(Y187,detail_maturity_score,3,FALSE)*VLOOKUP(#REF!,weighting_scores,2,FALSE))</f>
        <v/>
      </c>
      <c r="I187" s="133"/>
      <c r="J187" s="29"/>
      <c r="K187" s="29"/>
      <c r="L187" s="29"/>
      <c r="M187" s="29"/>
      <c r="N187" s="29"/>
      <c r="O187" s="29"/>
      <c r="P187" s="29"/>
      <c r="Q187" s="29"/>
      <c r="R187" s="57"/>
      <c r="S187" s="29"/>
      <c r="T187" s="29"/>
      <c r="U187" s="81"/>
      <c r="V187" s="85"/>
      <c r="W187" s="81"/>
      <c r="X187" s="64"/>
      <c r="Y187" s="59"/>
      <c r="Z187" s="59"/>
    </row>
    <row r="188" spans="1:26" s="55" customFormat="1" ht="16" x14ac:dyDescent="0.2">
      <c r="A188" s="27">
        <v>237</v>
      </c>
      <c r="B188" s="28" t="str">
        <f t="shared" si="10"/>
        <v>1.5.04a</v>
      </c>
      <c r="C188" s="29">
        <f t="shared" si="11"/>
        <v>6</v>
      </c>
      <c r="D188" s="3"/>
      <c r="E188" s="30"/>
      <c r="F188" s="36"/>
      <c r="G188" s="45"/>
      <c r="H188" s="67" t="str">
        <f>IF(ISERROR(VLOOKUP(Y188,detail_maturity_score,3,FALSE)*VLOOKUP(#REF!,weighting_scores,2,FALSE)),"",VLOOKUP(Y188,detail_maturity_score,3,FALSE)*VLOOKUP(#REF!,weighting_scores,2,FALSE))</f>
        <v/>
      </c>
      <c r="I188" s="133"/>
      <c r="J188" s="29"/>
      <c r="K188" s="29"/>
      <c r="L188" s="29"/>
      <c r="M188" s="29"/>
      <c r="N188" s="29"/>
      <c r="O188" s="29"/>
      <c r="P188" s="29"/>
      <c r="Q188" s="29"/>
      <c r="R188" s="57"/>
      <c r="S188" s="29"/>
      <c r="T188" s="29"/>
      <c r="U188" s="81"/>
      <c r="V188" s="85"/>
      <c r="W188" s="81"/>
      <c r="X188" s="64"/>
      <c r="Y188" s="59">
        <v>1</v>
      </c>
      <c r="Z188" s="59" t="str">
        <f t="shared" ref="Z188:Z193" si="16">VLOOKUP(Y188,detail_maturity_score,3,FALSE)</f>
        <v/>
      </c>
    </row>
    <row r="189" spans="1:26" s="55" customFormat="1" ht="16" x14ac:dyDescent="0.2">
      <c r="A189" s="27">
        <v>238</v>
      </c>
      <c r="B189" s="28" t="str">
        <f t="shared" si="10"/>
        <v>1.5.04b</v>
      </c>
      <c r="C189" s="29">
        <f t="shared" si="11"/>
        <v>6</v>
      </c>
      <c r="D189" s="3"/>
      <c r="E189" s="30"/>
      <c r="F189" s="36"/>
      <c r="G189" s="45"/>
      <c r="H189" s="67" t="str">
        <f>IF(ISERROR(VLOOKUP(Y189,detail_maturity_score,3,FALSE)*VLOOKUP(#REF!,weighting_scores,2,FALSE)),"",VLOOKUP(Y189,detail_maturity_score,3,FALSE)*VLOOKUP(#REF!,weighting_scores,2,FALSE))</f>
        <v/>
      </c>
      <c r="I189" s="133"/>
      <c r="J189" s="29"/>
      <c r="K189" s="29"/>
      <c r="L189" s="29"/>
      <c r="M189" s="29"/>
      <c r="N189" s="29"/>
      <c r="O189" s="29"/>
      <c r="P189" s="29"/>
      <c r="Q189" s="29"/>
      <c r="R189" s="57"/>
      <c r="S189" s="29"/>
      <c r="T189" s="29"/>
      <c r="U189" s="81"/>
      <c r="V189" s="85"/>
      <c r="W189" s="81"/>
      <c r="X189" s="64"/>
      <c r="Y189" s="59">
        <v>1</v>
      </c>
      <c r="Z189" s="59" t="str">
        <f t="shared" si="16"/>
        <v/>
      </c>
    </row>
    <row r="190" spans="1:26" s="55" customFormat="1" ht="16" x14ac:dyDescent="0.2">
      <c r="A190" s="27">
        <v>239</v>
      </c>
      <c r="B190" s="28" t="str">
        <f t="shared" si="10"/>
        <v>1.5.04c</v>
      </c>
      <c r="C190" s="29">
        <f t="shared" si="11"/>
        <v>6</v>
      </c>
      <c r="D190" s="3"/>
      <c r="E190" s="30"/>
      <c r="F190" s="36"/>
      <c r="G190" s="45"/>
      <c r="H190" s="67" t="str">
        <f>IF(ISERROR(VLOOKUP(Y190,detail_maturity_score,3,FALSE)*VLOOKUP(#REF!,weighting_scores,2,FALSE)),"",VLOOKUP(Y190,detail_maturity_score,3,FALSE)*VLOOKUP(#REF!,weighting_scores,2,FALSE))</f>
        <v/>
      </c>
      <c r="I190" s="133"/>
      <c r="J190" s="29"/>
      <c r="K190" s="29"/>
      <c r="L190" s="29"/>
      <c r="M190" s="29"/>
      <c r="N190" s="29"/>
      <c r="O190" s="29"/>
      <c r="P190" s="29"/>
      <c r="Q190" s="29"/>
      <c r="R190" s="57"/>
      <c r="S190" s="29"/>
      <c r="T190" s="29"/>
      <c r="U190" s="81"/>
      <c r="V190" s="85"/>
      <c r="W190" s="81"/>
      <c r="X190" s="64"/>
      <c r="Y190" s="59">
        <v>1</v>
      </c>
      <c r="Z190" s="59" t="str">
        <f t="shared" si="16"/>
        <v/>
      </c>
    </row>
    <row r="191" spans="1:26" s="55" customFormat="1" ht="30" customHeight="1" x14ac:dyDescent="0.2">
      <c r="A191" s="27">
        <v>240</v>
      </c>
      <c r="B191" s="28" t="str">
        <f t="shared" si="10"/>
        <v>1.5.04d</v>
      </c>
      <c r="C191" s="29">
        <f t="shared" si="11"/>
        <v>6</v>
      </c>
      <c r="D191" s="3"/>
      <c r="E191" s="30"/>
      <c r="F191" s="36"/>
      <c r="G191" s="45"/>
      <c r="H191" s="67" t="str">
        <f>IF(ISERROR(VLOOKUP(Y191,detail_maturity_score,3,FALSE)*VLOOKUP(#REF!,weighting_scores,2,FALSE)),"",VLOOKUP(Y191,detail_maturity_score,3,FALSE)*VLOOKUP(#REF!,weighting_scores,2,FALSE))</f>
        <v/>
      </c>
      <c r="I191" s="133"/>
      <c r="J191" s="29"/>
      <c r="K191" s="29"/>
      <c r="L191" s="29"/>
      <c r="M191" s="29"/>
      <c r="N191" s="29"/>
      <c r="O191" s="29"/>
      <c r="P191" s="29"/>
      <c r="Q191" s="29"/>
      <c r="R191" s="57"/>
      <c r="S191" s="29"/>
      <c r="T191" s="29"/>
      <c r="U191" s="81"/>
      <c r="V191" s="85"/>
      <c r="W191" s="81"/>
      <c r="X191" s="64"/>
      <c r="Y191" s="59">
        <v>1</v>
      </c>
      <c r="Z191" s="59" t="str">
        <f t="shared" si="16"/>
        <v/>
      </c>
    </row>
    <row r="192" spans="1:26" s="55" customFormat="1" ht="16" x14ac:dyDescent="0.2">
      <c r="A192" s="27">
        <v>241</v>
      </c>
      <c r="B192" s="28" t="str">
        <f t="shared" si="10"/>
        <v>1.5.04e</v>
      </c>
      <c r="C192" s="29">
        <f t="shared" si="11"/>
        <v>6</v>
      </c>
      <c r="D192" s="3"/>
      <c r="E192" s="30"/>
      <c r="F192" s="36"/>
      <c r="G192" s="45"/>
      <c r="H192" s="67" t="str">
        <f>IF(ISERROR(VLOOKUP(Y192,detail_maturity_score,3,FALSE)*VLOOKUP(#REF!,weighting_scores,2,FALSE)),"",VLOOKUP(Y192,detail_maturity_score,3,FALSE)*VLOOKUP(#REF!,weighting_scores,2,FALSE))</f>
        <v/>
      </c>
      <c r="I192" s="133"/>
      <c r="J192" s="29"/>
      <c r="K192" s="29"/>
      <c r="L192" s="29"/>
      <c r="M192" s="29"/>
      <c r="N192" s="29"/>
      <c r="O192" s="29"/>
      <c r="P192" s="29"/>
      <c r="Q192" s="29"/>
      <c r="R192" s="57"/>
      <c r="S192" s="29"/>
      <c r="T192" s="29"/>
      <c r="U192" s="81"/>
      <c r="V192" s="85"/>
      <c r="W192" s="81"/>
      <c r="X192" s="64"/>
      <c r="Y192" s="59">
        <v>1</v>
      </c>
      <c r="Z192" s="59" t="str">
        <f t="shared" si="16"/>
        <v/>
      </c>
    </row>
    <row r="193" spans="1:26" s="55" customFormat="1" ht="16" x14ac:dyDescent="0.2">
      <c r="A193" s="27">
        <v>242</v>
      </c>
      <c r="B193" s="28" t="str">
        <f t="shared" si="10"/>
        <v>1.5.05</v>
      </c>
      <c r="C193" s="29">
        <f t="shared" si="11"/>
        <v>5</v>
      </c>
      <c r="D193" s="3"/>
      <c r="E193" s="30"/>
      <c r="F193" s="31"/>
      <c r="G193" s="45"/>
      <c r="H193" s="67" t="str">
        <f>IF(ISERROR(VLOOKUP(Y193,detail_maturity_score,3,FALSE)*VLOOKUP(#REF!,weighting_scores,2,FALSE)),"",VLOOKUP(Y193,detail_maturity_score,3,FALSE)*VLOOKUP(#REF!,weighting_scores,2,FALSE))</f>
        <v/>
      </c>
      <c r="I193" s="133"/>
      <c r="J193" s="29"/>
      <c r="K193" s="29"/>
      <c r="L193" s="29"/>
      <c r="M193" s="29"/>
      <c r="N193" s="29"/>
      <c r="O193" s="29"/>
      <c r="P193" s="29"/>
      <c r="Q193" s="29"/>
      <c r="R193" s="57"/>
      <c r="S193" s="29"/>
      <c r="T193" s="29"/>
      <c r="U193" s="81"/>
      <c r="V193" s="85"/>
      <c r="W193" s="81"/>
      <c r="X193" s="92"/>
      <c r="Y193" s="59">
        <v>1</v>
      </c>
      <c r="Z193" s="59" t="str">
        <f t="shared" si="16"/>
        <v/>
      </c>
    </row>
    <row r="194" spans="1:26" s="55" customFormat="1" ht="30" customHeight="1" x14ac:dyDescent="0.2">
      <c r="A194" s="27">
        <v>243</v>
      </c>
      <c r="B194" s="28" t="str">
        <f t="shared" si="10"/>
        <v>1.5.06</v>
      </c>
      <c r="C194" s="29">
        <f t="shared" si="11"/>
        <v>4</v>
      </c>
      <c r="D194" s="3"/>
      <c r="E194" s="30"/>
      <c r="F194" s="31"/>
      <c r="G194" s="45"/>
      <c r="H194" s="67" t="str">
        <f>IF(ISERROR(VLOOKUP(Y194,detail_maturity_score,3,FALSE)*VLOOKUP(#REF!,weighting_scores,2,FALSE)),"",VLOOKUP(Y194,detail_maturity_score,3,FALSE)*VLOOKUP(#REF!,weighting_scores,2,FALSE))</f>
        <v/>
      </c>
      <c r="I194" s="133"/>
      <c r="J194" s="29"/>
      <c r="K194" s="29"/>
      <c r="L194" s="29"/>
      <c r="M194" s="29"/>
      <c r="N194" s="29"/>
      <c r="O194" s="29"/>
      <c r="P194" s="29"/>
      <c r="Q194" s="29"/>
      <c r="R194" s="57"/>
      <c r="S194" s="29"/>
      <c r="T194" s="29"/>
      <c r="U194" s="81"/>
      <c r="V194" s="85"/>
      <c r="W194" s="81"/>
      <c r="X194" s="64"/>
      <c r="Y194" s="59"/>
      <c r="Z194" s="59"/>
    </row>
    <row r="195" spans="1:26" s="55" customFormat="1" ht="16" x14ac:dyDescent="0.2">
      <c r="A195" s="27">
        <v>244</v>
      </c>
      <c r="B195" s="28" t="str">
        <f t="shared" si="10"/>
        <v>1.5.06a</v>
      </c>
      <c r="C195" s="29">
        <f t="shared" si="11"/>
        <v>6</v>
      </c>
      <c r="D195" s="3"/>
      <c r="E195" s="30"/>
      <c r="F195" s="36"/>
      <c r="G195" s="45"/>
      <c r="H195" s="67" t="str">
        <f>IF(ISERROR(VLOOKUP(Y195,detail_maturity_score,3,FALSE)*VLOOKUP(#REF!,weighting_scores,2,FALSE)),"",VLOOKUP(Y195,detail_maturity_score,3,FALSE)*VLOOKUP(#REF!,weighting_scores,2,FALSE))</f>
        <v/>
      </c>
      <c r="I195" s="133"/>
      <c r="J195" s="29"/>
      <c r="K195" s="29"/>
      <c r="L195" s="29"/>
      <c r="M195" s="29"/>
      <c r="N195" s="29"/>
      <c r="O195" s="29"/>
      <c r="P195" s="29"/>
      <c r="Q195" s="29"/>
      <c r="R195" s="57"/>
      <c r="S195" s="29"/>
      <c r="T195" s="29"/>
      <c r="U195" s="81"/>
      <c r="V195" s="85"/>
      <c r="W195" s="81"/>
      <c r="X195" s="64"/>
      <c r="Y195" s="59">
        <v>1</v>
      </c>
      <c r="Z195" s="59" t="str">
        <f>VLOOKUP(Y195,detail_maturity_score,3,FALSE)</f>
        <v/>
      </c>
    </row>
    <row r="196" spans="1:26" s="55" customFormat="1" ht="16" x14ac:dyDescent="0.2">
      <c r="A196" s="27">
        <v>245</v>
      </c>
      <c r="B196" s="28" t="str">
        <f t="shared" si="10"/>
        <v>1.5.06b</v>
      </c>
      <c r="C196" s="29">
        <f t="shared" si="11"/>
        <v>6</v>
      </c>
      <c r="D196" s="3"/>
      <c r="E196" s="30"/>
      <c r="F196" s="36"/>
      <c r="G196" s="45"/>
      <c r="H196" s="67" t="str">
        <f>IF(ISERROR(VLOOKUP(Y196,detail_maturity_score,3,FALSE)*VLOOKUP(#REF!,weighting_scores,2,FALSE)),"",VLOOKUP(Y196,detail_maturity_score,3,FALSE)*VLOOKUP(#REF!,weighting_scores,2,FALSE))</f>
        <v/>
      </c>
      <c r="I196" s="133"/>
      <c r="J196" s="29"/>
      <c r="K196" s="29"/>
      <c r="L196" s="29"/>
      <c r="M196" s="29"/>
      <c r="N196" s="29"/>
      <c r="O196" s="29"/>
      <c r="P196" s="29"/>
      <c r="Q196" s="29"/>
      <c r="R196" s="57"/>
      <c r="S196" s="29"/>
      <c r="T196" s="29"/>
      <c r="U196" s="81"/>
      <c r="V196" s="85"/>
      <c r="W196" s="81"/>
      <c r="X196" s="64"/>
      <c r="Y196" s="59">
        <v>1</v>
      </c>
      <c r="Z196" s="59" t="str">
        <f>VLOOKUP(Y196,detail_maturity_score,3,FALSE)</f>
        <v/>
      </c>
    </row>
    <row r="197" spans="1:26" s="55" customFormat="1" ht="16" x14ac:dyDescent="0.2">
      <c r="A197" s="27">
        <v>246</v>
      </c>
      <c r="B197" s="28" t="str">
        <f t="shared" si="10"/>
        <v>1.5.06c</v>
      </c>
      <c r="C197" s="29">
        <f t="shared" si="11"/>
        <v>6</v>
      </c>
      <c r="D197" s="3"/>
      <c r="E197" s="30"/>
      <c r="F197" s="36"/>
      <c r="G197" s="45"/>
      <c r="H197" s="67" t="str">
        <f>IF(ISERROR(VLOOKUP(Y197,detail_maturity_score,3,FALSE)*VLOOKUP(#REF!,weighting_scores,2,FALSE)),"",VLOOKUP(Y197,detail_maturity_score,3,FALSE)*VLOOKUP(#REF!,weighting_scores,2,FALSE))</f>
        <v/>
      </c>
      <c r="I197" s="133"/>
      <c r="J197" s="29"/>
      <c r="K197" s="29"/>
      <c r="L197" s="29"/>
      <c r="M197" s="29"/>
      <c r="N197" s="29"/>
      <c r="O197" s="29"/>
      <c r="P197" s="29"/>
      <c r="Q197" s="29"/>
      <c r="R197" s="57"/>
      <c r="S197" s="29"/>
      <c r="T197" s="29"/>
      <c r="U197" s="81"/>
      <c r="V197" s="85"/>
      <c r="W197" s="81"/>
      <c r="X197" s="64"/>
      <c r="Y197" s="59">
        <v>1</v>
      </c>
      <c r="Z197" s="59" t="str">
        <f>VLOOKUP(Y197,detail_maturity_score,3,FALSE)</f>
        <v/>
      </c>
    </row>
    <row r="198" spans="1:26" s="55" customFormat="1" ht="16" x14ac:dyDescent="0.2">
      <c r="A198" s="27">
        <v>247</v>
      </c>
      <c r="B198" s="28" t="str">
        <f t="shared" si="10"/>
        <v>1.5.07</v>
      </c>
      <c r="C198" s="29">
        <f t="shared" si="11"/>
        <v>5</v>
      </c>
      <c r="D198" s="3"/>
      <c r="E198" s="30"/>
      <c r="F198" s="31"/>
      <c r="G198" s="45"/>
      <c r="H198" s="67" t="str">
        <f>IF(ISERROR(VLOOKUP(Y198,detail_maturity_score,3,FALSE)*VLOOKUP(#REF!,weighting_scores,2,FALSE)),"",VLOOKUP(Y198,detail_maturity_score,3,FALSE)*VLOOKUP(#REF!,weighting_scores,2,FALSE))</f>
        <v/>
      </c>
      <c r="I198" s="133"/>
      <c r="J198" s="29"/>
      <c r="K198" s="29"/>
      <c r="L198" s="29"/>
      <c r="M198" s="29"/>
      <c r="N198" s="29"/>
      <c r="O198" s="29"/>
      <c r="P198" s="29"/>
      <c r="Q198" s="29"/>
      <c r="R198" s="57"/>
      <c r="S198" s="29"/>
      <c r="T198" s="29"/>
      <c r="U198" s="81"/>
      <c r="V198" s="85"/>
      <c r="W198" s="81"/>
      <c r="X198" s="92"/>
      <c r="Y198" s="59">
        <v>1</v>
      </c>
      <c r="Z198" s="59" t="str">
        <f>VLOOKUP(Y198,detail_maturity_score,3,FALSE)</f>
        <v/>
      </c>
    </row>
    <row r="199" spans="1:26" s="55" customFormat="1" ht="16" x14ac:dyDescent="0.2">
      <c r="A199" s="27">
        <v>248</v>
      </c>
      <c r="B199" s="28" t="str">
        <f t="shared" si="10"/>
        <v>1.5.08</v>
      </c>
      <c r="C199" s="29">
        <f t="shared" si="11"/>
        <v>5</v>
      </c>
      <c r="D199" s="3"/>
      <c r="E199" s="30"/>
      <c r="F199" s="31"/>
      <c r="G199" s="45"/>
      <c r="H199" s="67" t="str">
        <f>IF(ISERROR(VLOOKUP(Y199,detail_maturity_score,3,FALSE)*VLOOKUP(#REF!,weighting_scores,2,FALSE)),"",VLOOKUP(Y199,detail_maturity_score,3,FALSE)*VLOOKUP(#REF!,weighting_scores,2,FALSE))</f>
        <v/>
      </c>
      <c r="I199" s="133"/>
      <c r="J199" s="29"/>
      <c r="K199" s="29"/>
      <c r="L199" s="29"/>
      <c r="M199" s="29"/>
      <c r="N199" s="29"/>
      <c r="O199" s="29"/>
      <c r="P199" s="29"/>
      <c r="Q199" s="29"/>
      <c r="R199" s="57"/>
      <c r="S199" s="29"/>
      <c r="T199" s="29"/>
      <c r="U199" s="81"/>
      <c r="V199" s="85"/>
      <c r="W199" s="81"/>
      <c r="X199" s="92"/>
      <c r="Y199" s="59">
        <v>1</v>
      </c>
      <c r="Z199" s="59" t="str">
        <f>VLOOKUP(Y199,detail_maturity_score,3,FALSE)</f>
        <v/>
      </c>
    </row>
    <row r="200" spans="1:26" s="55" customFormat="1" x14ac:dyDescent="0.2">
      <c r="A200" s="27">
        <v>249</v>
      </c>
      <c r="B200" s="28" t="str">
        <f t="shared" si="10"/>
        <v>1.5.09</v>
      </c>
      <c r="C200" s="29">
        <f t="shared" si="11"/>
        <v>4</v>
      </c>
      <c r="D200" s="3"/>
      <c r="E200" s="30"/>
      <c r="F200" s="31"/>
      <c r="G200" s="45"/>
      <c r="H200" s="67" t="str">
        <f>IF(ISERROR(VLOOKUP(Y200,detail_maturity_score,3,FALSE)*VLOOKUP(#REF!,weighting_scores,2,FALSE)),"",VLOOKUP(Y200,detail_maturity_score,3,FALSE)*VLOOKUP(#REF!,weighting_scores,2,FALSE))</f>
        <v/>
      </c>
      <c r="I200" s="133"/>
      <c r="J200" s="29"/>
      <c r="K200" s="29"/>
      <c r="L200" s="29"/>
      <c r="M200" s="29"/>
      <c r="N200" s="29"/>
      <c r="O200" s="29"/>
      <c r="P200" s="29"/>
      <c r="Q200" s="29"/>
      <c r="R200" s="57"/>
      <c r="S200" s="29"/>
      <c r="T200" s="29"/>
      <c r="U200" s="81"/>
      <c r="V200" s="85"/>
      <c r="W200" s="81"/>
      <c r="X200" s="64"/>
      <c r="Y200" s="59"/>
      <c r="Z200" s="59"/>
    </row>
    <row r="201" spans="1:26" s="55" customFormat="1" ht="16" x14ac:dyDescent="0.2">
      <c r="A201" s="27">
        <v>250</v>
      </c>
      <c r="B201" s="28" t="str">
        <f t="shared" si="10"/>
        <v>1.5.09a</v>
      </c>
      <c r="C201" s="29">
        <f t="shared" si="11"/>
        <v>6</v>
      </c>
      <c r="D201" s="3"/>
      <c r="E201" s="30"/>
      <c r="F201" s="36"/>
      <c r="G201" s="45"/>
      <c r="H201" s="67" t="str">
        <f>IF(ISERROR(VLOOKUP(Y201,detail_maturity_score,3,FALSE)*VLOOKUP(#REF!,weighting_scores,2,FALSE)),"",VLOOKUP(Y201,detail_maturity_score,3,FALSE)*VLOOKUP(#REF!,weighting_scores,2,FALSE))</f>
        <v/>
      </c>
      <c r="I201" s="133"/>
      <c r="J201" s="29"/>
      <c r="K201" s="29"/>
      <c r="L201" s="29"/>
      <c r="M201" s="29"/>
      <c r="N201" s="29"/>
      <c r="O201" s="29"/>
      <c r="P201" s="29"/>
      <c r="Q201" s="29"/>
      <c r="R201" s="57"/>
      <c r="S201" s="29"/>
      <c r="T201" s="29"/>
      <c r="U201" s="81"/>
      <c r="V201" s="85"/>
      <c r="W201" s="81"/>
      <c r="X201" s="64"/>
      <c r="Y201" s="59">
        <v>1</v>
      </c>
      <c r="Z201" s="59" t="str">
        <f t="shared" ref="Z201:Z206" si="17">VLOOKUP(Y201,detail_maturity_score,3,FALSE)</f>
        <v/>
      </c>
    </row>
    <row r="202" spans="1:26" s="55" customFormat="1" ht="16" x14ac:dyDescent="0.2">
      <c r="A202" s="27">
        <v>251</v>
      </c>
      <c r="B202" s="28" t="str">
        <f t="shared" si="10"/>
        <v>1.5.09b</v>
      </c>
      <c r="C202" s="29">
        <f t="shared" si="11"/>
        <v>6</v>
      </c>
      <c r="D202" s="3"/>
      <c r="E202" s="30"/>
      <c r="F202" s="36"/>
      <c r="G202" s="45"/>
      <c r="H202" s="67" t="str">
        <f>IF(ISERROR(VLOOKUP(Y202,detail_maturity_score,3,FALSE)*VLOOKUP(#REF!,weighting_scores,2,FALSE)),"",VLOOKUP(Y202,detail_maturity_score,3,FALSE)*VLOOKUP(#REF!,weighting_scores,2,FALSE))</f>
        <v/>
      </c>
      <c r="I202" s="133"/>
      <c r="J202" s="29"/>
      <c r="K202" s="29"/>
      <c r="L202" s="29"/>
      <c r="M202" s="29"/>
      <c r="N202" s="29"/>
      <c r="O202" s="29"/>
      <c r="P202" s="29"/>
      <c r="Q202" s="29"/>
      <c r="R202" s="57"/>
      <c r="S202" s="29"/>
      <c r="T202" s="29"/>
      <c r="U202" s="81"/>
      <c r="V202" s="85"/>
      <c r="W202" s="81"/>
      <c r="X202" s="64"/>
      <c r="Y202" s="59">
        <v>1</v>
      </c>
      <c r="Z202" s="59" t="str">
        <f t="shared" si="17"/>
        <v/>
      </c>
    </row>
    <row r="203" spans="1:26" s="55" customFormat="1" ht="16" x14ac:dyDescent="0.2">
      <c r="A203" s="27">
        <v>252</v>
      </c>
      <c r="B203" s="28" t="str">
        <f t="shared" si="10"/>
        <v>1.5.09c</v>
      </c>
      <c r="C203" s="29">
        <f t="shared" si="11"/>
        <v>6</v>
      </c>
      <c r="D203" s="3"/>
      <c r="E203" s="30"/>
      <c r="F203" s="36"/>
      <c r="G203" s="45"/>
      <c r="H203" s="67" t="str">
        <f>IF(ISERROR(VLOOKUP(Y203,detail_maturity_score,3,FALSE)*VLOOKUP(#REF!,weighting_scores,2,FALSE)),"",VLOOKUP(Y203,detail_maturity_score,3,FALSE)*VLOOKUP(#REF!,weighting_scores,2,FALSE))</f>
        <v/>
      </c>
      <c r="I203" s="133"/>
      <c r="J203" s="29"/>
      <c r="K203" s="29"/>
      <c r="L203" s="29"/>
      <c r="M203" s="29"/>
      <c r="N203" s="29"/>
      <c r="O203" s="29"/>
      <c r="P203" s="29"/>
      <c r="Q203" s="29"/>
      <c r="R203" s="57"/>
      <c r="S203" s="29"/>
      <c r="T203" s="29"/>
      <c r="U203" s="81"/>
      <c r="V203" s="85"/>
      <c r="W203" s="81"/>
      <c r="X203" s="64"/>
      <c r="Y203" s="59">
        <v>1</v>
      </c>
      <c r="Z203" s="59" t="str">
        <f t="shared" si="17"/>
        <v/>
      </c>
    </row>
    <row r="204" spans="1:26" s="55" customFormat="1" ht="16" x14ac:dyDescent="0.2">
      <c r="A204" s="27">
        <v>253</v>
      </c>
      <c r="B204" s="28" t="str">
        <f t="shared" si="10"/>
        <v>1.5.09d</v>
      </c>
      <c r="C204" s="29">
        <f t="shared" si="11"/>
        <v>6</v>
      </c>
      <c r="D204" s="3"/>
      <c r="E204" s="30"/>
      <c r="F204" s="36"/>
      <c r="G204" s="45"/>
      <c r="H204" s="67" t="str">
        <f>IF(ISERROR(VLOOKUP(Y204,detail_maturity_score,3,FALSE)*VLOOKUP(#REF!,weighting_scores,2,FALSE)),"",VLOOKUP(Y204,detail_maturity_score,3,FALSE)*VLOOKUP(#REF!,weighting_scores,2,FALSE))</f>
        <v/>
      </c>
      <c r="I204" s="133"/>
      <c r="J204" s="29"/>
      <c r="K204" s="29"/>
      <c r="L204" s="29"/>
      <c r="M204" s="29"/>
      <c r="N204" s="29"/>
      <c r="O204" s="29"/>
      <c r="P204" s="29"/>
      <c r="Q204" s="29"/>
      <c r="R204" s="57"/>
      <c r="S204" s="29"/>
      <c r="T204" s="29"/>
      <c r="U204" s="81"/>
      <c r="V204" s="85"/>
      <c r="W204" s="81"/>
      <c r="X204" s="64"/>
      <c r="Y204" s="59">
        <v>1</v>
      </c>
      <c r="Z204" s="59" t="str">
        <f t="shared" si="17"/>
        <v/>
      </c>
    </row>
    <row r="205" spans="1:26" s="55" customFormat="1" ht="30" customHeight="1" x14ac:dyDescent="0.2">
      <c r="A205" s="27">
        <v>254</v>
      </c>
      <c r="B205" s="28" t="str">
        <f t="shared" si="10"/>
        <v>1.5.09e</v>
      </c>
      <c r="C205" s="29">
        <f t="shared" si="11"/>
        <v>6</v>
      </c>
      <c r="D205" s="3"/>
      <c r="E205" s="30"/>
      <c r="F205" s="36"/>
      <c r="G205" s="45"/>
      <c r="H205" s="67" t="str">
        <f>IF(ISERROR(VLOOKUP(Y205,detail_maturity_score,3,FALSE)*VLOOKUP(#REF!,weighting_scores,2,FALSE)),"",VLOOKUP(Y205,detail_maturity_score,3,FALSE)*VLOOKUP(#REF!,weighting_scores,2,FALSE))</f>
        <v/>
      </c>
      <c r="I205" s="133"/>
      <c r="J205" s="29"/>
      <c r="K205" s="29"/>
      <c r="L205" s="29"/>
      <c r="M205" s="29"/>
      <c r="N205" s="29"/>
      <c r="O205" s="29"/>
      <c r="P205" s="29"/>
      <c r="Q205" s="29"/>
      <c r="R205" s="57"/>
      <c r="S205" s="29"/>
      <c r="T205" s="29"/>
      <c r="U205" s="81"/>
      <c r="V205" s="85"/>
      <c r="W205" s="81"/>
      <c r="X205" s="64"/>
      <c r="Y205" s="59">
        <v>1</v>
      </c>
      <c r="Z205" s="59" t="str">
        <f t="shared" si="17"/>
        <v/>
      </c>
    </row>
    <row r="206" spans="1:26" s="55" customFormat="1" ht="16" x14ac:dyDescent="0.2">
      <c r="A206" s="27">
        <v>255</v>
      </c>
      <c r="B206" s="28" t="str">
        <f t="shared" si="10"/>
        <v>1.5.09f</v>
      </c>
      <c r="C206" s="29">
        <f t="shared" si="11"/>
        <v>6</v>
      </c>
      <c r="D206" s="3"/>
      <c r="E206" s="30"/>
      <c r="F206" s="36"/>
      <c r="G206" s="45"/>
      <c r="H206" s="67" t="str">
        <f>IF(ISERROR(VLOOKUP(Y206,detail_maturity_score,3,FALSE)*VLOOKUP(#REF!,weighting_scores,2,FALSE)),"",VLOOKUP(Y206,detail_maturity_score,3,FALSE)*VLOOKUP(#REF!,weighting_scores,2,FALSE))</f>
        <v/>
      </c>
      <c r="I206" s="133"/>
      <c r="J206" s="29"/>
      <c r="K206" s="29"/>
      <c r="L206" s="29"/>
      <c r="M206" s="29"/>
      <c r="N206" s="29"/>
      <c r="O206" s="29"/>
      <c r="P206" s="29"/>
      <c r="Q206" s="29"/>
      <c r="R206" s="57"/>
      <c r="S206" s="29"/>
      <c r="T206" s="29"/>
      <c r="U206" s="81"/>
      <c r="V206" s="85"/>
      <c r="W206" s="81"/>
      <c r="X206" s="64"/>
      <c r="Y206" s="59">
        <v>1</v>
      </c>
      <c r="Z206" s="59" t="str">
        <f t="shared" si="17"/>
        <v/>
      </c>
    </row>
    <row r="207" spans="1:26" s="55" customFormat="1" x14ac:dyDescent="0.2">
      <c r="A207" s="27">
        <v>256</v>
      </c>
      <c r="B207" s="28" t="str">
        <f t="shared" si="10"/>
        <v>1.5.10</v>
      </c>
      <c r="C207" s="29">
        <f t="shared" si="11"/>
        <v>4</v>
      </c>
      <c r="D207" s="3"/>
      <c r="E207" s="30"/>
      <c r="F207" s="31"/>
      <c r="G207" s="45"/>
      <c r="H207" s="67" t="str">
        <f>IF(ISERROR(VLOOKUP(Y207,detail_maturity_score,3,FALSE)*VLOOKUP(#REF!,weighting_scores,2,FALSE)),"",VLOOKUP(Y207,detail_maturity_score,3,FALSE)*VLOOKUP(#REF!,weighting_scores,2,FALSE))</f>
        <v/>
      </c>
      <c r="I207" s="133"/>
      <c r="J207" s="29"/>
      <c r="K207" s="29"/>
      <c r="L207" s="29"/>
      <c r="M207" s="29"/>
      <c r="N207" s="29"/>
      <c r="O207" s="29"/>
      <c r="P207" s="29"/>
      <c r="Q207" s="29"/>
      <c r="R207" s="57"/>
      <c r="S207" s="29"/>
      <c r="T207" s="29"/>
      <c r="U207" s="81"/>
      <c r="V207" s="85"/>
      <c r="W207" s="81"/>
      <c r="X207" s="64"/>
      <c r="Y207" s="59"/>
      <c r="Z207" s="59"/>
    </row>
    <row r="208" spans="1:26" s="55" customFormat="1" ht="30" customHeight="1" x14ac:dyDescent="0.2">
      <c r="A208" s="27">
        <v>257</v>
      </c>
      <c r="B208" s="28" t="str">
        <f t="shared" si="10"/>
        <v>1.5.10a</v>
      </c>
      <c r="C208" s="29">
        <f t="shared" si="11"/>
        <v>6</v>
      </c>
      <c r="D208" s="3"/>
      <c r="E208" s="30"/>
      <c r="F208" s="36"/>
      <c r="G208" s="45"/>
      <c r="H208" s="67" t="str">
        <f>IF(ISERROR(VLOOKUP(Y208,detail_maturity_score,3,FALSE)*VLOOKUP(#REF!,weighting_scores,2,FALSE)),"",VLOOKUP(Y208,detail_maturity_score,3,FALSE)*VLOOKUP(#REF!,weighting_scores,2,FALSE))</f>
        <v/>
      </c>
      <c r="I208" s="133"/>
      <c r="J208" s="29"/>
      <c r="K208" s="29"/>
      <c r="L208" s="29"/>
      <c r="M208" s="29"/>
      <c r="N208" s="29"/>
      <c r="O208" s="29"/>
      <c r="P208" s="29"/>
      <c r="Q208" s="29"/>
      <c r="R208" s="57"/>
      <c r="S208" s="29"/>
      <c r="T208" s="29"/>
      <c r="U208" s="81"/>
      <c r="V208" s="85"/>
      <c r="W208" s="81"/>
      <c r="X208" s="64"/>
      <c r="Y208" s="59">
        <v>1</v>
      </c>
      <c r="Z208" s="59" t="str">
        <f>VLOOKUP(Y208,detail_maturity_score,3,FALSE)</f>
        <v/>
      </c>
    </row>
    <row r="209" spans="1:26" s="55" customFormat="1" ht="16" x14ac:dyDescent="0.2">
      <c r="A209" s="27">
        <v>258</v>
      </c>
      <c r="B209" s="28" t="str">
        <f t="shared" ref="B209:B211" si="18">VLOOKUP(A209,contentref,2,FALSE)</f>
        <v>1.5.10b</v>
      </c>
      <c r="C209" s="29">
        <f t="shared" si="11"/>
        <v>6</v>
      </c>
      <c r="D209" s="3"/>
      <c r="E209" s="30"/>
      <c r="F209" s="36"/>
      <c r="G209" s="45"/>
      <c r="H209" s="67" t="str">
        <f>IF(ISERROR(VLOOKUP(Y209,detail_maturity_score,3,FALSE)*VLOOKUP(#REF!,weighting_scores,2,FALSE)),"",VLOOKUP(Y209,detail_maturity_score,3,FALSE)*VLOOKUP(#REF!,weighting_scores,2,FALSE))</f>
        <v/>
      </c>
      <c r="I209" s="133"/>
      <c r="J209" s="29"/>
      <c r="K209" s="29"/>
      <c r="L209" s="29"/>
      <c r="M209" s="29"/>
      <c r="N209" s="29"/>
      <c r="O209" s="29"/>
      <c r="P209" s="29"/>
      <c r="Q209" s="29"/>
      <c r="R209" s="57"/>
      <c r="S209" s="29"/>
      <c r="T209" s="29"/>
      <c r="U209" s="81"/>
      <c r="V209" s="85"/>
      <c r="W209" s="81"/>
      <c r="X209" s="64"/>
      <c r="Y209" s="59">
        <v>1</v>
      </c>
      <c r="Z209" s="59" t="str">
        <f>VLOOKUP(Y209,detail_maturity_score,3,FALSE)</f>
        <v/>
      </c>
    </row>
    <row r="210" spans="1:26" s="55" customFormat="1" ht="16" x14ac:dyDescent="0.2">
      <c r="A210" s="27">
        <v>259</v>
      </c>
      <c r="B210" s="28" t="str">
        <f t="shared" si="18"/>
        <v>1.5.11</v>
      </c>
      <c r="C210" s="29">
        <f t="shared" si="11"/>
        <v>5</v>
      </c>
      <c r="D210" s="3"/>
      <c r="E210" s="30"/>
      <c r="F210" s="31"/>
      <c r="G210" s="45"/>
      <c r="H210" s="67" t="str">
        <f>IF(ISERROR(VLOOKUP(Y210,detail_maturity_score,3,FALSE)*VLOOKUP(#REF!,weighting_scores,2,FALSE)),"",VLOOKUP(Y210,detail_maturity_score,3,FALSE)*VLOOKUP(#REF!,weighting_scores,2,FALSE))</f>
        <v/>
      </c>
      <c r="I210" s="133"/>
      <c r="J210" s="29"/>
      <c r="K210" s="29"/>
      <c r="L210" s="29"/>
      <c r="M210" s="29"/>
      <c r="N210" s="29"/>
      <c r="O210" s="29"/>
      <c r="P210" s="29"/>
      <c r="Q210" s="29"/>
      <c r="R210" s="57"/>
      <c r="S210" s="29"/>
      <c r="T210" s="29"/>
      <c r="U210" s="81"/>
      <c r="V210" s="85"/>
      <c r="W210" s="81"/>
      <c r="X210" s="92"/>
      <c r="Y210" s="59">
        <v>1</v>
      </c>
      <c r="Z210" s="59" t="str">
        <f>VLOOKUP(Y210,detail_maturity_score,3,FALSE)</f>
        <v/>
      </c>
    </row>
    <row r="211" spans="1:26" s="55" customFormat="1" ht="16" x14ac:dyDescent="0.2">
      <c r="A211" s="27">
        <v>260</v>
      </c>
      <c r="B211" s="28" t="str">
        <f t="shared" si="18"/>
        <v>1.5.12</v>
      </c>
      <c r="C211" s="29">
        <f t="shared" si="11"/>
        <v>5</v>
      </c>
      <c r="D211" s="3"/>
      <c r="E211" s="30"/>
      <c r="F211" s="31"/>
      <c r="G211" s="45"/>
      <c r="H211" s="67" t="str">
        <f>IF(ISERROR(VLOOKUP(Y211,detail_maturity_score,3,FALSE)*VLOOKUP(#REF!,weighting_scores,2,FALSE)),"",VLOOKUP(Y211,detail_maturity_score,3,FALSE)*VLOOKUP(#REF!,weighting_scores,2,FALSE))</f>
        <v/>
      </c>
      <c r="I211" s="133"/>
      <c r="J211" s="29"/>
      <c r="K211" s="29"/>
      <c r="L211" s="29"/>
      <c r="M211" s="29"/>
      <c r="N211" s="29"/>
      <c r="O211" s="29"/>
      <c r="P211" s="29"/>
      <c r="Q211" s="29"/>
      <c r="R211" s="57"/>
      <c r="S211" s="29"/>
      <c r="T211" s="29"/>
      <c r="U211" s="81"/>
      <c r="V211" s="85"/>
      <c r="W211" s="81"/>
      <c r="X211" s="92"/>
      <c r="Y211" s="59">
        <v>1</v>
      </c>
      <c r="Z211" s="59" t="str">
        <f>VLOOKUP(Y211,detail_maturity_score,3,FALSE)</f>
        <v/>
      </c>
    </row>
    <row r="213" spans="1:26" x14ac:dyDescent="0.2">
      <c r="E213" s="4" t="s">
        <v>756</v>
      </c>
      <c r="H213" s="4">
        <v>120</v>
      </c>
    </row>
  </sheetData>
  <sheetProtection selectLockedCells="1"/>
  <sortState ref="A8:XFB211">
    <sortCondition ref="A8"/>
  </sortState>
  <mergeCells count="1">
    <mergeCell ref="F2:F5"/>
  </mergeCells>
  <dataValidations count="3">
    <dataValidation type="list" allowBlank="1" showInputMessage="1" showErrorMessage="1" sqref="G9" xr:uid="{4BE33B8F-6891-40C4-B6B4-E71C8ED89EC1}">
      <formula1>"Select,Not Implementented,Requirement Gathering,Intial Implmentation Phase,In Development Phase,In Testing Phase,Fully Implemented"</formula1>
    </dataValidation>
    <dataValidation type="list" allowBlank="1" showInputMessage="1" showErrorMessage="1" sqref="G10" xr:uid="{17591744-40C0-4DC9-B2A9-202056C66B73}">
      <formula1>"Select, Not Implemented,Requirement Gathering,Intial Implementation Phase,In Development Phase,In Testing Phase,Fully Implemented"</formula1>
    </dataValidation>
    <dataValidation type="list" allowBlank="1" showInputMessage="1" showErrorMessage="1" sqref="G11 G12 G13 G14 G16 G17 G18 G19 G20 G21" xr:uid="{7A04BB6B-8A8D-4DC9-BFBC-FCC61AB76555}">
      <formula1>"  Select, Not Implemented,Requirement Gathering,Intial Implementation Phase,In Development Phase,In Testing Phase,Fully Implemented"</formula1>
    </dataValidation>
  </dataValidations>
  <pageMargins left="0.7" right="0.7" top="0.75" bottom="0.75" header="0.3" footer="0.3"/>
  <pageSetup paperSize="9" scale="59" fitToHeight="0" orientation="landscape" horizontalDpi="4294967293"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41AD48"/>
    <pageSetUpPr autoPageBreaks="0" fitToPage="1"/>
  </sheetPr>
  <dimension ref="A2:AB267"/>
  <sheetViews>
    <sheetView showGridLines="0" showRowColHeaders="0" topLeftCell="D1" zoomScaleNormal="100" workbookViewId="0">
      <pane ySplit="7" topLeftCell="A29" activePane="bottomLeft" state="frozen"/>
      <selection pane="bottomLeft" activeCell="I39" sqref="I39"/>
    </sheetView>
  </sheetViews>
  <sheetFormatPr baseColWidth="10" defaultColWidth="9.1640625" defaultRowHeight="15" x14ac:dyDescent="0.2"/>
  <cols>
    <col min="1" max="1" width="9.33203125" style="4" hidden="1" customWidth="1"/>
    <col min="2" max="3" width="8.83203125" style="4" hidden="1" customWidth="1"/>
    <col min="4" max="4" width="6.33203125" style="4" customWidth="1"/>
    <col min="5" max="5" width="15.5" style="4" customWidth="1"/>
    <col min="6" max="6" width="67.5" style="4" customWidth="1"/>
    <col min="7" max="7" width="20.33203125" style="4" customWidth="1"/>
    <col min="8" max="9" width="16.1640625" style="4" customWidth="1"/>
    <col min="10" max="11" width="41.6640625" style="4" customWidth="1"/>
    <col min="12" max="23" width="9.1640625" style="4" customWidth="1"/>
    <col min="24" max="26" width="9.1640625" style="66" customWidth="1"/>
    <col min="27" max="28" width="9.1640625" style="61" hidden="1" customWidth="1"/>
    <col min="29" max="16384" width="9.1640625" style="4"/>
  </cols>
  <sheetData>
    <row r="2" spans="1:28" s="7" customFormat="1" ht="15" customHeight="1" x14ac:dyDescent="0.2">
      <c r="A2" s="45"/>
      <c r="B2" s="4"/>
      <c r="C2" s="4"/>
      <c r="D2" s="4"/>
      <c r="E2" s="4"/>
      <c r="F2" s="151" t="s">
        <v>757</v>
      </c>
      <c r="G2" s="143"/>
      <c r="H2" s="143"/>
      <c r="I2" s="143"/>
      <c r="J2" s="143"/>
      <c r="K2" s="143"/>
      <c r="L2" s="143"/>
      <c r="M2" s="143"/>
      <c r="N2" s="143"/>
      <c r="O2" s="143"/>
      <c r="P2" s="143"/>
      <c r="Q2" s="143"/>
      <c r="R2" s="143"/>
      <c r="S2" s="143"/>
      <c r="T2" s="143"/>
      <c r="U2" s="143"/>
      <c r="V2" s="143"/>
      <c r="X2" s="66"/>
      <c r="Y2" s="66"/>
      <c r="Z2" s="66"/>
      <c r="AA2" s="61"/>
      <c r="AB2" s="61"/>
    </row>
    <row r="3" spans="1:28" s="7" customFormat="1" ht="15" customHeight="1" x14ac:dyDescent="0.2">
      <c r="A3" s="4"/>
      <c r="B3" s="4"/>
      <c r="C3" s="4"/>
      <c r="D3" s="4"/>
      <c r="E3" s="4"/>
      <c r="F3" s="151"/>
      <c r="G3" s="143"/>
      <c r="H3" s="143"/>
      <c r="I3" s="143"/>
      <c r="J3" s="143"/>
      <c r="K3" s="143"/>
      <c r="L3" s="143"/>
      <c r="M3" s="143"/>
      <c r="N3" s="143"/>
      <c r="O3" s="143"/>
      <c r="P3" s="143"/>
      <c r="Q3" s="143"/>
      <c r="R3" s="143"/>
      <c r="S3" s="143"/>
      <c r="T3" s="143"/>
      <c r="U3" s="143"/>
      <c r="V3" s="143"/>
      <c r="X3" s="66"/>
      <c r="Y3" s="66"/>
      <c r="Z3" s="66"/>
      <c r="AA3" s="61"/>
      <c r="AB3" s="61"/>
    </row>
    <row r="4" spans="1:28" s="7" customFormat="1" ht="15" customHeight="1" x14ac:dyDescent="0.2">
      <c r="A4" s="4"/>
      <c r="B4" s="4"/>
      <c r="C4" s="4"/>
      <c r="D4" s="4"/>
      <c r="E4" s="4"/>
      <c r="F4" s="151"/>
      <c r="G4" s="143"/>
      <c r="H4" s="143"/>
      <c r="I4" s="143"/>
      <c r="J4" s="143"/>
      <c r="K4" s="143"/>
      <c r="L4" s="143"/>
      <c r="M4" s="143"/>
      <c r="N4" s="143"/>
      <c r="O4" s="143"/>
      <c r="P4" s="143"/>
      <c r="Q4" s="143"/>
      <c r="R4" s="143"/>
      <c r="S4" s="143"/>
      <c r="T4" s="143"/>
      <c r="U4" s="143"/>
      <c r="V4" s="143"/>
      <c r="X4" s="66"/>
      <c r="Y4" s="66"/>
      <c r="Z4" s="66"/>
      <c r="AA4" s="61"/>
      <c r="AB4" s="61"/>
    </row>
    <row r="5" spans="1:28" s="7" customFormat="1" ht="15" customHeight="1" x14ac:dyDescent="0.2">
      <c r="A5" s="4"/>
      <c r="B5" s="4"/>
      <c r="C5" s="4"/>
      <c r="D5" s="4"/>
      <c r="E5" s="4"/>
      <c r="F5" s="151"/>
      <c r="G5" s="143"/>
      <c r="H5" s="143"/>
      <c r="I5" s="143"/>
      <c r="J5" s="143"/>
      <c r="K5" s="143"/>
      <c r="L5" s="143"/>
      <c r="M5" s="143"/>
      <c r="N5" s="143"/>
      <c r="O5" s="143"/>
      <c r="P5" s="143"/>
      <c r="Q5" s="143"/>
      <c r="R5" s="143"/>
      <c r="S5" s="143"/>
      <c r="T5" s="143"/>
      <c r="U5" s="143"/>
      <c r="V5" s="143"/>
      <c r="X5" s="66"/>
      <c r="Y5" s="66"/>
      <c r="Z5" s="66"/>
      <c r="AA5" s="61"/>
      <c r="AB5" s="61"/>
    </row>
    <row r="6" spans="1:28" ht="11.25" customHeight="1" x14ac:dyDescent="0.2"/>
    <row r="7" spans="1:28" ht="36" customHeight="1" x14ac:dyDescent="0.25">
      <c r="F7" s="8"/>
      <c r="G7" s="9" t="s">
        <v>732</v>
      </c>
      <c r="H7" s="9" t="s">
        <v>733</v>
      </c>
      <c r="I7" s="10" t="s">
        <v>734</v>
      </c>
      <c r="V7" s="66"/>
      <c r="W7" s="66"/>
      <c r="Y7" s="61"/>
      <c r="Z7" s="61"/>
      <c r="AA7" s="4"/>
      <c r="AB7" s="4"/>
    </row>
    <row r="8" spans="1:28" s="54" customFormat="1" ht="30" customHeight="1" x14ac:dyDescent="0.2">
      <c r="A8" s="32">
        <v>262</v>
      </c>
      <c r="B8" s="33" t="str">
        <f t="shared" ref="B8:B71" si="0">VLOOKUP(A8,contentref,2,FALSE)</f>
        <v>2.1</v>
      </c>
      <c r="C8" s="3">
        <f t="shared" ref="C8:C71" si="1">VLOOKUP(A8,contentref,15,FALSE)</f>
        <v>2</v>
      </c>
      <c r="D8" s="3"/>
      <c r="E8" s="123" t="s">
        <v>758</v>
      </c>
      <c r="F8" s="47" t="s">
        <v>759</v>
      </c>
      <c r="G8" s="48"/>
      <c r="H8" s="49" t="str">
        <f>IF(ISERROR(VLOOKUP(E8,#REF!,6,FALSE)),"",IF(VLOOKUP(E8,#REF!,6,FALSE)=0,"",VLOOKUP(E8,#REF!,6,FALSE)))</f>
        <v/>
      </c>
      <c r="I8" s="49" t="str">
        <f t="shared" ref="I8:I39" si="2">IF(ISERROR(VLOOKUP(AA8,detail_maturity_score,3,FALSE)*VLOOKUP(H8,weighting_scores,2,FALSE)),"",VLOOKUP(AA8,detail_maturity_score,3,FALSE)*VLOOKUP(H8,weighting_scores,2,FALSE))</f>
        <v/>
      </c>
      <c r="J8" s="49"/>
      <c r="K8" s="49"/>
      <c r="L8" s="49"/>
      <c r="M8" s="48"/>
      <c r="N8" s="48"/>
      <c r="O8" s="48"/>
      <c r="P8" s="48"/>
      <c r="Q8" s="48"/>
      <c r="R8" s="48"/>
      <c r="S8" s="48"/>
      <c r="T8" s="48"/>
      <c r="U8" s="48"/>
      <c r="V8" s="48"/>
      <c r="W8" s="79"/>
      <c r="X8" s="79"/>
      <c r="Y8" s="83"/>
    </row>
    <row r="9" spans="1:28" s="53" customFormat="1" ht="30" customHeight="1" x14ac:dyDescent="0.2">
      <c r="A9" s="32">
        <v>263</v>
      </c>
      <c r="B9" s="33" t="str">
        <f t="shared" si="0"/>
        <v>2.1.01</v>
      </c>
      <c r="C9" s="3">
        <f t="shared" si="1"/>
        <v>5</v>
      </c>
      <c r="D9" s="3"/>
      <c r="E9" s="122">
        <v>1</v>
      </c>
      <c r="F9" s="139" t="s">
        <v>760</v>
      </c>
      <c r="G9" s="45" t="s">
        <v>745</v>
      </c>
      <c r="H9" s="69">
        <v>1</v>
      </c>
      <c r="J9" s="69"/>
      <c r="K9" s="132"/>
      <c r="L9" s="43"/>
      <c r="M9" s="43"/>
      <c r="N9" s="43"/>
      <c r="O9" s="43"/>
      <c r="P9" s="43"/>
      <c r="Q9" s="43"/>
      <c r="R9" s="43"/>
      <c r="S9" s="43"/>
      <c r="T9" s="78"/>
      <c r="U9" s="43"/>
      <c r="V9" s="43"/>
      <c r="W9" s="80"/>
      <c r="X9" s="84"/>
      <c r="Y9" s="80"/>
      <c r="AA9" s="59">
        <v>1</v>
      </c>
      <c r="AB9" s="59" t="str">
        <f>VLOOKUP(AA9,detail_maturity_score,3,FALSE)</f>
        <v/>
      </c>
    </row>
    <row r="10" spans="1:28" s="55" customFormat="1" ht="30" customHeight="1" x14ac:dyDescent="0.2">
      <c r="A10" s="32">
        <v>264</v>
      </c>
      <c r="B10" s="33" t="str">
        <f t="shared" si="0"/>
        <v>2.1.02</v>
      </c>
      <c r="C10" s="3">
        <f t="shared" si="1"/>
        <v>4</v>
      </c>
      <c r="D10" s="3"/>
      <c r="E10" s="121">
        <v>2</v>
      </c>
      <c r="F10" s="140" t="s">
        <v>761</v>
      </c>
      <c r="G10" s="45" t="s">
        <v>740</v>
      </c>
      <c r="H10" s="67">
        <v>1</v>
      </c>
      <c r="I10" s="67" t="str">
        <f t="shared" si="2"/>
        <v/>
      </c>
      <c r="J10" s="133"/>
      <c r="K10" s="133"/>
      <c r="L10" s="29"/>
      <c r="M10" s="29"/>
      <c r="N10" s="29"/>
      <c r="O10" s="29"/>
      <c r="P10" s="29"/>
      <c r="Q10" s="29"/>
      <c r="R10" s="29"/>
      <c r="S10" s="29"/>
      <c r="T10" s="57"/>
      <c r="U10" s="29"/>
      <c r="V10" s="29"/>
      <c r="W10" s="81"/>
      <c r="X10" s="85"/>
      <c r="Y10" s="81"/>
      <c r="AA10" s="60"/>
      <c r="AB10" s="60"/>
    </row>
    <row r="11" spans="1:28" s="55" customFormat="1" ht="32" x14ac:dyDescent="0.2">
      <c r="A11" s="32">
        <v>265</v>
      </c>
      <c r="B11" s="33" t="str">
        <f t="shared" si="0"/>
        <v>2.1.02a</v>
      </c>
      <c r="C11" s="3">
        <f t="shared" si="1"/>
        <v>6</v>
      </c>
      <c r="D11" s="3"/>
      <c r="E11" s="121">
        <v>3</v>
      </c>
      <c r="F11" s="140" t="s">
        <v>762</v>
      </c>
      <c r="G11" s="45" t="s">
        <v>763</v>
      </c>
      <c r="H11" s="67">
        <v>2</v>
      </c>
      <c r="I11" s="67" t="str">
        <f t="shared" si="2"/>
        <v/>
      </c>
      <c r="J11" s="133"/>
      <c r="K11" s="133"/>
      <c r="L11" s="29"/>
      <c r="M11" s="29"/>
      <c r="N11" s="29"/>
      <c r="O11" s="29"/>
      <c r="P11" s="29"/>
      <c r="Q11" s="29"/>
      <c r="R11" s="29"/>
      <c r="S11" s="29"/>
      <c r="T11" s="57"/>
      <c r="U11" s="29"/>
      <c r="V11" s="29"/>
      <c r="W11" s="81"/>
      <c r="X11" s="85"/>
      <c r="Y11" s="81"/>
      <c r="AA11" s="60">
        <v>1</v>
      </c>
      <c r="AB11" s="60" t="str">
        <f>VLOOKUP(AA11,detail_maturity_score,3,FALSE)</f>
        <v/>
      </c>
    </row>
    <row r="12" spans="1:28" s="55" customFormat="1" ht="32" x14ac:dyDescent="0.2">
      <c r="A12" s="27">
        <v>266</v>
      </c>
      <c r="B12" s="28" t="str">
        <f t="shared" si="0"/>
        <v>2.1.02b</v>
      </c>
      <c r="C12" s="29">
        <f t="shared" si="1"/>
        <v>6</v>
      </c>
      <c r="D12" s="3"/>
      <c r="E12" s="122">
        <v>4</v>
      </c>
      <c r="F12" s="139" t="s">
        <v>764</v>
      </c>
      <c r="G12" s="45" t="s">
        <v>763</v>
      </c>
      <c r="H12" s="69">
        <v>2</v>
      </c>
      <c r="I12" s="69" t="str">
        <f t="shared" si="2"/>
        <v/>
      </c>
      <c r="J12" s="133"/>
      <c r="K12" s="132"/>
      <c r="L12" s="43"/>
      <c r="M12" s="43"/>
      <c r="N12" s="43"/>
      <c r="O12" s="43"/>
      <c r="P12" s="43"/>
      <c r="Q12" s="43"/>
      <c r="R12" s="43"/>
      <c r="S12" s="43"/>
      <c r="T12" s="78"/>
      <c r="U12" s="43"/>
      <c r="V12" s="43"/>
      <c r="W12" s="80"/>
      <c r="X12" s="84"/>
      <c r="Y12" s="80"/>
      <c r="Z12" s="53"/>
      <c r="AA12" s="59">
        <v>1</v>
      </c>
      <c r="AB12" s="59" t="str">
        <f>VLOOKUP(AA12,detail_maturity_score,3,FALSE)</f>
        <v/>
      </c>
    </row>
    <row r="13" spans="1:28" s="55" customFormat="1" ht="30" customHeight="1" x14ac:dyDescent="0.2">
      <c r="A13" s="27">
        <v>267</v>
      </c>
      <c r="B13" s="28" t="str">
        <f t="shared" si="0"/>
        <v>2.1.02c</v>
      </c>
      <c r="C13" s="29">
        <f t="shared" si="1"/>
        <v>6</v>
      </c>
      <c r="D13" s="3"/>
      <c r="E13" s="121">
        <v>5</v>
      </c>
      <c r="F13" s="140" t="s">
        <v>765</v>
      </c>
      <c r="G13" s="45" t="s">
        <v>766</v>
      </c>
      <c r="H13" s="67">
        <v>3</v>
      </c>
      <c r="I13" s="67" t="str">
        <f>IF(ISERROR(VLOOKUP(AA13,detail_maturity_score,3,FALSE)*VLOOKUP(H13,weighting_scores,2,FALSE)),"",VLOOKUP(AA13,detail_maturity_score,3,FALSE)*VLOOKUP(H13,weighting_scores,2,FALSE))</f>
        <v/>
      </c>
      <c r="J13" s="133"/>
      <c r="K13" s="133"/>
      <c r="L13" s="29"/>
      <c r="M13" s="29"/>
      <c r="N13" s="29"/>
      <c r="O13" s="29"/>
      <c r="P13" s="29"/>
      <c r="Q13" s="29"/>
      <c r="R13" s="29"/>
      <c r="S13" s="29"/>
      <c r="T13" s="57"/>
      <c r="U13" s="29"/>
      <c r="V13" s="29"/>
      <c r="W13" s="81"/>
      <c r="X13" s="85"/>
      <c r="Y13" s="81"/>
      <c r="AA13" s="59">
        <v>1</v>
      </c>
      <c r="AB13" s="59" t="str">
        <f>VLOOKUP(AA13,detail_maturity_score,3,FALSE)</f>
        <v/>
      </c>
    </row>
    <row r="14" spans="1:28" s="55" customFormat="1" ht="32" x14ac:dyDescent="0.2">
      <c r="A14" s="27">
        <v>268</v>
      </c>
      <c r="B14" s="28" t="str">
        <f t="shared" si="0"/>
        <v>2.1.03</v>
      </c>
      <c r="C14" s="29">
        <f t="shared" si="1"/>
        <v>5</v>
      </c>
      <c r="D14" s="3"/>
      <c r="E14" s="121">
        <v>6</v>
      </c>
      <c r="F14" s="140" t="s">
        <v>767</v>
      </c>
      <c r="G14" s="45" t="s">
        <v>745</v>
      </c>
      <c r="H14" s="67">
        <v>1</v>
      </c>
      <c r="I14" s="67" t="str">
        <f t="shared" si="2"/>
        <v/>
      </c>
      <c r="J14" s="133"/>
      <c r="K14" s="133"/>
      <c r="L14" s="29"/>
      <c r="M14" s="29"/>
      <c r="N14" s="29"/>
      <c r="O14" s="29"/>
      <c r="P14" s="29"/>
      <c r="Q14" s="29"/>
      <c r="R14" s="29"/>
      <c r="S14" s="29"/>
      <c r="T14" s="57"/>
      <c r="U14" s="29"/>
      <c r="V14" s="29"/>
      <c r="W14" s="81"/>
      <c r="X14" s="85"/>
      <c r="Y14" s="81"/>
      <c r="AA14" s="59">
        <v>1</v>
      </c>
      <c r="AB14" s="59" t="str">
        <f>VLOOKUP(AA14,detail_maturity_score,3,FALSE)</f>
        <v/>
      </c>
    </row>
    <row r="15" spans="1:28" s="55" customFormat="1" ht="30" customHeight="1" x14ac:dyDescent="0.2">
      <c r="A15" s="27">
        <v>269</v>
      </c>
      <c r="B15" s="28" t="str">
        <f t="shared" si="0"/>
        <v>2.1.04</v>
      </c>
      <c r="C15" s="29">
        <f t="shared" si="1"/>
        <v>4</v>
      </c>
      <c r="D15" s="3"/>
      <c r="E15" s="121">
        <v>7</v>
      </c>
      <c r="F15" s="140" t="s">
        <v>768</v>
      </c>
      <c r="G15" s="45" t="s">
        <v>745</v>
      </c>
      <c r="H15" s="67">
        <v>1</v>
      </c>
      <c r="I15" s="67" t="str">
        <f t="shared" si="2"/>
        <v/>
      </c>
      <c r="J15" s="133"/>
      <c r="K15" s="133"/>
      <c r="L15" s="29"/>
      <c r="M15" s="29"/>
      <c r="N15" s="29"/>
      <c r="O15" s="29"/>
      <c r="P15" s="29"/>
      <c r="Q15" s="29"/>
      <c r="R15" s="29"/>
      <c r="S15" s="29"/>
      <c r="T15" s="57"/>
      <c r="U15" s="29"/>
      <c r="V15" s="29"/>
      <c r="W15" s="81"/>
      <c r="X15" s="85"/>
      <c r="Y15" s="81"/>
      <c r="AA15" s="59"/>
      <c r="AB15" s="59"/>
    </row>
    <row r="16" spans="1:28" s="55" customFormat="1" ht="32" x14ac:dyDescent="0.2">
      <c r="A16" s="27">
        <v>270</v>
      </c>
      <c r="B16" s="28" t="str">
        <f t="shared" si="0"/>
        <v>2.1.04a</v>
      </c>
      <c r="C16" s="29">
        <f t="shared" si="1"/>
        <v>6</v>
      </c>
      <c r="D16" s="3"/>
      <c r="E16" s="121">
        <v>8</v>
      </c>
      <c r="F16" s="140" t="s">
        <v>769</v>
      </c>
      <c r="G16" s="45" t="s">
        <v>745</v>
      </c>
      <c r="H16" s="67">
        <v>1</v>
      </c>
      <c r="I16" s="67" t="str">
        <f t="shared" si="2"/>
        <v/>
      </c>
      <c r="J16" s="133"/>
      <c r="K16" s="133"/>
      <c r="L16" s="29"/>
      <c r="M16" s="29"/>
      <c r="N16" s="29"/>
      <c r="O16" s="29"/>
      <c r="P16" s="29"/>
      <c r="Q16" s="29"/>
      <c r="R16" s="29"/>
      <c r="S16" s="29"/>
      <c r="T16" s="57"/>
      <c r="U16" s="29"/>
      <c r="V16" s="29"/>
      <c r="W16" s="81"/>
      <c r="X16" s="85"/>
      <c r="Y16" s="81"/>
      <c r="AA16" s="59">
        <v>1</v>
      </c>
      <c r="AB16" s="59" t="str">
        <f>VLOOKUP(AA16,detail_maturity_score,3,FALSE)</f>
        <v/>
      </c>
    </row>
    <row r="17" spans="1:28" s="55" customFormat="1" ht="48" x14ac:dyDescent="0.2">
      <c r="A17" s="27">
        <v>271</v>
      </c>
      <c r="B17" s="28" t="str">
        <f t="shared" si="0"/>
        <v>2.1.04b</v>
      </c>
      <c r="C17" s="29">
        <f t="shared" si="1"/>
        <v>6</v>
      </c>
      <c r="D17" s="3"/>
      <c r="E17" s="121">
        <v>9</v>
      </c>
      <c r="F17" s="140" t="s">
        <v>770</v>
      </c>
      <c r="G17" s="45" t="s">
        <v>766</v>
      </c>
      <c r="H17" s="67">
        <v>3</v>
      </c>
      <c r="I17" s="67" t="str">
        <f t="shared" si="2"/>
        <v/>
      </c>
      <c r="J17" s="133"/>
      <c r="K17" s="133"/>
      <c r="L17" s="29"/>
      <c r="M17" s="29"/>
      <c r="N17" s="29"/>
      <c r="O17" s="29"/>
      <c r="P17" s="29"/>
      <c r="Q17" s="29"/>
      <c r="R17" s="29"/>
      <c r="S17" s="29"/>
      <c r="T17" s="57"/>
      <c r="U17" s="29"/>
      <c r="V17" s="29"/>
      <c r="W17" s="81"/>
      <c r="X17" s="85"/>
      <c r="Y17" s="81"/>
      <c r="AA17" s="59">
        <v>1</v>
      </c>
      <c r="AB17" s="59" t="str">
        <f>VLOOKUP(AA17,detail_maturity_score,3,FALSE)</f>
        <v/>
      </c>
    </row>
    <row r="18" spans="1:28" s="55" customFormat="1" ht="64" x14ac:dyDescent="0.2">
      <c r="A18" s="27">
        <v>272</v>
      </c>
      <c r="B18" s="28" t="str">
        <f t="shared" si="0"/>
        <v>2.1.05</v>
      </c>
      <c r="C18" s="29">
        <f t="shared" si="1"/>
        <v>4</v>
      </c>
      <c r="D18" s="3"/>
      <c r="E18" s="121">
        <v>10</v>
      </c>
      <c r="F18" s="140" t="s">
        <v>771</v>
      </c>
      <c r="G18" s="45" t="s">
        <v>763</v>
      </c>
      <c r="H18" s="67">
        <v>2</v>
      </c>
      <c r="I18" s="67" t="str">
        <f t="shared" si="2"/>
        <v/>
      </c>
      <c r="J18" s="133"/>
      <c r="K18" s="133"/>
      <c r="L18" s="29"/>
      <c r="M18" s="29"/>
      <c r="N18" s="29"/>
      <c r="O18" s="29"/>
      <c r="P18" s="29"/>
      <c r="Q18" s="29"/>
      <c r="R18" s="29"/>
      <c r="S18" s="29"/>
      <c r="T18" s="57"/>
      <c r="U18" s="29"/>
      <c r="V18" s="29"/>
      <c r="W18" s="81"/>
      <c r="X18" s="85"/>
      <c r="Y18" s="81"/>
      <c r="AA18" s="59"/>
      <c r="AB18" s="59"/>
    </row>
    <row r="19" spans="1:28" s="55" customFormat="1" ht="48" x14ac:dyDescent="0.2">
      <c r="A19" s="27">
        <v>273</v>
      </c>
      <c r="B19" s="28" t="str">
        <f t="shared" si="0"/>
        <v>2.1.05a</v>
      </c>
      <c r="C19" s="29">
        <f t="shared" si="1"/>
        <v>6</v>
      </c>
      <c r="D19" s="3"/>
      <c r="E19" s="121">
        <v>11</v>
      </c>
      <c r="F19" s="140" t="s">
        <v>772</v>
      </c>
      <c r="G19" s="45" t="s">
        <v>745</v>
      </c>
      <c r="H19" s="67">
        <v>1</v>
      </c>
      <c r="I19" s="67" t="str">
        <f t="shared" si="2"/>
        <v/>
      </c>
      <c r="J19" s="133"/>
      <c r="K19" s="133"/>
      <c r="L19" s="29"/>
      <c r="M19" s="29"/>
      <c r="N19" s="29"/>
      <c r="O19" s="29"/>
      <c r="P19" s="29"/>
      <c r="Q19" s="29"/>
      <c r="R19" s="29"/>
      <c r="S19" s="29"/>
      <c r="T19" s="57"/>
      <c r="U19" s="29"/>
      <c r="V19" s="29"/>
      <c r="W19" s="81"/>
      <c r="X19" s="85"/>
      <c r="Y19" s="81"/>
      <c r="AA19" s="59">
        <v>1</v>
      </c>
      <c r="AB19" s="59" t="str">
        <f t="shared" ref="AB19:AB25" si="3">VLOOKUP(AA19,detail_maturity_score,3,FALSE)</f>
        <v/>
      </c>
    </row>
    <row r="20" spans="1:28" s="55" customFormat="1" ht="32" x14ac:dyDescent="0.2">
      <c r="A20" s="27">
        <v>274</v>
      </c>
      <c r="B20" s="28" t="str">
        <f t="shared" si="0"/>
        <v>2.1.05b</v>
      </c>
      <c r="C20" s="29">
        <f t="shared" si="1"/>
        <v>6</v>
      </c>
      <c r="D20" s="3"/>
      <c r="E20" s="121">
        <v>12</v>
      </c>
      <c r="F20" s="140" t="s">
        <v>773</v>
      </c>
      <c r="G20" s="45" t="s">
        <v>745</v>
      </c>
      <c r="H20" s="67">
        <v>1</v>
      </c>
      <c r="I20" s="67" t="str">
        <f t="shared" si="2"/>
        <v/>
      </c>
      <c r="J20" s="133"/>
      <c r="K20" s="133"/>
      <c r="L20" s="29"/>
      <c r="M20" s="29"/>
      <c r="N20" s="29"/>
      <c r="O20" s="29"/>
      <c r="P20" s="29"/>
      <c r="Q20" s="29"/>
      <c r="R20" s="29"/>
      <c r="S20" s="29"/>
      <c r="T20" s="57"/>
      <c r="U20" s="29"/>
      <c r="V20" s="29"/>
      <c r="W20" s="81"/>
      <c r="X20" s="85"/>
      <c r="Y20" s="81"/>
      <c r="AA20" s="59">
        <v>1</v>
      </c>
      <c r="AB20" s="59" t="str">
        <f t="shared" si="3"/>
        <v/>
      </c>
    </row>
    <row r="21" spans="1:28" s="55" customFormat="1" ht="32" x14ac:dyDescent="0.2">
      <c r="A21" s="27">
        <v>275</v>
      </c>
      <c r="B21" s="28" t="str">
        <f t="shared" si="0"/>
        <v>2.1.05c</v>
      </c>
      <c r="C21" s="29">
        <f t="shared" si="1"/>
        <v>6</v>
      </c>
      <c r="D21" s="3"/>
      <c r="E21" s="121">
        <v>13</v>
      </c>
      <c r="F21" s="140" t="str">
        <f>VLOOKUP(A22,contentref,7,FALSE)</f>
        <v>Publicly available information (eg information on new exploits, information exchange groups, third party organisations, governments)?</v>
      </c>
      <c r="G21" s="45" t="s">
        <v>745</v>
      </c>
      <c r="H21" s="67">
        <v>1</v>
      </c>
      <c r="I21" s="67" t="str">
        <f t="shared" si="2"/>
        <v/>
      </c>
      <c r="J21" s="133"/>
      <c r="K21" s="133"/>
      <c r="L21" s="29"/>
      <c r="M21" s="29"/>
      <c r="N21" s="29"/>
      <c r="O21" s="29"/>
      <c r="P21" s="29"/>
      <c r="Q21" s="29"/>
      <c r="R21" s="29"/>
      <c r="S21" s="29"/>
      <c r="T21" s="57"/>
      <c r="U21" s="29"/>
      <c r="V21" s="29"/>
      <c r="W21" s="81"/>
      <c r="X21" s="85"/>
      <c r="Y21" s="81"/>
      <c r="AA21" s="59">
        <v>1</v>
      </c>
      <c r="AB21" s="59" t="str">
        <f t="shared" si="3"/>
        <v/>
      </c>
    </row>
    <row r="22" spans="1:28" s="55" customFormat="1" ht="48" x14ac:dyDescent="0.2">
      <c r="A22" s="27">
        <v>276</v>
      </c>
      <c r="B22" s="28" t="str">
        <f t="shared" si="0"/>
        <v>2.1.05d</v>
      </c>
      <c r="C22" s="29">
        <f t="shared" si="1"/>
        <v>6</v>
      </c>
      <c r="D22" s="3"/>
      <c r="E22" s="121">
        <v>14</v>
      </c>
      <c r="F22" s="140" t="s">
        <v>774</v>
      </c>
      <c r="G22" s="45" t="s">
        <v>740</v>
      </c>
      <c r="H22" s="67">
        <v>1</v>
      </c>
      <c r="I22" s="67" t="str">
        <f t="shared" si="2"/>
        <v/>
      </c>
      <c r="J22" s="133"/>
      <c r="K22" s="133"/>
      <c r="L22" s="29"/>
      <c r="M22" s="29"/>
      <c r="N22" s="29"/>
      <c r="O22" s="29"/>
      <c r="P22" s="29"/>
      <c r="Q22" s="29"/>
      <c r="R22" s="29"/>
      <c r="S22" s="29"/>
      <c r="T22" s="57"/>
      <c r="U22" s="29"/>
      <c r="V22" s="29"/>
      <c r="W22" s="81"/>
      <c r="X22" s="85"/>
      <c r="Y22" s="81"/>
      <c r="AA22" s="59">
        <v>1</v>
      </c>
      <c r="AB22" s="59" t="str">
        <f t="shared" si="3"/>
        <v/>
      </c>
    </row>
    <row r="23" spans="1:28" s="55" customFormat="1" ht="30" customHeight="1" x14ac:dyDescent="0.2">
      <c r="A23" s="27">
        <v>277</v>
      </c>
      <c r="B23" s="28" t="str">
        <f t="shared" si="0"/>
        <v>2.1.05e</v>
      </c>
      <c r="C23" s="29">
        <f t="shared" si="1"/>
        <v>6</v>
      </c>
      <c r="D23" s="3"/>
      <c r="E23" s="121">
        <v>15</v>
      </c>
      <c r="F23" s="140" t="s">
        <v>775</v>
      </c>
      <c r="G23" s="45" t="s">
        <v>745</v>
      </c>
      <c r="H23" s="67">
        <v>1</v>
      </c>
      <c r="I23" s="67" t="str">
        <f t="shared" si="2"/>
        <v/>
      </c>
      <c r="J23" s="133"/>
      <c r="K23" s="133"/>
      <c r="L23" s="29"/>
      <c r="M23" s="29"/>
      <c r="N23" s="29"/>
      <c r="O23" s="29"/>
      <c r="P23" s="29"/>
      <c r="Q23" s="29"/>
      <c r="R23" s="29"/>
      <c r="S23" s="29"/>
      <c r="T23" s="57"/>
      <c r="U23" s="29"/>
      <c r="V23" s="29"/>
      <c r="W23" s="81"/>
      <c r="X23" s="85"/>
      <c r="Y23" s="81"/>
      <c r="AA23" s="59">
        <v>1</v>
      </c>
      <c r="AB23" s="59" t="str">
        <f t="shared" si="3"/>
        <v/>
      </c>
    </row>
    <row r="24" spans="1:28" s="55" customFormat="1" ht="32" x14ac:dyDescent="0.2">
      <c r="A24" s="27">
        <v>278</v>
      </c>
      <c r="B24" s="28" t="str">
        <f t="shared" si="0"/>
        <v>2.1.05f</v>
      </c>
      <c r="C24" s="29">
        <f t="shared" si="1"/>
        <v>6</v>
      </c>
      <c r="D24" s="3"/>
      <c r="E24" s="121">
        <v>16</v>
      </c>
      <c r="F24" s="140" t="s">
        <v>776</v>
      </c>
      <c r="G24" s="45" t="s">
        <v>740</v>
      </c>
      <c r="H24" s="67">
        <v>1</v>
      </c>
      <c r="I24" s="67" t="str">
        <f t="shared" si="2"/>
        <v/>
      </c>
      <c r="J24" s="133"/>
      <c r="K24" s="133"/>
      <c r="L24" s="29"/>
      <c r="M24" s="29"/>
      <c r="N24" s="29"/>
      <c r="O24" s="29"/>
      <c r="P24" s="29"/>
      <c r="Q24" s="29"/>
      <c r="R24" s="29"/>
      <c r="S24" s="29"/>
      <c r="T24" s="57"/>
      <c r="U24" s="29"/>
      <c r="V24" s="29"/>
      <c r="W24" s="81"/>
      <c r="X24" s="85"/>
      <c r="Y24" s="81"/>
      <c r="AA24" s="59">
        <v>1</v>
      </c>
      <c r="AB24" s="59" t="str">
        <f t="shared" si="3"/>
        <v/>
      </c>
    </row>
    <row r="25" spans="1:28" s="55" customFormat="1" ht="30" customHeight="1" x14ac:dyDescent="0.2">
      <c r="A25" s="27">
        <v>279</v>
      </c>
      <c r="B25" s="28" t="str">
        <f t="shared" si="0"/>
        <v>2.1.05g</v>
      </c>
      <c r="C25" s="29">
        <f t="shared" si="1"/>
        <v>6</v>
      </c>
      <c r="D25" s="3"/>
      <c r="E25" s="121">
        <v>17</v>
      </c>
      <c r="F25" s="140" t="s">
        <v>777</v>
      </c>
      <c r="G25" s="45" t="s">
        <v>745</v>
      </c>
      <c r="H25" s="67">
        <v>1</v>
      </c>
      <c r="I25" s="67" t="str">
        <f t="shared" si="2"/>
        <v/>
      </c>
      <c r="J25" s="133"/>
      <c r="K25" s="133"/>
      <c r="L25" s="29"/>
      <c r="M25" s="29"/>
      <c r="N25" s="29"/>
      <c r="O25" s="29"/>
      <c r="P25" s="29"/>
      <c r="Q25" s="29"/>
      <c r="R25" s="29"/>
      <c r="S25" s="29"/>
      <c r="T25" s="57"/>
      <c r="U25" s="29"/>
      <c r="V25" s="29"/>
      <c r="W25" s="81"/>
      <c r="X25" s="85"/>
      <c r="Y25" s="81"/>
      <c r="AA25" s="59">
        <v>1</v>
      </c>
      <c r="AB25" s="59" t="str">
        <f t="shared" si="3"/>
        <v/>
      </c>
    </row>
    <row r="26" spans="1:28" s="55" customFormat="1" ht="30" customHeight="1" x14ac:dyDescent="0.2">
      <c r="A26" s="27">
        <v>280</v>
      </c>
      <c r="B26" s="28" t="str">
        <f t="shared" si="0"/>
        <v>2.1.06</v>
      </c>
      <c r="C26" s="29">
        <f t="shared" si="1"/>
        <v>4</v>
      </c>
      <c r="D26" s="3"/>
      <c r="E26" s="121">
        <v>18</v>
      </c>
      <c r="F26" s="140" t="s">
        <v>778</v>
      </c>
      <c r="G26" s="45" t="s">
        <v>766</v>
      </c>
      <c r="H26" s="67">
        <v>3</v>
      </c>
      <c r="I26" s="67" t="str">
        <f t="shared" si="2"/>
        <v/>
      </c>
      <c r="J26" s="133"/>
      <c r="K26" s="133"/>
      <c r="L26" s="29"/>
      <c r="M26" s="29"/>
      <c r="N26" s="29"/>
      <c r="O26" s="29"/>
      <c r="P26" s="29"/>
      <c r="Q26" s="29"/>
      <c r="R26" s="29"/>
      <c r="S26" s="29"/>
      <c r="T26" s="57"/>
      <c r="U26" s="29"/>
      <c r="V26" s="29"/>
      <c r="W26" s="81"/>
      <c r="X26" s="85"/>
      <c r="Y26" s="81"/>
      <c r="AA26" s="59"/>
      <c r="AB26" s="59"/>
    </row>
    <row r="27" spans="1:28" s="55" customFormat="1" ht="32" x14ac:dyDescent="0.2">
      <c r="A27" s="27">
        <v>281</v>
      </c>
      <c r="B27" s="28" t="str">
        <f t="shared" si="0"/>
        <v>2.1.06a</v>
      </c>
      <c r="C27" s="29">
        <f t="shared" si="1"/>
        <v>6</v>
      </c>
      <c r="D27" s="3"/>
      <c r="E27" s="121">
        <v>19</v>
      </c>
      <c r="F27" s="140" t="str">
        <f>VLOOKUP(A28,contentref,7,FALSE)</f>
        <v>Analyse all available information related to a potential cyber security incident?</v>
      </c>
      <c r="G27" s="45" t="s">
        <v>763</v>
      </c>
      <c r="H27" s="67">
        <v>2</v>
      </c>
      <c r="I27" s="67" t="str">
        <f t="shared" si="2"/>
        <v/>
      </c>
      <c r="J27" s="133"/>
      <c r="K27" s="133"/>
      <c r="L27" s="29"/>
      <c r="M27" s="29"/>
      <c r="N27" s="29"/>
      <c r="O27" s="29"/>
      <c r="P27" s="29"/>
      <c r="Q27" s="29"/>
      <c r="R27" s="29"/>
      <c r="S27" s="29"/>
      <c r="T27" s="57"/>
      <c r="U27" s="29"/>
      <c r="V27" s="29"/>
      <c r="W27" s="81"/>
      <c r="X27" s="85"/>
      <c r="Y27" s="81"/>
      <c r="AA27" s="59">
        <v>1</v>
      </c>
      <c r="AB27" s="59" t="str">
        <f>VLOOKUP(AA27,detail_maturity_score,3,FALSE)</f>
        <v/>
      </c>
    </row>
    <row r="28" spans="1:28" s="55" customFormat="1" ht="32" x14ac:dyDescent="0.2">
      <c r="A28" s="27">
        <v>282</v>
      </c>
      <c r="B28" s="28" t="str">
        <f t="shared" si="0"/>
        <v>2.1.06b</v>
      </c>
      <c r="C28" s="29">
        <f t="shared" si="1"/>
        <v>6</v>
      </c>
      <c r="D28" s="3"/>
      <c r="E28" s="121">
        <v>20</v>
      </c>
      <c r="F28" s="140" t="s">
        <v>779</v>
      </c>
      <c r="G28" s="45" t="s">
        <v>745</v>
      </c>
      <c r="H28" s="67">
        <v>1</v>
      </c>
      <c r="I28" s="67" t="str">
        <f t="shared" si="2"/>
        <v/>
      </c>
      <c r="J28" s="133"/>
      <c r="K28" s="133"/>
      <c r="L28" s="29"/>
      <c r="M28" s="29"/>
      <c r="N28" s="29"/>
      <c r="O28" s="29"/>
      <c r="P28" s="29"/>
      <c r="Q28" s="29"/>
      <c r="R28" s="29"/>
      <c r="S28" s="29"/>
      <c r="T28" s="57"/>
      <c r="U28" s="29"/>
      <c r="V28" s="29"/>
      <c r="W28" s="81"/>
      <c r="X28" s="85"/>
      <c r="Y28" s="81"/>
      <c r="AA28" s="59">
        <v>1</v>
      </c>
      <c r="AB28" s="59" t="str">
        <f>VLOOKUP(AA28,detail_maturity_score,3,FALSE)</f>
        <v/>
      </c>
    </row>
    <row r="29" spans="1:28" s="55" customFormat="1" ht="32" x14ac:dyDescent="0.2">
      <c r="A29" s="27">
        <v>283</v>
      </c>
      <c r="B29" s="28" t="str">
        <f t="shared" si="0"/>
        <v>2.1.06c</v>
      </c>
      <c r="C29" s="29">
        <f t="shared" si="1"/>
        <v>6</v>
      </c>
      <c r="D29" s="3"/>
      <c r="E29" s="121">
        <v>21</v>
      </c>
      <c r="F29" s="140" t="s">
        <v>780</v>
      </c>
      <c r="G29" s="45" t="s">
        <v>766</v>
      </c>
      <c r="H29" s="67">
        <v>3</v>
      </c>
      <c r="I29" s="67" t="str">
        <f t="shared" si="2"/>
        <v/>
      </c>
      <c r="J29" s="133"/>
      <c r="K29" s="133"/>
      <c r="L29" s="29"/>
      <c r="M29" s="29"/>
      <c r="N29" s="29"/>
      <c r="O29" s="29"/>
      <c r="P29" s="29"/>
      <c r="Q29" s="29"/>
      <c r="R29" s="29"/>
      <c r="S29" s="29"/>
      <c r="T29" s="57"/>
      <c r="U29" s="29"/>
      <c r="V29" s="29"/>
      <c r="W29" s="81"/>
      <c r="X29" s="85"/>
      <c r="Y29" s="81"/>
      <c r="AA29" s="59">
        <v>1</v>
      </c>
      <c r="AB29" s="59" t="str">
        <f>VLOOKUP(AA29,detail_maturity_score,3,FALSE)</f>
        <v/>
      </c>
    </row>
    <row r="30" spans="1:28" s="55" customFormat="1" ht="32" x14ac:dyDescent="0.2">
      <c r="A30" s="27">
        <v>284</v>
      </c>
      <c r="B30" s="28" t="str">
        <f t="shared" si="0"/>
        <v>2.1.06d</v>
      </c>
      <c r="C30" s="29">
        <f t="shared" si="1"/>
        <v>6</v>
      </c>
      <c r="D30" s="3"/>
      <c r="E30" s="121">
        <v>22</v>
      </c>
      <c r="F30" s="140" t="str">
        <f>VLOOKUP(A31,contentref,7,FALSE)</f>
        <v>When monitoring information from relevant technical sources, such as specialised security software (eg SIEM or IDS) do you:</v>
      </c>
      <c r="G30" s="45" t="s">
        <v>740</v>
      </c>
      <c r="H30" s="67">
        <v>1</v>
      </c>
      <c r="I30" s="67" t="str">
        <f t="shared" si="2"/>
        <v/>
      </c>
      <c r="J30" s="133"/>
      <c r="K30" s="133"/>
      <c r="L30" s="29"/>
      <c r="M30" s="29"/>
      <c r="N30" s="29"/>
      <c r="O30" s="29"/>
      <c r="P30" s="29"/>
      <c r="Q30" s="29"/>
      <c r="R30" s="29"/>
      <c r="S30" s="29"/>
      <c r="T30" s="57"/>
      <c r="U30" s="29"/>
      <c r="V30" s="29"/>
      <c r="W30" s="81"/>
      <c r="X30" s="85"/>
      <c r="Y30" s="81"/>
      <c r="AA30" s="59">
        <v>1</v>
      </c>
      <c r="AB30" s="59" t="str">
        <f>VLOOKUP(AA30,detail_maturity_score,3,FALSE)</f>
        <v/>
      </c>
    </row>
    <row r="31" spans="1:28" s="55" customFormat="1" ht="32" x14ac:dyDescent="0.2">
      <c r="A31" s="27">
        <v>285</v>
      </c>
      <c r="B31" s="28" t="str">
        <f t="shared" si="0"/>
        <v>2.1.07</v>
      </c>
      <c r="C31" s="29">
        <f t="shared" si="1"/>
        <v>4</v>
      </c>
      <c r="D31" s="3"/>
      <c r="E31" s="121">
        <v>23</v>
      </c>
      <c r="F31" s="140" t="s">
        <v>781</v>
      </c>
      <c r="G31" s="45" t="s">
        <v>740</v>
      </c>
      <c r="H31" s="67">
        <v>1</v>
      </c>
      <c r="I31" s="67" t="str">
        <f t="shared" si="2"/>
        <v/>
      </c>
      <c r="J31" s="133"/>
      <c r="K31" s="133"/>
      <c r="L31" s="29"/>
      <c r="M31" s="29"/>
      <c r="N31" s="29"/>
      <c r="O31" s="29"/>
      <c r="P31" s="29"/>
      <c r="Q31" s="29"/>
      <c r="R31" s="29"/>
      <c r="S31" s="29"/>
      <c r="T31" s="57"/>
      <c r="U31" s="29"/>
      <c r="V31" s="29"/>
      <c r="W31" s="81"/>
      <c r="X31" s="85"/>
      <c r="Y31" s="81"/>
      <c r="AA31" s="59"/>
      <c r="AB31" s="59"/>
    </row>
    <row r="32" spans="1:28" s="55" customFormat="1" ht="30" customHeight="1" x14ac:dyDescent="0.2">
      <c r="A32" s="27">
        <v>286</v>
      </c>
      <c r="B32" s="28" t="str">
        <f t="shared" si="0"/>
        <v>2.1.07a</v>
      </c>
      <c r="C32" s="29">
        <f t="shared" si="1"/>
        <v>6</v>
      </c>
      <c r="D32" s="3"/>
      <c r="E32" s="121">
        <v>24</v>
      </c>
      <c r="F32" s="140" t="s">
        <v>782</v>
      </c>
      <c r="G32" s="45" t="s">
        <v>740</v>
      </c>
      <c r="H32" s="67">
        <v>1</v>
      </c>
      <c r="I32" s="67" t="str">
        <f t="shared" si="2"/>
        <v/>
      </c>
      <c r="J32" s="133"/>
      <c r="K32" s="133"/>
      <c r="L32" s="29"/>
      <c r="M32" s="29"/>
      <c r="N32" s="29"/>
      <c r="O32" s="29"/>
      <c r="P32" s="29"/>
      <c r="Q32" s="29"/>
      <c r="R32" s="29"/>
      <c r="S32" s="29"/>
      <c r="T32" s="57"/>
      <c r="U32" s="29"/>
      <c r="V32" s="29"/>
      <c r="W32" s="81"/>
      <c r="X32" s="85"/>
      <c r="Y32" s="81"/>
      <c r="AA32" s="59">
        <v>1</v>
      </c>
      <c r="AB32" s="59" t="str">
        <f>VLOOKUP(AA32,detail_maturity_score,3,FALSE)</f>
        <v/>
      </c>
    </row>
    <row r="33" spans="1:28" s="55" customFormat="1" ht="30" customHeight="1" x14ac:dyDescent="0.2">
      <c r="A33" s="27">
        <v>287</v>
      </c>
      <c r="B33" s="28" t="str">
        <f t="shared" si="0"/>
        <v>2.1.07b</v>
      </c>
      <c r="C33" s="29">
        <f t="shared" si="1"/>
        <v>6</v>
      </c>
      <c r="D33" s="3"/>
      <c r="E33" s="121">
        <v>25</v>
      </c>
      <c r="F33" s="140" t="s">
        <v>783</v>
      </c>
      <c r="G33" s="45" t="s">
        <v>763</v>
      </c>
      <c r="H33" s="67">
        <v>2</v>
      </c>
      <c r="I33" s="67" t="str">
        <f t="shared" si="2"/>
        <v/>
      </c>
      <c r="J33" s="133"/>
      <c r="K33" s="133"/>
      <c r="L33" s="29"/>
      <c r="M33" s="29"/>
      <c r="N33" s="29"/>
      <c r="O33" s="29"/>
      <c r="P33" s="29"/>
      <c r="Q33" s="29"/>
      <c r="R33" s="29"/>
      <c r="S33" s="29"/>
      <c r="T33" s="57"/>
      <c r="U33" s="29"/>
      <c r="V33" s="29"/>
      <c r="W33" s="81"/>
      <c r="X33" s="85"/>
      <c r="Y33" s="81"/>
      <c r="AA33" s="59">
        <v>1</v>
      </c>
      <c r="AB33" s="59" t="str">
        <f>VLOOKUP(AA33,detail_maturity_score,3,FALSE)</f>
        <v/>
      </c>
    </row>
    <row r="34" spans="1:28" s="55" customFormat="1" ht="16" x14ac:dyDescent="0.2">
      <c r="A34" s="27">
        <v>288</v>
      </c>
      <c r="B34" s="28" t="str">
        <f t="shared" si="0"/>
        <v>2.1.07c</v>
      </c>
      <c r="C34" s="29">
        <f t="shared" si="1"/>
        <v>6</v>
      </c>
      <c r="D34" s="3"/>
      <c r="E34" s="121">
        <v>26</v>
      </c>
      <c r="F34" s="140" t="s">
        <v>784</v>
      </c>
      <c r="G34" s="45" t="s">
        <v>745</v>
      </c>
      <c r="H34" s="67">
        <v>1</v>
      </c>
      <c r="I34" s="67" t="str">
        <f t="shared" si="2"/>
        <v/>
      </c>
      <c r="J34" s="133"/>
      <c r="K34" s="133"/>
      <c r="L34" s="29"/>
      <c r="M34" s="29"/>
      <c r="N34" s="29"/>
      <c r="O34" s="29"/>
      <c r="P34" s="29"/>
      <c r="Q34" s="29"/>
      <c r="R34" s="29"/>
      <c r="S34" s="29"/>
      <c r="T34" s="57"/>
      <c r="U34" s="29"/>
      <c r="V34" s="29"/>
      <c r="W34" s="81"/>
      <c r="X34" s="85"/>
      <c r="Y34" s="81"/>
      <c r="AA34" s="59">
        <v>1</v>
      </c>
      <c r="AB34" s="59" t="str">
        <f>VLOOKUP(AA34,detail_maturity_score,3,FALSE)</f>
        <v/>
      </c>
    </row>
    <row r="35" spans="1:28" s="55" customFormat="1" ht="32" x14ac:dyDescent="0.2">
      <c r="A35" s="27">
        <v>289</v>
      </c>
      <c r="B35" s="28" t="str">
        <f t="shared" si="0"/>
        <v>2.1.07d</v>
      </c>
      <c r="C35" s="29">
        <f t="shared" si="1"/>
        <v>6</v>
      </c>
      <c r="D35" s="3"/>
      <c r="E35" s="121">
        <v>27</v>
      </c>
      <c r="F35" s="140" t="s">
        <v>785</v>
      </c>
      <c r="G35" s="45" t="s">
        <v>740</v>
      </c>
      <c r="H35" s="67">
        <v>1</v>
      </c>
      <c r="I35" s="67" t="str">
        <f t="shared" si="2"/>
        <v/>
      </c>
      <c r="J35" s="133"/>
      <c r="K35" s="133"/>
      <c r="L35" s="29"/>
      <c r="M35" s="29"/>
      <c r="N35" s="29"/>
      <c r="O35" s="29"/>
      <c r="P35" s="29"/>
      <c r="Q35" s="29"/>
      <c r="R35" s="29"/>
      <c r="S35" s="29"/>
      <c r="T35" s="57"/>
      <c r="U35" s="29"/>
      <c r="V35" s="29"/>
      <c r="W35" s="81"/>
      <c r="X35" s="85"/>
      <c r="Y35" s="81"/>
      <c r="AA35" s="59">
        <v>1</v>
      </c>
      <c r="AB35" s="59" t="str">
        <f>VLOOKUP(AA35,detail_maturity_score,3,FALSE)</f>
        <v/>
      </c>
    </row>
    <row r="36" spans="1:28" s="55" customFormat="1" ht="16" x14ac:dyDescent="0.2">
      <c r="A36" s="27">
        <v>290</v>
      </c>
      <c r="B36" s="28" t="str">
        <f t="shared" si="0"/>
        <v>2.1.07e</v>
      </c>
      <c r="C36" s="29">
        <f t="shared" si="1"/>
        <v>6</v>
      </c>
      <c r="D36" s="3"/>
      <c r="E36" s="121">
        <v>28</v>
      </c>
      <c r="F36" s="140" t="s">
        <v>786</v>
      </c>
      <c r="G36" s="45" t="s">
        <v>766</v>
      </c>
      <c r="H36" s="67">
        <v>3</v>
      </c>
      <c r="I36" s="67" t="str">
        <f t="shared" si="2"/>
        <v/>
      </c>
      <c r="J36" s="133"/>
      <c r="K36" s="133"/>
      <c r="L36" s="29"/>
      <c r="M36" s="29"/>
      <c r="N36" s="29"/>
      <c r="O36" s="29"/>
      <c r="P36" s="29"/>
      <c r="Q36" s="29"/>
      <c r="R36" s="29"/>
      <c r="S36" s="29"/>
      <c r="T36" s="57"/>
      <c r="U36" s="29"/>
      <c r="V36" s="29"/>
      <c r="W36" s="81"/>
      <c r="X36" s="85"/>
      <c r="Y36" s="81"/>
      <c r="AA36" s="59">
        <v>1</v>
      </c>
      <c r="AB36" s="59" t="str">
        <f>VLOOKUP(AA36,detail_maturity_score,3,FALSE)</f>
        <v/>
      </c>
    </row>
    <row r="37" spans="1:28" s="55" customFormat="1" ht="30" customHeight="1" x14ac:dyDescent="0.2">
      <c r="A37" s="27">
        <v>291</v>
      </c>
      <c r="B37" s="28" t="str">
        <f t="shared" si="0"/>
        <v>2.1.08</v>
      </c>
      <c r="C37" s="29">
        <f t="shared" si="1"/>
        <v>4</v>
      </c>
      <c r="D37" s="3"/>
      <c r="E37" s="121">
        <v>29</v>
      </c>
      <c r="F37" s="140" t="s">
        <v>782</v>
      </c>
      <c r="G37" s="45" t="s">
        <v>763</v>
      </c>
      <c r="H37" s="67">
        <v>2</v>
      </c>
      <c r="I37" s="67" t="str">
        <f t="shared" si="2"/>
        <v/>
      </c>
      <c r="J37" s="133"/>
      <c r="K37" s="133"/>
      <c r="L37" s="29"/>
      <c r="M37" s="29"/>
      <c r="N37" s="29"/>
      <c r="O37" s="29"/>
      <c r="P37" s="29"/>
      <c r="Q37" s="29"/>
      <c r="R37" s="29"/>
      <c r="S37" s="29"/>
      <c r="T37" s="57"/>
      <c r="U37" s="29"/>
      <c r="V37" s="29"/>
      <c r="W37" s="81"/>
      <c r="X37" s="85"/>
      <c r="Y37" s="81"/>
      <c r="AA37" s="59"/>
      <c r="AB37" s="59"/>
    </row>
    <row r="38" spans="1:28" s="55" customFormat="1" ht="16" x14ac:dyDescent="0.2">
      <c r="A38" s="27">
        <v>292</v>
      </c>
      <c r="B38" s="28" t="str">
        <f t="shared" si="0"/>
        <v>2.1.08a</v>
      </c>
      <c r="C38" s="29">
        <f t="shared" si="1"/>
        <v>6</v>
      </c>
      <c r="D38" s="3"/>
      <c r="E38" s="121">
        <v>30</v>
      </c>
      <c r="F38" s="140" t="s">
        <v>787</v>
      </c>
      <c r="G38" s="45" t="s">
        <v>745</v>
      </c>
      <c r="H38" s="67">
        <v>1</v>
      </c>
      <c r="I38" s="67" t="str">
        <f t="shared" si="2"/>
        <v/>
      </c>
      <c r="J38" s="133"/>
      <c r="K38" s="133"/>
      <c r="L38" s="29"/>
      <c r="M38" s="29"/>
      <c r="N38" s="29"/>
      <c r="O38" s="29"/>
      <c r="P38" s="29"/>
      <c r="Q38" s="29"/>
      <c r="R38" s="29"/>
      <c r="S38" s="29"/>
      <c r="T38" s="57"/>
      <c r="U38" s="29"/>
      <c r="V38" s="29"/>
      <c r="W38" s="81"/>
      <c r="X38" s="85"/>
      <c r="Y38" s="81"/>
      <c r="AA38" s="59">
        <v>1</v>
      </c>
      <c r="AB38" s="59" t="str">
        <f t="shared" ref="AB38:AB44" si="4">VLOOKUP(AA38,detail_maturity_score,3,FALSE)</f>
        <v/>
      </c>
    </row>
    <row r="39" spans="1:28" s="55" customFormat="1" ht="32" x14ac:dyDescent="0.2">
      <c r="A39" s="27">
        <v>293</v>
      </c>
      <c r="B39" s="28" t="str">
        <f t="shared" si="0"/>
        <v>2.1.08b</v>
      </c>
      <c r="C39" s="29">
        <f t="shared" si="1"/>
        <v>6</v>
      </c>
      <c r="D39" s="3"/>
      <c r="E39" s="121">
        <v>31</v>
      </c>
      <c r="F39" s="36" t="s">
        <v>788</v>
      </c>
      <c r="G39" s="45" t="s">
        <v>740</v>
      </c>
      <c r="H39" s="67">
        <v>1</v>
      </c>
      <c r="I39" s="67" t="str">
        <f t="shared" si="2"/>
        <v/>
      </c>
      <c r="J39" s="133"/>
      <c r="K39" s="133"/>
      <c r="L39" s="29"/>
      <c r="M39" s="29"/>
      <c r="N39" s="29"/>
      <c r="O39" s="29"/>
      <c r="P39" s="29"/>
      <c r="Q39" s="29"/>
      <c r="R39" s="29"/>
      <c r="S39" s="29"/>
      <c r="T39" s="57"/>
      <c r="U39" s="29"/>
      <c r="V39" s="29"/>
      <c r="W39" s="81"/>
      <c r="X39" s="85"/>
      <c r="Y39" s="81"/>
      <c r="AA39" s="59">
        <v>1</v>
      </c>
      <c r="AB39" s="59" t="str">
        <f t="shared" si="4"/>
        <v/>
      </c>
    </row>
    <row r="40" spans="1:28" s="55" customFormat="1" ht="16" x14ac:dyDescent="0.2">
      <c r="A40" s="27">
        <v>294</v>
      </c>
      <c r="B40" s="28" t="str">
        <f t="shared" si="0"/>
        <v>2.1.08c</v>
      </c>
      <c r="C40" s="29">
        <f t="shared" si="1"/>
        <v>6</v>
      </c>
      <c r="D40" s="3"/>
      <c r="E40" s="4"/>
      <c r="F40" s="4" t="s">
        <v>755</v>
      </c>
      <c r="G40" s="31"/>
      <c r="H40" s="67">
        <f>SUM(H9:H39)</f>
        <v>47</v>
      </c>
      <c r="I40" s="67" t="str">
        <f>IF(ISERROR(VLOOKUP(AA41,detail_maturity_score,3,FALSE)*VLOOKUP(H40,weighting_scores,2,FALSE)),"",VLOOKUP(AA41,detail_maturity_score,3,FALSE)*VLOOKUP(H40,weighting_scores,2,FALSE))</f>
        <v/>
      </c>
      <c r="J40" s="31"/>
      <c r="K40" s="133"/>
      <c r="L40" s="29"/>
      <c r="M40" s="29"/>
      <c r="N40" s="29"/>
      <c r="O40" s="29"/>
      <c r="P40" s="29"/>
      <c r="Q40" s="29"/>
      <c r="R40" s="29"/>
      <c r="S40" s="29"/>
      <c r="T40" s="57"/>
      <c r="U40" s="29"/>
      <c r="V40" s="29"/>
      <c r="W40" s="81"/>
      <c r="X40" s="85"/>
      <c r="Y40" s="81"/>
      <c r="AA40" s="59">
        <v>1</v>
      </c>
      <c r="AB40" s="59" t="str">
        <f t="shared" si="4"/>
        <v/>
      </c>
    </row>
    <row r="41" spans="1:28" s="55" customFormat="1" ht="16" x14ac:dyDescent="0.2">
      <c r="A41" s="27">
        <v>295</v>
      </c>
      <c r="B41" s="28" t="str">
        <f t="shared" si="0"/>
        <v>2.1.08d</v>
      </c>
      <c r="C41" s="29">
        <f t="shared" si="1"/>
        <v>6</v>
      </c>
      <c r="D41" s="3"/>
      <c r="E41" s="4"/>
      <c r="F41" s="4"/>
      <c r="G41" s="31"/>
      <c r="H41" s="31"/>
      <c r="I41" s="31"/>
      <c r="J41" s="133"/>
      <c r="K41" s="133"/>
      <c r="L41" s="29"/>
      <c r="M41" s="29"/>
      <c r="N41" s="29"/>
      <c r="O41" s="29"/>
      <c r="P41" s="29"/>
      <c r="Q41" s="29"/>
      <c r="R41" s="29"/>
      <c r="S41" s="29"/>
      <c r="T41" s="57"/>
      <c r="U41" s="29"/>
      <c r="V41" s="29"/>
      <c r="W41" s="81"/>
      <c r="X41" s="85"/>
      <c r="Y41" s="81"/>
      <c r="AA41" s="59">
        <v>1</v>
      </c>
      <c r="AB41" s="59" t="str">
        <f t="shared" si="4"/>
        <v/>
      </c>
    </row>
    <row r="42" spans="1:28" s="55" customFormat="1" ht="30" customHeight="1" x14ac:dyDescent="0.2">
      <c r="A42" s="27">
        <v>296</v>
      </c>
      <c r="B42" s="28" t="str">
        <f t="shared" si="0"/>
        <v>2.1.08e</v>
      </c>
      <c r="C42" s="29">
        <f t="shared" si="1"/>
        <v>6</v>
      </c>
      <c r="D42" s="3"/>
      <c r="E42" s="4"/>
      <c r="F42" s="4"/>
      <c r="G42" s="31"/>
      <c r="H42" s="67" t="str">
        <f>IF(ISERROR(VLOOKUP(#REF!,#REF!,6,FALSE)),"",IF(VLOOKUP(#REF!,#REF!,6,FALSE)=0,"",VLOOKUP(#REF!,#REF!,6,FALSE)))</f>
        <v/>
      </c>
      <c r="I42" s="67" t="str">
        <f t="shared" ref="I42:I105" si="5">IF(ISERROR(VLOOKUP(AA43,detail_maturity_score,3,FALSE)*VLOOKUP(H42,weighting_scores,2,FALSE)),"",VLOOKUP(AA43,detail_maturity_score,3,FALSE)*VLOOKUP(H42,weighting_scores,2,FALSE))</f>
        <v/>
      </c>
      <c r="J42" s="133"/>
      <c r="K42" s="133"/>
      <c r="L42" s="29"/>
      <c r="M42" s="29"/>
      <c r="N42" s="29"/>
      <c r="O42" s="29"/>
      <c r="P42" s="29"/>
      <c r="Q42" s="29"/>
      <c r="R42" s="29"/>
      <c r="S42" s="29"/>
      <c r="T42" s="57"/>
      <c r="U42" s="29"/>
      <c r="V42" s="29"/>
      <c r="W42" s="81"/>
      <c r="X42" s="85"/>
      <c r="Y42" s="81"/>
      <c r="AA42" s="59">
        <v>1</v>
      </c>
      <c r="AB42" s="59" t="str">
        <f t="shared" si="4"/>
        <v/>
      </c>
    </row>
    <row r="43" spans="1:28" s="55" customFormat="1" ht="16" x14ac:dyDescent="0.2">
      <c r="A43" s="27">
        <v>297</v>
      </c>
      <c r="B43" s="28" t="str">
        <f t="shared" si="0"/>
        <v>2.1.08f</v>
      </c>
      <c r="C43" s="29">
        <f t="shared" si="1"/>
        <v>6</v>
      </c>
      <c r="D43" s="3"/>
      <c r="E43" s="4"/>
      <c r="F43" s="4"/>
      <c r="G43" s="31"/>
      <c r="H43" s="67" t="str">
        <f>IF(ISERROR(VLOOKUP(#REF!,#REF!,6,FALSE)),"",IF(VLOOKUP(#REF!,#REF!,6,FALSE)=0,"",VLOOKUP(#REF!,#REF!,6,FALSE)))</f>
        <v/>
      </c>
      <c r="I43" s="67" t="str">
        <f t="shared" si="5"/>
        <v/>
      </c>
      <c r="J43" s="133"/>
      <c r="K43" s="133"/>
      <c r="L43" s="29"/>
      <c r="M43" s="29"/>
      <c r="N43" s="29"/>
      <c r="O43" s="29"/>
      <c r="P43" s="29"/>
      <c r="Q43" s="29"/>
      <c r="R43" s="29"/>
      <c r="S43" s="29"/>
      <c r="T43" s="57"/>
      <c r="U43" s="29"/>
      <c r="V43" s="29"/>
      <c r="W43" s="81"/>
      <c r="X43" s="85"/>
      <c r="Y43" s="81"/>
      <c r="AA43" s="59">
        <v>1</v>
      </c>
      <c r="AB43" s="59" t="str">
        <f t="shared" si="4"/>
        <v/>
      </c>
    </row>
    <row r="44" spans="1:28" s="55" customFormat="1" ht="30" customHeight="1" x14ac:dyDescent="0.2">
      <c r="A44" s="27">
        <v>298</v>
      </c>
      <c r="B44" s="28" t="str">
        <f t="shared" si="0"/>
        <v>2.1.09</v>
      </c>
      <c r="C44" s="29">
        <f t="shared" si="1"/>
        <v>5</v>
      </c>
      <c r="D44" s="3"/>
      <c r="E44" s="4"/>
      <c r="F44" s="4"/>
      <c r="G44" s="31"/>
      <c r="H44" s="67" t="str">
        <f>IF(ISERROR(VLOOKUP(#REF!,#REF!,6,FALSE)),"",IF(VLOOKUP(#REF!,#REF!,6,FALSE)=0,"",VLOOKUP(#REF!,#REF!,6,FALSE)))</f>
        <v/>
      </c>
      <c r="I44" s="67" t="str">
        <f t="shared" si="5"/>
        <v/>
      </c>
      <c r="J44" s="133"/>
      <c r="K44" s="133"/>
      <c r="L44" s="29"/>
      <c r="M44" s="29"/>
      <c r="N44" s="29"/>
      <c r="O44" s="29"/>
      <c r="P44" s="29"/>
      <c r="Q44" s="29"/>
      <c r="R44" s="29"/>
      <c r="S44" s="29"/>
      <c r="T44" s="57"/>
      <c r="U44" s="29"/>
      <c r="V44" s="29"/>
      <c r="W44" s="81"/>
      <c r="X44" s="85"/>
      <c r="Y44" s="81"/>
      <c r="AA44" s="59">
        <v>1</v>
      </c>
      <c r="AB44" s="59" t="str">
        <f t="shared" si="4"/>
        <v/>
      </c>
    </row>
    <row r="45" spans="1:28" s="55" customFormat="1" ht="30" customHeight="1" x14ac:dyDescent="0.2">
      <c r="A45" s="27">
        <v>299</v>
      </c>
      <c r="B45" s="28" t="str">
        <f t="shared" si="0"/>
        <v>2.1.10</v>
      </c>
      <c r="C45" s="29">
        <f t="shared" si="1"/>
        <v>4</v>
      </c>
      <c r="D45" s="3"/>
      <c r="E45" s="4"/>
      <c r="F45" s="4"/>
      <c r="G45" s="31"/>
      <c r="H45" s="67" t="str">
        <f>IF(ISERROR(VLOOKUP(#REF!,#REF!,6,FALSE)),"",IF(VLOOKUP(#REF!,#REF!,6,FALSE)=0,"",VLOOKUP(#REF!,#REF!,6,FALSE)))</f>
        <v/>
      </c>
      <c r="I45" s="67" t="str">
        <f t="shared" si="5"/>
        <v/>
      </c>
      <c r="J45" s="133"/>
      <c r="K45" s="133"/>
      <c r="L45" s="29"/>
      <c r="M45" s="29"/>
      <c r="N45" s="29"/>
      <c r="O45" s="29"/>
      <c r="P45" s="29"/>
      <c r="Q45" s="29"/>
      <c r="R45" s="29"/>
      <c r="S45" s="29"/>
      <c r="T45" s="57"/>
      <c r="U45" s="29"/>
      <c r="V45" s="29"/>
      <c r="W45" s="81"/>
      <c r="X45" s="85"/>
      <c r="Y45" s="81"/>
      <c r="AA45" s="59"/>
      <c r="AB45" s="59"/>
    </row>
    <row r="46" spans="1:28" s="55" customFormat="1" ht="16" x14ac:dyDescent="0.2">
      <c r="A46" s="27">
        <v>300</v>
      </c>
      <c r="B46" s="28" t="str">
        <f t="shared" si="0"/>
        <v>2.1.10a</v>
      </c>
      <c r="C46" s="29">
        <f t="shared" si="1"/>
        <v>6</v>
      </c>
      <c r="D46" s="3"/>
      <c r="E46" s="4"/>
      <c r="F46" s="4"/>
      <c r="G46" s="31"/>
      <c r="H46" s="67" t="str">
        <f>IF(ISERROR(VLOOKUP(#REF!,#REF!,6,FALSE)),"",IF(VLOOKUP(#REF!,#REF!,6,FALSE)=0,"",VLOOKUP(#REF!,#REF!,6,FALSE)))</f>
        <v/>
      </c>
      <c r="I46" s="67" t="str">
        <f t="shared" si="5"/>
        <v/>
      </c>
      <c r="J46" s="133"/>
      <c r="K46" s="133"/>
      <c r="L46" s="29"/>
      <c r="M46" s="29"/>
      <c r="N46" s="29"/>
      <c r="O46" s="29"/>
      <c r="P46" s="29"/>
      <c r="Q46" s="29"/>
      <c r="R46" s="29"/>
      <c r="S46" s="29"/>
      <c r="T46" s="57"/>
      <c r="U46" s="29"/>
      <c r="V46" s="29"/>
      <c r="W46" s="81"/>
      <c r="X46" s="85"/>
      <c r="Y46" s="81"/>
      <c r="AA46" s="59">
        <v>1</v>
      </c>
      <c r="AB46" s="59" t="str">
        <f>VLOOKUP(AA46,detail_maturity_score,3,FALSE)</f>
        <v/>
      </c>
    </row>
    <row r="47" spans="1:28" s="55" customFormat="1" ht="30" customHeight="1" x14ac:dyDescent="0.2">
      <c r="A47" s="27">
        <v>301</v>
      </c>
      <c r="B47" s="28" t="str">
        <f t="shared" si="0"/>
        <v>2.1.10b</v>
      </c>
      <c r="C47" s="29">
        <f t="shared" si="1"/>
        <v>6</v>
      </c>
      <c r="D47" s="3"/>
      <c r="E47" s="4"/>
      <c r="F47" s="4"/>
      <c r="G47" s="40"/>
      <c r="H47" s="68" t="str">
        <f>IF(ISERROR(VLOOKUP(#REF!,#REF!,6,FALSE)),"",IF(VLOOKUP(#REF!,#REF!,6,FALSE)=0,"",VLOOKUP(#REF!,#REF!,6,FALSE)))</f>
        <v/>
      </c>
      <c r="I47" s="68" t="str">
        <f t="shared" si="5"/>
        <v/>
      </c>
      <c r="J47" s="133"/>
      <c r="K47" s="133"/>
      <c r="L47" s="29"/>
      <c r="M47" s="29"/>
      <c r="N47" s="29"/>
      <c r="O47" s="29"/>
      <c r="P47" s="29"/>
      <c r="Q47" s="29"/>
      <c r="R47" s="29"/>
      <c r="S47" s="29"/>
      <c r="T47" s="57"/>
      <c r="U47" s="29"/>
      <c r="V47" s="29"/>
      <c r="W47" s="81"/>
      <c r="X47" s="85"/>
      <c r="Y47" s="81"/>
      <c r="AA47" s="59">
        <v>1</v>
      </c>
      <c r="AB47" s="59" t="str">
        <f>VLOOKUP(AA47,detail_maturity_score,3,FALSE)</f>
        <v/>
      </c>
    </row>
    <row r="48" spans="1:28" s="55" customFormat="1" ht="20" x14ac:dyDescent="0.2">
      <c r="A48" s="27">
        <v>302</v>
      </c>
      <c r="B48" s="28" t="str">
        <f t="shared" si="0"/>
        <v>2.1.10c</v>
      </c>
      <c r="C48" s="29">
        <f t="shared" si="1"/>
        <v>6</v>
      </c>
      <c r="D48" s="3"/>
      <c r="E48" s="4"/>
      <c r="F48" s="4"/>
      <c r="G48" s="48"/>
      <c r="H48" s="49" t="str">
        <f>IF(ISERROR(VLOOKUP(#REF!,#REF!,6,FALSE)),"",IF(VLOOKUP(#REF!,#REF!,6,FALSE)=0,"",VLOOKUP(#REF!,#REF!,6,FALSE)))</f>
        <v/>
      </c>
      <c r="I48" s="49" t="str">
        <f t="shared" si="5"/>
        <v/>
      </c>
      <c r="J48" s="134"/>
      <c r="K48" s="134"/>
      <c r="L48" s="37"/>
      <c r="M48" s="37"/>
      <c r="N48" s="37"/>
      <c r="O48" s="37"/>
      <c r="P48" s="37"/>
      <c r="Q48" s="37"/>
      <c r="R48" s="37"/>
      <c r="S48" s="37"/>
      <c r="T48" s="77"/>
      <c r="U48" s="37"/>
      <c r="V48" s="37"/>
      <c r="W48" s="82"/>
      <c r="X48" s="86"/>
      <c r="Y48" s="82"/>
      <c r="Z48" s="56"/>
      <c r="AA48" s="58">
        <v>1</v>
      </c>
      <c r="AB48" s="58" t="str">
        <f>VLOOKUP(AA48,detail_maturity_score,3,FALSE)</f>
        <v/>
      </c>
    </row>
    <row r="49" spans="1:28" s="54" customFormat="1" ht="30" customHeight="1" x14ac:dyDescent="0.2">
      <c r="A49" s="27">
        <v>303</v>
      </c>
      <c r="B49" s="28" t="str">
        <f t="shared" si="0"/>
        <v>2.2</v>
      </c>
      <c r="C49" s="29">
        <f t="shared" si="1"/>
        <v>2</v>
      </c>
      <c r="D49" s="3"/>
      <c r="E49" s="4"/>
      <c r="F49" s="4"/>
      <c r="G49" s="43"/>
      <c r="H49" s="69" t="str">
        <f>IF(ISERROR(VLOOKUP(#REF!,#REF!,6,FALSE)),"",IF(VLOOKUP(#REF!,#REF!,6,FALSE)=0,"",VLOOKUP(#REF!,#REF!,6,FALSE)))</f>
        <v/>
      </c>
      <c r="I49" s="69" t="str">
        <f t="shared" si="5"/>
        <v/>
      </c>
      <c r="J49" s="49"/>
      <c r="K49" s="49"/>
      <c r="L49" s="49"/>
      <c r="M49" s="48"/>
      <c r="N49" s="48"/>
      <c r="O49" s="48"/>
      <c r="P49" s="48"/>
      <c r="Q49" s="48"/>
      <c r="R49" s="48"/>
      <c r="S49" s="48"/>
      <c r="T49" s="48"/>
      <c r="U49" s="48"/>
      <c r="V49" s="48"/>
      <c r="W49" s="79"/>
      <c r="X49" s="79"/>
      <c r="Y49" s="83"/>
    </row>
    <row r="50" spans="1:28" s="53" customFormat="1" ht="18.75" customHeight="1" x14ac:dyDescent="0.2">
      <c r="A50" s="27">
        <v>304</v>
      </c>
      <c r="B50" s="29" t="str">
        <f t="shared" si="0"/>
        <v/>
      </c>
      <c r="C50" s="29">
        <f t="shared" si="1"/>
        <v>3</v>
      </c>
      <c r="D50" s="3"/>
      <c r="E50" s="4"/>
      <c r="F50" s="4"/>
      <c r="G50" s="31"/>
      <c r="H50" s="67" t="str">
        <f>IF(ISERROR(VLOOKUP(#REF!,#REF!,6,FALSE)),"",IF(VLOOKUP(#REF!,#REF!,6,FALSE)=0,"",VLOOKUP(#REF!,#REF!,6,FALSE)))</f>
        <v/>
      </c>
      <c r="I50" s="67" t="str">
        <f t="shared" si="5"/>
        <v/>
      </c>
      <c r="J50" s="132"/>
      <c r="K50" s="132"/>
      <c r="L50" s="43"/>
      <c r="M50" s="43"/>
      <c r="N50" s="43"/>
      <c r="O50" s="43"/>
      <c r="P50" s="43"/>
      <c r="Q50" s="43"/>
      <c r="R50" s="43"/>
      <c r="S50" s="43"/>
      <c r="T50" s="78"/>
      <c r="U50" s="43"/>
      <c r="V50" s="43"/>
      <c r="W50" s="80"/>
      <c r="X50" s="80"/>
      <c r="Y50" s="80"/>
      <c r="AA50" s="59"/>
      <c r="AB50" s="59"/>
    </row>
    <row r="51" spans="1:28" s="55" customFormat="1" ht="30" customHeight="1" x14ac:dyDescent="0.2">
      <c r="A51" s="27">
        <v>305</v>
      </c>
      <c r="B51" s="28" t="str">
        <f t="shared" si="0"/>
        <v>2.2.01</v>
      </c>
      <c r="C51" s="29">
        <f t="shared" si="1"/>
        <v>5</v>
      </c>
      <c r="D51" s="3"/>
      <c r="E51" s="4"/>
      <c r="F51" s="4"/>
      <c r="G51" s="31"/>
      <c r="H51" s="67" t="str">
        <f>IF(ISERROR(VLOOKUP(#REF!,#REF!,6,FALSE)),"",IF(VLOOKUP(#REF!,#REF!,6,FALSE)=0,"",VLOOKUP(#REF!,#REF!,6,FALSE)))</f>
        <v/>
      </c>
      <c r="I51" s="67" t="str">
        <f t="shared" si="5"/>
        <v/>
      </c>
      <c r="J51" s="133"/>
      <c r="K51" s="133"/>
      <c r="L51" s="29"/>
      <c r="M51" s="29"/>
      <c r="N51" s="29"/>
      <c r="O51" s="29"/>
      <c r="P51" s="29"/>
      <c r="Q51" s="29"/>
      <c r="R51" s="29"/>
      <c r="S51" s="29"/>
      <c r="T51" s="57"/>
      <c r="U51" s="29"/>
      <c r="V51" s="29"/>
      <c r="W51" s="81"/>
      <c r="X51" s="85"/>
      <c r="Y51" s="81"/>
      <c r="AA51" s="59">
        <v>1</v>
      </c>
      <c r="AB51" s="59" t="str">
        <f>VLOOKUP(AA51,detail_maturity_score,3,FALSE)</f>
        <v/>
      </c>
    </row>
    <row r="52" spans="1:28" s="55" customFormat="1" ht="30" customHeight="1" x14ac:dyDescent="0.2">
      <c r="A52" s="27">
        <v>306</v>
      </c>
      <c r="B52" s="28" t="str">
        <f t="shared" si="0"/>
        <v>2.2.02</v>
      </c>
      <c r="C52" s="29">
        <f t="shared" si="1"/>
        <v>4</v>
      </c>
      <c r="D52" s="3"/>
      <c r="E52" s="4"/>
      <c r="F52" s="4"/>
      <c r="G52" s="31"/>
      <c r="H52" s="67" t="str">
        <f>IF(ISERROR(VLOOKUP(#REF!,#REF!,6,FALSE)),"",IF(VLOOKUP(#REF!,#REF!,6,FALSE)=0,"",VLOOKUP(#REF!,#REF!,6,FALSE)))</f>
        <v/>
      </c>
      <c r="I52" s="67" t="str">
        <f t="shared" si="5"/>
        <v/>
      </c>
      <c r="J52" s="133"/>
      <c r="K52" s="133"/>
      <c r="L52" s="29"/>
      <c r="M52" s="29"/>
      <c r="N52" s="29"/>
      <c r="O52" s="29"/>
      <c r="P52" s="29"/>
      <c r="Q52" s="29"/>
      <c r="R52" s="29"/>
      <c r="S52" s="29"/>
      <c r="T52" s="57"/>
      <c r="U52" s="29"/>
      <c r="V52" s="29"/>
      <c r="W52" s="81"/>
      <c r="X52" s="85"/>
      <c r="Y52" s="81"/>
      <c r="AA52" s="59"/>
      <c r="AB52" s="59"/>
    </row>
    <row r="53" spans="1:28" s="55" customFormat="1" ht="30" customHeight="1" x14ac:dyDescent="0.2">
      <c r="A53" s="27">
        <v>307</v>
      </c>
      <c r="B53" s="28" t="str">
        <f t="shared" si="0"/>
        <v>2.2.02a</v>
      </c>
      <c r="C53" s="29">
        <f t="shared" si="1"/>
        <v>6</v>
      </c>
      <c r="D53" s="3"/>
      <c r="E53" s="4"/>
      <c r="F53" s="4"/>
      <c r="G53" s="31"/>
      <c r="H53" s="67" t="str">
        <f>IF(ISERROR(VLOOKUP(#REF!,#REF!,6,FALSE)),"",IF(VLOOKUP(#REF!,#REF!,6,FALSE)=0,"",VLOOKUP(#REF!,#REF!,6,FALSE)))</f>
        <v/>
      </c>
      <c r="I53" s="67" t="str">
        <f t="shared" si="5"/>
        <v/>
      </c>
      <c r="J53" s="133"/>
      <c r="K53" s="133"/>
      <c r="L53" s="29"/>
      <c r="M53" s="29"/>
      <c r="N53" s="29"/>
      <c r="O53" s="29"/>
      <c r="P53" s="29"/>
      <c r="Q53" s="29"/>
      <c r="R53" s="29"/>
      <c r="S53" s="29"/>
      <c r="T53" s="57"/>
      <c r="U53" s="29"/>
      <c r="V53" s="29"/>
      <c r="W53" s="81"/>
      <c r="X53" s="85"/>
      <c r="Y53" s="81"/>
      <c r="AA53" s="59">
        <v>1</v>
      </c>
      <c r="AB53" s="59" t="str">
        <f>VLOOKUP(AA53,detail_maturity_score,3,FALSE)</f>
        <v/>
      </c>
    </row>
    <row r="54" spans="1:28" s="55" customFormat="1" ht="30" customHeight="1" x14ac:dyDescent="0.2">
      <c r="A54" s="27">
        <v>308</v>
      </c>
      <c r="B54" s="28" t="str">
        <f t="shared" si="0"/>
        <v>2.2.02b</v>
      </c>
      <c r="C54" s="29">
        <f t="shared" si="1"/>
        <v>6</v>
      </c>
      <c r="D54" s="3"/>
      <c r="E54" s="4"/>
      <c r="F54" s="4"/>
      <c r="G54" s="31"/>
      <c r="H54" s="67" t="str">
        <f>IF(ISERROR(VLOOKUP(#REF!,#REF!,6,FALSE)),"",IF(VLOOKUP(#REF!,#REF!,6,FALSE)=0,"",VLOOKUP(#REF!,#REF!,6,FALSE)))</f>
        <v/>
      </c>
      <c r="I54" s="67" t="str">
        <f t="shared" si="5"/>
        <v/>
      </c>
      <c r="J54" s="133"/>
      <c r="K54" s="133"/>
      <c r="L54" s="29"/>
      <c r="M54" s="29"/>
      <c r="N54" s="29"/>
      <c r="O54" s="29"/>
      <c r="P54" s="29"/>
      <c r="Q54" s="29"/>
      <c r="R54" s="29"/>
      <c r="S54" s="29"/>
      <c r="T54" s="57"/>
      <c r="U54" s="29"/>
      <c r="V54" s="29"/>
      <c r="W54" s="81"/>
      <c r="X54" s="85"/>
      <c r="Y54" s="81"/>
      <c r="AA54" s="59">
        <v>1</v>
      </c>
      <c r="AB54" s="59" t="str">
        <f>VLOOKUP(AA54,detail_maturity_score,3,FALSE)</f>
        <v/>
      </c>
    </row>
    <row r="55" spans="1:28" s="55" customFormat="1" ht="30" customHeight="1" x14ac:dyDescent="0.2">
      <c r="A55" s="27">
        <v>309</v>
      </c>
      <c r="B55" s="28" t="str">
        <f t="shared" si="0"/>
        <v>2.2.02c</v>
      </c>
      <c r="C55" s="29">
        <f t="shared" si="1"/>
        <v>6</v>
      </c>
      <c r="D55" s="3"/>
      <c r="E55" s="4"/>
      <c r="F55" s="4"/>
      <c r="G55" s="31"/>
      <c r="H55" s="67" t="str">
        <f>IF(ISERROR(VLOOKUP(#REF!,#REF!,6,FALSE)),"",IF(VLOOKUP(#REF!,#REF!,6,FALSE)=0,"",VLOOKUP(#REF!,#REF!,6,FALSE)))</f>
        <v/>
      </c>
      <c r="I55" s="67" t="str">
        <f t="shared" si="5"/>
        <v/>
      </c>
      <c r="J55" s="133"/>
      <c r="K55" s="133"/>
      <c r="L55" s="29"/>
      <c r="M55" s="29"/>
      <c r="N55" s="29"/>
      <c r="O55" s="29"/>
      <c r="P55" s="29"/>
      <c r="Q55" s="29"/>
      <c r="R55" s="29"/>
      <c r="S55" s="29"/>
      <c r="T55" s="57"/>
      <c r="U55" s="29"/>
      <c r="V55" s="29"/>
      <c r="W55" s="81"/>
      <c r="X55" s="85"/>
      <c r="Y55" s="81"/>
      <c r="AA55" s="59">
        <v>1</v>
      </c>
      <c r="AB55" s="59" t="str">
        <f>VLOOKUP(AA55,detail_maturity_score,3,FALSE)</f>
        <v/>
      </c>
    </row>
    <row r="56" spans="1:28" s="55" customFormat="1" ht="30" customHeight="1" x14ac:dyDescent="0.2">
      <c r="A56" s="27">
        <v>310</v>
      </c>
      <c r="B56" s="28" t="str">
        <f t="shared" si="0"/>
        <v>2.2.03</v>
      </c>
      <c r="C56" s="29">
        <f t="shared" si="1"/>
        <v>4</v>
      </c>
      <c r="D56" s="3"/>
      <c r="E56" s="4"/>
      <c r="F56" s="4"/>
      <c r="G56" s="31"/>
      <c r="H56" s="67" t="str">
        <f>IF(ISERROR(VLOOKUP(#REF!,#REF!,6,FALSE)),"",IF(VLOOKUP(#REF!,#REF!,6,FALSE)=0,"",VLOOKUP(#REF!,#REF!,6,FALSE)))</f>
        <v/>
      </c>
      <c r="I56" s="67" t="str">
        <f t="shared" si="5"/>
        <v/>
      </c>
      <c r="J56" s="133"/>
      <c r="K56" s="133"/>
      <c r="L56" s="29"/>
      <c r="M56" s="29"/>
      <c r="N56" s="29"/>
      <c r="O56" s="29"/>
      <c r="P56" s="29"/>
      <c r="Q56" s="29"/>
      <c r="R56" s="29"/>
      <c r="S56" s="29"/>
      <c r="T56" s="57"/>
      <c r="U56" s="29"/>
      <c r="V56" s="29"/>
      <c r="W56" s="81"/>
      <c r="X56" s="85"/>
      <c r="Y56" s="81"/>
      <c r="AA56" s="59"/>
      <c r="AB56" s="59"/>
    </row>
    <row r="57" spans="1:28" s="55" customFormat="1" ht="16" x14ac:dyDescent="0.2">
      <c r="A57" s="27">
        <v>311</v>
      </c>
      <c r="B57" s="28" t="str">
        <f t="shared" si="0"/>
        <v>2.2.03a</v>
      </c>
      <c r="C57" s="29">
        <f t="shared" si="1"/>
        <v>6</v>
      </c>
      <c r="D57" s="3"/>
      <c r="E57" s="4"/>
      <c r="F57" s="4"/>
      <c r="G57" s="31"/>
      <c r="H57" s="67" t="str">
        <f>IF(ISERROR(VLOOKUP(#REF!,#REF!,6,FALSE)),"",IF(VLOOKUP(#REF!,#REF!,6,FALSE)=0,"",VLOOKUP(#REF!,#REF!,6,FALSE)))</f>
        <v/>
      </c>
      <c r="I57" s="67" t="str">
        <f t="shared" si="5"/>
        <v/>
      </c>
      <c r="J57" s="133"/>
      <c r="K57" s="133"/>
      <c r="L57" s="29"/>
      <c r="M57" s="29"/>
      <c r="N57" s="29"/>
      <c r="O57" s="29"/>
      <c r="P57" s="29"/>
      <c r="Q57" s="29"/>
      <c r="R57" s="29"/>
      <c r="S57" s="29"/>
      <c r="T57" s="57"/>
      <c r="U57" s="29"/>
      <c r="V57" s="29"/>
      <c r="W57" s="81"/>
      <c r="X57" s="85"/>
      <c r="Y57" s="81"/>
      <c r="AA57" s="59">
        <v>1</v>
      </c>
      <c r="AB57" s="59" t="str">
        <f t="shared" ref="AB57:AB62" si="6">VLOOKUP(AA57,detail_maturity_score,3,FALSE)</f>
        <v/>
      </c>
    </row>
    <row r="58" spans="1:28" s="55" customFormat="1" ht="16" x14ac:dyDescent="0.2">
      <c r="A58" s="27">
        <v>312</v>
      </c>
      <c r="B58" s="28" t="str">
        <f t="shared" si="0"/>
        <v>2.2.03b</v>
      </c>
      <c r="C58" s="29">
        <f t="shared" si="1"/>
        <v>6</v>
      </c>
      <c r="D58" s="3"/>
      <c r="E58" s="4"/>
      <c r="F58" s="4"/>
      <c r="G58" s="31"/>
      <c r="H58" s="67" t="str">
        <f>IF(ISERROR(VLOOKUP(#REF!,#REF!,6,FALSE)),"",IF(VLOOKUP(#REF!,#REF!,6,FALSE)=0,"",VLOOKUP(#REF!,#REF!,6,FALSE)))</f>
        <v/>
      </c>
      <c r="I58" s="67" t="str">
        <f t="shared" si="5"/>
        <v/>
      </c>
      <c r="J58" s="133"/>
      <c r="K58" s="133"/>
      <c r="L58" s="29"/>
      <c r="M58" s="29"/>
      <c r="N58" s="29"/>
      <c r="O58" s="29"/>
      <c r="P58" s="29"/>
      <c r="Q58" s="29"/>
      <c r="R58" s="29"/>
      <c r="S58" s="29"/>
      <c r="T58" s="57"/>
      <c r="U58" s="29"/>
      <c r="V58" s="29"/>
      <c r="W58" s="81"/>
      <c r="X58" s="85"/>
      <c r="Y58" s="81"/>
      <c r="AA58" s="59">
        <v>1</v>
      </c>
      <c r="AB58" s="59" t="str">
        <f t="shared" si="6"/>
        <v/>
      </c>
    </row>
    <row r="59" spans="1:28" s="55" customFormat="1" ht="16" x14ac:dyDescent="0.2">
      <c r="A59" s="27">
        <v>313</v>
      </c>
      <c r="B59" s="28" t="str">
        <f t="shared" si="0"/>
        <v>2.2.03c</v>
      </c>
      <c r="C59" s="29">
        <f t="shared" si="1"/>
        <v>6</v>
      </c>
      <c r="D59" s="3"/>
      <c r="E59" s="4"/>
      <c r="F59" s="4"/>
      <c r="G59" s="31"/>
      <c r="H59" s="67" t="str">
        <f>IF(ISERROR(VLOOKUP(#REF!,#REF!,6,FALSE)),"",IF(VLOOKUP(#REF!,#REF!,6,FALSE)=0,"",VLOOKUP(#REF!,#REF!,6,FALSE)))</f>
        <v/>
      </c>
      <c r="I59" s="67" t="str">
        <f t="shared" si="5"/>
        <v/>
      </c>
      <c r="J59" s="133"/>
      <c r="K59" s="133"/>
      <c r="L59" s="29"/>
      <c r="M59" s="29"/>
      <c r="N59" s="29"/>
      <c r="O59" s="29"/>
      <c r="P59" s="29"/>
      <c r="Q59" s="29"/>
      <c r="R59" s="29"/>
      <c r="S59" s="29"/>
      <c r="T59" s="57"/>
      <c r="U59" s="29"/>
      <c r="V59" s="29"/>
      <c r="W59" s="81"/>
      <c r="X59" s="85"/>
      <c r="Y59" s="81"/>
      <c r="AA59" s="59">
        <v>1</v>
      </c>
      <c r="AB59" s="59" t="str">
        <f t="shared" si="6"/>
        <v/>
      </c>
    </row>
    <row r="60" spans="1:28" s="55" customFormat="1" ht="30" customHeight="1" x14ac:dyDescent="0.2">
      <c r="A60" s="27">
        <v>314</v>
      </c>
      <c r="B60" s="28" t="str">
        <f t="shared" si="0"/>
        <v>2.2.03d</v>
      </c>
      <c r="C60" s="29">
        <f t="shared" si="1"/>
        <v>6</v>
      </c>
      <c r="D60" s="3"/>
      <c r="E60" s="4"/>
      <c r="F60" s="4"/>
      <c r="G60" s="31"/>
      <c r="H60" s="67" t="str">
        <f>IF(ISERROR(VLOOKUP(#REF!,#REF!,6,FALSE)),"",IF(VLOOKUP(#REF!,#REF!,6,FALSE)=0,"",VLOOKUP(#REF!,#REF!,6,FALSE)))</f>
        <v/>
      </c>
      <c r="I60" s="67" t="str">
        <f t="shared" si="5"/>
        <v/>
      </c>
      <c r="J60" s="133"/>
      <c r="K60" s="133"/>
      <c r="L60" s="29"/>
      <c r="M60" s="29"/>
      <c r="N60" s="29"/>
      <c r="O60" s="29"/>
      <c r="P60" s="29"/>
      <c r="Q60" s="29"/>
      <c r="R60" s="29"/>
      <c r="S60" s="29"/>
      <c r="T60" s="57"/>
      <c r="U60" s="29"/>
      <c r="V60" s="29"/>
      <c r="W60" s="81"/>
      <c r="X60" s="85"/>
      <c r="Y60" s="81"/>
      <c r="AA60" s="59">
        <v>1</v>
      </c>
      <c r="AB60" s="59" t="str">
        <f t="shared" si="6"/>
        <v/>
      </c>
    </row>
    <row r="61" spans="1:28" s="55" customFormat="1" ht="16" x14ac:dyDescent="0.2">
      <c r="A61" s="27">
        <v>315</v>
      </c>
      <c r="B61" s="28" t="str">
        <f t="shared" si="0"/>
        <v>2.2.03e</v>
      </c>
      <c r="C61" s="29">
        <f t="shared" si="1"/>
        <v>6</v>
      </c>
      <c r="D61" s="3"/>
      <c r="E61" s="4"/>
      <c r="F61" s="4"/>
      <c r="G61" s="31"/>
      <c r="H61" s="67" t="str">
        <f>IF(ISERROR(VLOOKUP(#REF!,#REF!,6,FALSE)),"",IF(VLOOKUP(#REF!,#REF!,6,FALSE)=0,"",VLOOKUP(#REF!,#REF!,6,FALSE)))</f>
        <v/>
      </c>
      <c r="I61" s="67" t="str">
        <f t="shared" si="5"/>
        <v/>
      </c>
      <c r="J61" s="133"/>
      <c r="K61" s="133"/>
      <c r="L61" s="29"/>
      <c r="M61" s="29"/>
      <c r="N61" s="29"/>
      <c r="O61" s="29"/>
      <c r="P61" s="29"/>
      <c r="Q61" s="29"/>
      <c r="R61" s="29"/>
      <c r="S61" s="29"/>
      <c r="T61" s="57"/>
      <c r="U61" s="29"/>
      <c r="V61" s="29"/>
      <c r="W61" s="81"/>
      <c r="X61" s="85"/>
      <c r="Y61" s="81"/>
      <c r="AA61" s="59">
        <v>1</v>
      </c>
      <c r="AB61" s="59" t="str">
        <f t="shared" si="6"/>
        <v/>
      </c>
    </row>
    <row r="62" spans="1:28" s="55" customFormat="1" ht="16" x14ac:dyDescent="0.2">
      <c r="A62" s="27">
        <v>316</v>
      </c>
      <c r="B62" s="28" t="str">
        <f t="shared" si="0"/>
        <v>2.2.03f</v>
      </c>
      <c r="C62" s="29">
        <f t="shared" si="1"/>
        <v>6</v>
      </c>
      <c r="D62" s="3"/>
      <c r="E62" s="4"/>
      <c r="F62" s="4"/>
      <c r="G62" s="31"/>
      <c r="H62" s="67" t="str">
        <f>IF(ISERROR(VLOOKUP(#REF!,#REF!,6,FALSE)),"",IF(VLOOKUP(#REF!,#REF!,6,FALSE)=0,"",VLOOKUP(#REF!,#REF!,6,FALSE)))</f>
        <v/>
      </c>
      <c r="I62" s="67" t="str">
        <f t="shared" si="5"/>
        <v/>
      </c>
      <c r="J62" s="133"/>
      <c r="K62" s="133"/>
      <c r="L62" s="29"/>
      <c r="M62" s="29"/>
      <c r="N62" s="29"/>
      <c r="O62" s="29"/>
      <c r="P62" s="29"/>
      <c r="Q62" s="29"/>
      <c r="R62" s="29"/>
      <c r="S62" s="29"/>
      <c r="T62" s="57"/>
      <c r="U62" s="29"/>
      <c r="V62" s="29"/>
      <c r="W62" s="81"/>
      <c r="X62" s="85"/>
      <c r="Y62" s="81"/>
      <c r="AA62" s="59">
        <v>1</v>
      </c>
      <c r="AB62" s="59" t="str">
        <f t="shared" si="6"/>
        <v/>
      </c>
    </row>
    <row r="63" spans="1:28" s="55" customFormat="1" ht="30" customHeight="1" x14ac:dyDescent="0.2">
      <c r="A63" s="27">
        <v>317</v>
      </c>
      <c r="B63" s="28" t="str">
        <f t="shared" si="0"/>
        <v>2.2.04</v>
      </c>
      <c r="C63" s="29">
        <f t="shared" si="1"/>
        <v>4</v>
      </c>
      <c r="D63" s="3"/>
      <c r="E63" s="4"/>
      <c r="F63" s="4"/>
      <c r="G63" s="31"/>
      <c r="H63" s="67" t="str">
        <f>IF(ISERROR(VLOOKUP(#REF!,#REF!,6,FALSE)),"",IF(VLOOKUP(#REF!,#REF!,6,FALSE)=0,"",VLOOKUP(#REF!,#REF!,6,FALSE)))</f>
        <v/>
      </c>
      <c r="I63" s="67" t="str">
        <f t="shared" si="5"/>
        <v/>
      </c>
      <c r="J63" s="133"/>
      <c r="K63" s="133"/>
      <c r="L63" s="29"/>
      <c r="M63" s="29"/>
      <c r="N63" s="29"/>
      <c r="O63" s="29"/>
      <c r="P63" s="29"/>
      <c r="Q63" s="29"/>
      <c r="R63" s="29"/>
      <c r="S63" s="29"/>
      <c r="T63" s="57"/>
      <c r="U63" s="29"/>
      <c r="V63" s="29"/>
      <c r="W63" s="81"/>
      <c r="X63" s="85"/>
      <c r="Y63" s="81"/>
      <c r="AA63" s="59"/>
      <c r="AB63" s="59"/>
    </row>
    <row r="64" spans="1:28" s="55" customFormat="1" ht="30" customHeight="1" x14ac:dyDescent="0.2">
      <c r="A64" s="27">
        <v>318</v>
      </c>
      <c r="B64" s="28" t="str">
        <f t="shared" si="0"/>
        <v>2.2.04a</v>
      </c>
      <c r="C64" s="29">
        <f t="shared" si="1"/>
        <v>6</v>
      </c>
      <c r="D64" s="3"/>
      <c r="E64" s="4"/>
      <c r="F64" s="4"/>
      <c r="G64" s="31"/>
      <c r="H64" s="67" t="str">
        <f>IF(ISERROR(VLOOKUP(#REF!,#REF!,6,FALSE)),"",IF(VLOOKUP(#REF!,#REF!,6,FALSE)=0,"",VLOOKUP(#REF!,#REF!,6,FALSE)))</f>
        <v/>
      </c>
      <c r="I64" s="67" t="str">
        <f t="shared" si="5"/>
        <v/>
      </c>
      <c r="J64" s="133"/>
      <c r="K64" s="133"/>
      <c r="L64" s="29"/>
      <c r="M64" s="29"/>
      <c r="N64" s="29"/>
      <c r="O64" s="29"/>
      <c r="P64" s="29"/>
      <c r="Q64" s="29"/>
      <c r="R64" s="29"/>
      <c r="S64" s="29"/>
      <c r="T64" s="57"/>
      <c r="U64" s="29"/>
      <c r="V64" s="29"/>
      <c r="W64" s="81"/>
      <c r="X64" s="85"/>
      <c r="Y64" s="81"/>
      <c r="AA64" s="59">
        <v>1</v>
      </c>
      <c r="AB64" s="59" t="str">
        <f>VLOOKUP(AA64,detail_maturity_score,3,FALSE)</f>
        <v/>
      </c>
    </row>
    <row r="65" spans="1:28" s="55" customFormat="1" ht="16" x14ac:dyDescent="0.2">
      <c r="A65" s="27">
        <v>319</v>
      </c>
      <c r="B65" s="28" t="str">
        <f t="shared" si="0"/>
        <v>2.2.04b</v>
      </c>
      <c r="C65" s="29">
        <f t="shared" si="1"/>
        <v>6</v>
      </c>
      <c r="D65" s="3"/>
      <c r="E65" s="4"/>
      <c r="F65" s="4"/>
      <c r="G65" s="31"/>
      <c r="H65" s="67" t="str">
        <f>IF(ISERROR(VLOOKUP(#REF!,#REF!,6,FALSE)),"",IF(VLOOKUP(#REF!,#REF!,6,FALSE)=0,"",VLOOKUP(#REF!,#REF!,6,FALSE)))</f>
        <v/>
      </c>
      <c r="I65" s="67" t="str">
        <f t="shared" si="5"/>
        <v/>
      </c>
      <c r="J65" s="133"/>
      <c r="K65" s="133"/>
      <c r="L65" s="29"/>
      <c r="M65" s="29"/>
      <c r="N65" s="29"/>
      <c r="O65" s="29"/>
      <c r="P65" s="29"/>
      <c r="Q65" s="29"/>
      <c r="R65" s="29"/>
      <c r="S65" s="29"/>
      <c r="T65" s="57"/>
      <c r="U65" s="29"/>
      <c r="V65" s="29"/>
      <c r="W65" s="81"/>
      <c r="X65" s="85"/>
      <c r="Y65" s="81"/>
      <c r="AA65" s="59">
        <v>1</v>
      </c>
      <c r="AB65" s="59" t="str">
        <f>VLOOKUP(AA65,detail_maturity_score,3,FALSE)</f>
        <v/>
      </c>
    </row>
    <row r="66" spans="1:28" s="55" customFormat="1" ht="30" customHeight="1" x14ac:dyDescent="0.2">
      <c r="A66" s="27">
        <v>320</v>
      </c>
      <c r="B66" s="28" t="str">
        <f t="shared" si="0"/>
        <v>2.2.05</v>
      </c>
      <c r="C66" s="29">
        <f t="shared" si="1"/>
        <v>5</v>
      </c>
      <c r="D66" s="3"/>
      <c r="E66" s="4"/>
      <c r="F66" s="4"/>
      <c r="G66" s="31"/>
      <c r="H66" s="67" t="str">
        <f>IF(ISERROR(VLOOKUP(#REF!,#REF!,6,FALSE)),"",IF(VLOOKUP(#REF!,#REF!,6,FALSE)=0,"",VLOOKUP(#REF!,#REF!,6,FALSE)))</f>
        <v/>
      </c>
      <c r="I66" s="67" t="str">
        <f t="shared" si="5"/>
        <v/>
      </c>
      <c r="J66" s="133"/>
      <c r="K66" s="133"/>
      <c r="L66" s="29"/>
      <c r="M66" s="29"/>
      <c r="N66" s="29"/>
      <c r="O66" s="29"/>
      <c r="P66" s="29"/>
      <c r="Q66" s="29"/>
      <c r="R66" s="29"/>
      <c r="S66" s="29"/>
      <c r="T66" s="57"/>
      <c r="U66" s="29"/>
      <c r="V66" s="29"/>
      <c r="W66" s="81"/>
      <c r="X66" s="85"/>
      <c r="Y66" s="81"/>
      <c r="AA66" s="59">
        <v>1</v>
      </c>
      <c r="AB66" s="59" t="str">
        <f>VLOOKUP(AA66,detail_maturity_score,3,FALSE)</f>
        <v/>
      </c>
    </row>
    <row r="67" spans="1:28" s="55" customFormat="1" ht="16" x14ac:dyDescent="0.2">
      <c r="A67" s="27">
        <v>321</v>
      </c>
      <c r="B67" s="28" t="str">
        <f t="shared" si="0"/>
        <v>2.2.06</v>
      </c>
      <c r="C67" s="29">
        <f t="shared" si="1"/>
        <v>5</v>
      </c>
      <c r="D67" s="3"/>
      <c r="E67" s="4"/>
      <c r="F67" s="4"/>
      <c r="G67" s="31"/>
      <c r="H67" s="67" t="str">
        <f>IF(ISERROR(VLOOKUP(#REF!,#REF!,6,FALSE)),"",IF(VLOOKUP(#REF!,#REF!,6,FALSE)=0,"",VLOOKUP(#REF!,#REF!,6,FALSE)))</f>
        <v/>
      </c>
      <c r="I67" s="67" t="str">
        <f t="shared" si="5"/>
        <v/>
      </c>
      <c r="J67" s="133"/>
      <c r="K67" s="133"/>
      <c r="L67" s="29"/>
      <c r="M67" s="29"/>
      <c r="N67" s="29"/>
      <c r="O67" s="29"/>
      <c r="P67" s="29"/>
      <c r="Q67" s="29"/>
      <c r="R67" s="29"/>
      <c r="S67" s="29"/>
      <c r="T67" s="57"/>
      <c r="U67" s="29"/>
      <c r="V67" s="29"/>
      <c r="W67" s="81"/>
      <c r="X67" s="85"/>
      <c r="Y67" s="81"/>
      <c r="AA67" s="59">
        <v>1</v>
      </c>
      <c r="AB67" s="59" t="str">
        <f>VLOOKUP(AA67,detail_maturity_score,3,FALSE)</f>
        <v/>
      </c>
    </row>
    <row r="68" spans="1:28" s="55" customFormat="1" x14ac:dyDescent="0.2">
      <c r="A68" s="27">
        <v>322</v>
      </c>
      <c r="B68" s="28" t="str">
        <f t="shared" si="0"/>
        <v>2.2.07</v>
      </c>
      <c r="C68" s="29">
        <f t="shared" si="1"/>
        <v>4</v>
      </c>
      <c r="D68" s="3"/>
      <c r="E68" s="4"/>
      <c r="F68" s="4"/>
      <c r="G68" s="31"/>
      <c r="H68" s="67" t="str">
        <f>IF(ISERROR(VLOOKUP(#REF!,#REF!,6,FALSE)),"",IF(VLOOKUP(#REF!,#REF!,6,FALSE)=0,"",VLOOKUP(#REF!,#REF!,6,FALSE)))</f>
        <v/>
      </c>
      <c r="I68" s="67" t="str">
        <f t="shared" si="5"/>
        <v/>
      </c>
      <c r="J68" s="133"/>
      <c r="K68" s="133"/>
      <c r="L68" s="29"/>
      <c r="M68" s="29"/>
      <c r="N68" s="29"/>
      <c r="O68" s="29"/>
      <c r="P68" s="29"/>
      <c r="Q68" s="29"/>
      <c r="R68" s="29"/>
      <c r="S68" s="29"/>
      <c r="T68" s="57"/>
      <c r="U68" s="29"/>
      <c r="V68" s="29"/>
      <c r="W68" s="81"/>
      <c r="X68" s="85"/>
      <c r="Y68" s="81"/>
      <c r="AA68" s="59"/>
      <c r="AB68" s="59"/>
    </row>
    <row r="69" spans="1:28" s="55" customFormat="1" ht="30" customHeight="1" x14ac:dyDescent="0.2">
      <c r="A69" s="27">
        <v>323</v>
      </c>
      <c r="B69" s="28" t="str">
        <f t="shared" si="0"/>
        <v>2.2.07a</v>
      </c>
      <c r="C69" s="29">
        <f t="shared" si="1"/>
        <v>6</v>
      </c>
      <c r="D69" s="3"/>
      <c r="E69" s="4"/>
      <c r="F69" s="4"/>
      <c r="G69" s="31"/>
      <c r="H69" s="67" t="str">
        <f>IF(ISERROR(VLOOKUP(#REF!,#REF!,6,FALSE)),"",IF(VLOOKUP(#REF!,#REF!,6,FALSE)=0,"",VLOOKUP(#REF!,#REF!,6,FALSE)))</f>
        <v/>
      </c>
      <c r="I69" s="67" t="str">
        <f t="shared" si="5"/>
        <v/>
      </c>
      <c r="J69" s="133"/>
      <c r="K69" s="133"/>
      <c r="L69" s="29"/>
      <c r="M69" s="29"/>
      <c r="N69" s="29"/>
      <c r="O69" s="29"/>
      <c r="P69" s="29"/>
      <c r="Q69" s="29"/>
      <c r="R69" s="29"/>
      <c r="S69" s="29"/>
      <c r="T69" s="57"/>
      <c r="U69" s="29"/>
      <c r="V69" s="29"/>
      <c r="W69" s="81"/>
      <c r="X69" s="85"/>
      <c r="Y69" s="81"/>
      <c r="AA69" s="59">
        <v>1</v>
      </c>
      <c r="AB69" s="59" t="str">
        <f>VLOOKUP(AA69,detail_maturity_score,3,FALSE)</f>
        <v/>
      </c>
    </row>
    <row r="70" spans="1:28" s="55" customFormat="1" ht="30" customHeight="1" x14ac:dyDescent="0.2">
      <c r="A70" s="27">
        <v>324</v>
      </c>
      <c r="B70" s="28" t="str">
        <f t="shared" si="0"/>
        <v>2.2.07b</v>
      </c>
      <c r="C70" s="29">
        <f t="shared" si="1"/>
        <v>6</v>
      </c>
      <c r="D70" s="3"/>
      <c r="E70" s="4"/>
      <c r="F70" s="4"/>
      <c r="G70" s="31"/>
      <c r="H70" s="67" t="str">
        <f>IF(ISERROR(VLOOKUP(#REF!,#REF!,6,FALSE)),"",IF(VLOOKUP(#REF!,#REF!,6,FALSE)=0,"",VLOOKUP(#REF!,#REF!,6,FALSE)))</f>
        <v/>
      </c>
      <c r="I70" s="67" t="str">
        <f t="shared" si="5"/>
        <v/>
      </c>
      <c r="J70" s="133"/>
      <c r="K70" s="133"/>
      <c r="L70" s="29"/>
      <c r="M70" s="29"/>
      <c r="N70" s="29"/>
      <c r="O70" s="29"/>
      <c r="P70" s="29"/>
      <c r="Q70" s="29"/>
      <c r="R70" s="29"/>
      <c r="S70" s="29"/>
      <c r="T70" s="57"/>
      <c r="U70" s="29"/>
      <c r="V70" s="29"/>
      <c r="W70" s="81"/>
      <c r="X70" s="85"/>
      <c r="Y70" s="81"/>
      <c r="AA70" s="59">
        <v>1</v>
      </c>
      <c r="AB70" s="59" t="str">
        <f>VLOOKUP(AA70,detail_maturity_score,3,FALSE)</f>
        <v/>
      </c>
    </row>
    <row r="71" spans="1:28" s="55" customFormat="1" ht="30" customHeight="1" x14ac:dyDescent="0.2">
      <c r="A71" s="27">
        <v>325</v>
      </c>
      <c r="B71" s="28" t="str">
        <f t="shared" si="0"/>
        <v>2.2.07c</v>
      </c>
      <c r="C71" s="29">
        <f t="shared" si="1"/>
        <v>6</v>
      </c>
      <c r="D71" s="3"/>
      <c r="E71" s="4"/>
      <c r="F71" s="4"/>
      <c r="G71" s="29"/>
      <c r="H71" s="67" t="str">
        <f>IF(ISERROR(VLOOKUP(#REF!,#REF!,6,FALSE)),"",IF(VLOOKUP(#REF!,#REF!,6,FALSE)=0,"",VLOOKUP(#REF!,#REF!,6,FALSE)))</f>
        <v/>
      </c>
      <c r="I71" s="67" t="str">
        <f t="shared" si="5"/>
        <v/>
      </c>
      <c r="J71" s="133"/>
      <c r="K71" s="133"/>
      <c r="L71" s="29"/>
      <c r="M71" s="29"/>
      <c r="N71" s="29"/>
      <c r="O71" s="29"/>
      <c r="P71" s="29"/>
      <c r="Q71" s="29"/>
      <c r="R71" s="29"/>
      <c r="S71" s="29"/>
      <c r="T71" s="57"/>
      <c r="U71" s="29"/>
      <c r="V71" s="29"/>
      <c r="W71" s="81"/>
      <c r="X71" s="85"/>
      <c r="Y71" s="81"/>
      <c r="AA71" s="59">
        <v>1</v>
      </c>
      <c r="AB71" s="59" t="str">
        <f>VLOOKUP(AA71,detail_maturity_score,3,FALSE)</f>
        <v/>
      </c>
    </row>
    <row r="72" spans="1:28" s="55" customFormat="1" ht="18.75" customHeight="1" x14ac:dyDescent="0.2">
      <c r="A72" s="27">
        <v>326</v>
      </c>
      <c r="B72" s="29" t="str">
        <f t="shared" ref="B72:B135" si="7">VLOOKUP(A72,contentref,2,FALSE)</f>
        <v/>
      </c>
      <c r="C72" s="29">
        <f t="shared" ref="C72:C135" si="8">VLOOKUP(A72,contentref,15,FALSE)</f>
        <v>3</v>
      </c>
      <c r="D72" s="3"/>
      <c r="E72" s="4"/>
      <c r="F72" s="4"/>
      <c r="G72" s="31"/>
      <c r="H72" s="67" t="str">
        <f>IF(ISERROR(VLOOKUP(#REF!,#REF!,6,FALSE)),"",IF(VLOOKUP(#REF!,#REF!,6,FALSE)=0,"",VLOOKUP(#REF!,#REF!,6,FALSE)))</f>
        <v/>
      </c>
      <c r="I72" s="67" t="str">
        <f t="shared" si="5"/>
        <v/>
      </c>
      <c r="J72" s="133"/>
      <c r="K72" s="133"/>
      <c r="L72" s="29"/>
      <c r="M72" s="29"/>
      <c r="N72" s="29"/>
      <c r="O72" s="29"/>
      <c r="P72" s="29"/>
      <c r="Q72" s="29"/>
      <c r="R72" s="29"/>
      <c r="S72" s="29"/>
      <c r="T72" s="57"/>
      <c r="U72" s="29"/>
      <c r="V72" s="29"/>
      <c r="W72" s="81"/>
      <c r="X72" s="81"/>
      <c r="Y72" s="81"/>
      <c r="AA72" s="59"/>
      <c r="AB72" s="59"/>
    </row>
    <row r="73" spans="1:28" s="55" customFormat="1" ht="16" x14ac:dyDescent="0.2">
      <c r="A73" s="27">
        <v>327</v>
      </c>
      <c r="B73" s="28" t="str">
        <f t="shared" si="7"/>
        <v>2.2.08</v>
      </c>
      <c r="C73" s="29">
        <f t="shared" si="8"/>
        <v>5</v>
      </c>
      <c r="D73" s="3"/>
      <c r="E73" s="4"/>
      <c r="F73" s="4"/>
      <c r="G73" s="31"/>
      <c r="H73" s="67" t="str">
        <f>IF(ISERROR(VLOOKUP(#REF!,#REF!,6,FALSE)),"",IF(VLOOKUP(#REF!,#REF!,6,FALSE)=0,"",VLOOKUP(#REF!,#REF!,6,FALSE)))</f>
        <v/>
      </c>
      <c r="I73" s="67" t="str">
        <f t="shared" si="5"/>
        <v/>
      </c>
      <c r="J73" s="133"/>
      <c r="K73" s="133"/>
      <c r="L73" s="29"/>
      <c r="M73" s="29"/>
      <c r="N73" s="29"/>
      <c r="O73" s="29"/>
      <c r="P73" s="29"/>
      <c r="Q73" s="29"/>
      <c r="R73" s="29"/>
      <c r="S73" s="29"/>
      <c r="T73" s="57"/>
      <c r="U73" s="29"/>
      <c r="V73" s="29"/>
      <c r="W73" s="81"/>
      <c r="X73" s="85"/>
      <c r="Y73" s="81"/>
      <c r="AA73" s="59">
        <v>1</v>
      </c>
      <c r="AB73" s="59" t="str">
        <f>VLOOKUP(AA73,detail_maturity_score,3,FALSE)</f>
        <v/>
      </c>
    </row>
    <row r="74" spans="1:28" s="55" customFormat="1" ht="30" customHeight="1" x14ac:dyDescent="0.2">
      <c r="A74" s="27">
        <v>328</v>
      </c>
      <c r="B74" s="28" t="str">
        <f t="shared" si="7"/>
        <v>2.2.09</v>
      </c>
      <c r="C74" s="29">
        <f t="shared" si="8"/>
        <v>4</v>
      </c>
      <c r="D74" s="3"/>
      <c r="E74" s="4"/>
      <c r="F74" s="4"/>
      <c r="G74" s="31"/>
      <c r="H74" s="67" t="str">
        <f>IF(ISERROR(VLOOKUP(#REF!,#REF!,6,FALSE)),"",IF(VLOOKUP(#REF!,#REF!,6,FALSE)=0,"",VLOOKUP(#REF!,#REF!,6,FALSE)))</f>
        <v/>
      </c>
      <c r="I74" s="67" t="str">
        <f t="shared" si="5"/>
        <v/>
      </c>
      <c r="J74" s="133"/>
      <c r="K74" s="133"/>
      <c r="L74" s="29"/>
      <c r="M74" s="29"/>
      <c r="N74" s="29"/>
      <c r="O74" s="29"/>
      <c r="P74" s="29"/>
      <c r="Q74" s="29"/>
      <c r="R74" s="29"/>
      <c r="S74" s="29"/>
      <c r="T74" s="57"/>
      <c r="U74" s="29"/>
      <c r="V74" s="29"/>
      <c r="W74" s="81"/>
      <c r="X74" s="85"/>
      <c r="Y74" s="81"/>
      <c r="AA74" s="59"/>
      <c r="AB74" s="59"/>
    </row>
    <row r="75" spans="1:28" s="55" customFormat="1" ht="16" x14ac:dyDescent="0.2">
      <c r="A75" s="27">
        <v>329</v>
      </c>
      <c r="B75" s="28" t="str">
        <f t="shared" si="7"/>
        <v>2.2.09a</v>
      </c>
      <c r="C75" s="29">
        <f t="shared" si="8"/>
        <v>6</v>
      </c>
      <c r="D75" s="3"/>
      <c r="E75" s="4"/>
      <c r="F75" s="4"/>
      <c r="G75" s="31"/>
      <c r="H75" s="67" t="str">
        <f>IF(ISERROR(VLOOKUP(#REF!,#REF!,6,FALSE)),"",IF(VLOOKUP(#REF!,#REF!,6,FALSE)=0,"",VLOOKUP(#REF!,#REF!,6,FALSE)))</f>
        <v/>
      </c>
      <c r="I75" s="67" t="str">
        <f t="shared" si="5"/>
        <v/>
      </c>
      <c r="J75" s="133"/>
      <c r="K75" s="133"/>
      <c r="L75" s="29"/>
      <c r="M75" s="29"/>
      <c r="N75" s="29"/>
      <c r="O75" s="29"/>
      <c r="P75" s="29"/>
      <c r="Q75" s="29"/>
      <c r="R75" s="29"/>
      <c r="S75" s="29"/>
      <c r="T75" s="57"/>
      <c r="U75" s="29"/>
      <c r="V75" s="29"/>
      <c r="W75" s="81"/>
      <c r="X75" s="85"/>
      <c r="Y75" s="81"/>
      <c r="AA75" s="59">
        <v>1</v>
      </c>
      <c r="AB75" s="59" t="str">
        <f>VLOOKUP(AA75,detail_maturity_score,3,FALSE)</f>
        <v/>
      </c>
    </row>
    <row r="76" spans="1:28" s="55" customFormat="1" ht="30" customHeight="1" x14ac:dyDescent="0.2">
      <c r="A76" s="27">
        <v>330</v>
      </c>
      <c r="B76" s="28" t="str">
        <f t="shared" si="7"/>
        <v>2.2.09b</v>
      </c>
      <c r="C76" s="29">
        <f t="shared" si="8"/>
        <v>6</v>
      </c>
      <c r="D76" s="3"/>
      <c r="E76" s="4"/>
      <c r="F76" s="4"/>
      <c r="G76" s="31"/>
      <c r="H76" s="67" t="str">
        <f>IF(ISERROR(VLOOKUP(#REF!,#REF!,6,FALSE)),"",IF(VLOOKUP(#REF!,#REF!,6,FALSE)=0,"",VLOOKUP(#REF!,#REF!,6,FALSE)))</f>
        <v/>
      </c>
      <c r="I76" s="67" t="str">
        <f t="shared" si="5"/>
        <v/>
      </c>
      <c r="J76" s="133"/>
      <c r="K76" s="133"/>
      <c r="L76" s="29"/>
      <c r="M76" s="29"/>
      <c r="N76" s="29"/>
      <c r="O76" s="29"/>
      <c r="P76" s="29"/>
      <c r="Q76" s="29"/>
      <c r="R76" s="29"/>
      <c r="S76" s="29"/>
      <c r="T76" s="57"/>
      <c r="U76" s="29"/>
      <c r="V76" s="29"/>
      <c r="W76" s="81"/>
      <c r="X76" s="85"/>
      <c r="Y76" s="81"/>
      <c r="AA76" s="59">
        <v>1</v>
      </c>
      <c r="AB76" s="59" t="str">
        <f>VLOOKUP(AA76,detail_maturity_score,3,FALSE)</f>
        <v/>
      </c>
    </row>
    <row r="77" spans="1:28" s="55" customFormat="1" ht="16" x14ac:dyDescent="0.2">
      <c r="A77" s="27">
        <v>331</v>
      </c>
      <c r="B77" s="28" t="str">
        <f t="shared" si="7"/>
        <v>2.2.09c</v>
      </c>
      <c r="C77" s="29">
        <f t="shared" si="8"/>
        <v>6</v>
      </c>
      <c r="D77" s="3"/>
      <c r="E77" s="4"/>
      <c r="F77" s="4"/>
      <c r="G77" s="29"/>
      <c r="H77" s="67" t="str">
        <f>IF(ISERROR(VLOOKUP(#REF!,#REF!,6,FALSE)),"",IF(VLOOKUP(#REF!,#REF!,6,FALSE)=0,"",VLOOKUP(#REF!,#REF!,6,FALSE)))</f>
        <v/>
      </c>
      <c r="I77" s="67" t="str">
        <f t="shared" si="5"/>
        <v/>
      </c>
      <c r="J77" s="133"/>
      <c r="K77" s="133"/>
      <c r="L77" s="29"/>
      <c r="M77" s="29"/>
      <c r="N77" s="29"/>
      <c r="O77" s="29"/>
      <c r="P77" s="29"/>
      <c r="Q77" s="29"/>
      <c r="R77" s="29"/>
      <c r="S77" s="29"/>
      <c r="T77" s="57"/>
      <c r="U77" s="29"/>
      <c r="V77" s="29"/>
      <c r="W77" s="81"/>
      <c r="X77" s="85"/>
      <c r="Y77" s="81"/>
      <c r="AA77" s="59">
        <v>1</v>
      </c>
      <c r="AB77" s="59" t="str">
        <f>VLOOKUP(AA77,detail_maturity_score,3,FALSE)</f>
        <v/>
      </c>
    </row>
    <row r="78" spans="1:28" s="55" customFormat="1" ht="18.75" customHeight="1" x14ac:dyDescent="0.2">
      <c r="A78" s="27">
        <v>332</v>
      </c>
      <c r="B78" s="29" t="str">
        <f t="shared" si="7"/>
        <v/>
      </c>
      <c r="C78" s="29">
        <f t="shared" si="8"/>
        <v>3</v>
      </c>
      <c r="D78" s="3"/>
      <c r="E78" s="4"/>
      <c r="F78" s="4"/>
      <c r="G78" s="31"/>
      <c r="H78" s="67" t="str">
        <f>IF(ISERROR(VLOOKUP(#REF!,#REF!,6,FALSE)),"",IF(VLOOKUP(#REF!,#REF!,6,FALSE)=0,"",VLOOKUP(#REF!,#REF!,6,FALSE)))</f>
        <v/>
      </c>
      <c r="I78" s="67" t="str">
        <f t="shared" si="5"/>
        <v/>
      </c>
      <c r="J78" s="133"/>
      <c r="K78" s="133"/>
      <c r="L78" s="29"/>
      <c r="M78" s="29"/>
      <c r="N78" s="29"/>
      <c r="O78" s="29"/>
      <c r="P78" s="29"/>
      <c r="Q78" s="29"/>
      <c r="R78" s="29"/>
      <c r="S78" s="29"/>
      <c r="T78" s="57"/>
      <c r="U78" s="29"/>
      <c r="V78" s="29"/>
      <c r="W78" s="81"/>
      <c r="X78" s="81"/>
      <c r="Y78" s="81"/>
      <c r="AA78" s="59"/>
      <c r="AB78" s="59"/>
    </row>
    <row r="79" spans="1:28" s="55" customFormat="1" ht="16" x14ac:dyDescent="0.2">
      <c r="A79" s="27">
        <v>333</v>
      </c>
      <c r="B79" s="28" t="str">
        <f t="shared" si="7"/>
        <v>2.2.10</v>
      </c>
      <c r="C79" s="29">
        <f t="shared" si="8"/>
        <v>5</v>
      </c>
      <c r="D79" s="3"/>
      <c r="E79" s="4"/>
      <c r="F79" s="4"/>
      <c r="G79" s="31"/>
      <c r="H79" s="67" t="str">
        <f>IF(ISERROR(VLOOKUP(#REF!,#REF!,6,FALSE)),"",IF(VLOOKUP(#REF!,#REF!,6,FALSE)=0,"",VLOOKUP(#REF!,#REF!,6,FALSE)))</f>
        <v/>
      </c>
      <c r="I79" s="67" t="str">
        <f t="shared" si="5"/>
        <v/>
      </c>
      <c r="J79" s="133"/>
      <c r="K79" s="133"/>
      <c r="L79" s="29"/>
      <c r="M79" s="29"/>
      <c r="N79" s="29"/>
      <c r="O79" s="29"/>
      <c r="P79" s="29"/>
      <c r="Q79" s="29"/>
      <c r="R79" s="29"/>
      <c r="S79" s="29"/>
      <c r="T79" s="57"/>
      <c r="U79" s="29"/>
      <c r="V79" s="29"/>
      <c r="W79" s="81"/>
      <c r="X79" s="85"/>
      <c r="Y79" s="81"/>
      <c r="AA79" s="59">
        <v>1</v>
      </c>
      <c r="AB79" s="59" t="str">
        <f>VLOOKUP(AA79,detail_maturity_score,3,FALSE)</f>
        <v/>
      </c>
    </row>
    <row r="80" spans="1:28" s="55" customFormat="1" ht="30" customHeight="1" x14ac:dyDescent="0.2">
      <c r="A80" s="27">
        <v>334</v>
      </c>
      <c r="B80" s="28" t="str">
        <f t="shared" si="7"/>
        <v>2.2.11</v>
      </c>
      <c r="C80" s="29">
        <f t="shared" si="8"/>
        <v>4</v>
      </c>
      <c r="D80" s="3"/>
      <c r="E80" s="4"/>
      <c r="F80" s="4"/>
      <c r="G80" s="31"/>
      <c r="H80" s="67" t="str">
        <f>IF(ISERROR(VLOOKUP(#REF!,#REF!,6,FALSE)),"",IF(VLOOKUP(#REF!,#REF!,6,FALSE)=0,"",VLOOKUP(#REF!,#REF!,6,FALSE)))</f>
        <v/>
      </c>
      <c r="I80" s="67" t="str">
        <f t="shared" si="5"/>
        <v/>
      </c>
      <c r="J80" s="133"/>
      <c r="K80" s="133"/>
      <c r="L80" s="29"/>
      <c r="M80" s="29"/>
      <c r="N80" s="29"/>
      <c r="O80" s="29"/>
      <c r="P80" s="29"/>
      <c r="Q80" s="29"/>
      <c r="R80" s="29"/>
      <c r="S80" s="29"/>
      <c r="T80" s="57"/>
      <c r="U80" s="29"/>
      <c r="V80" s="29"/>
      <c r="W80" s="81"/>
      <c r="X80" s="85"/>
      <c r="Y80" s="81"/>
      <c r="AA80" s="59"/>
      <c r="AB80" s="59"/>
    </row>
    <row r="81" spans="1:28" s="55" customFormat="1" ht="30" customHeight="1" x14ac:dyDescent="0.2">
      <c r="A81" s="27">
        <v>335</v>
      </c>
      <c r="B81" s="28" t="str">
        <f t="shared" si="7"/>
        <v>2.2.11a</v>
      </c>
      <c r="C81" s="29">
        <f t="shared" si="8"/>
        <v>6</v>
      </c>
      <c r="D81" s="3"/>
      <c r="E81" s="4"/>
      <c r="F81" s="4"/>
      <c r="G81" s="31"/>
      <c r="H81" s="67" t="str">
        <f>IF(ISERROR(VLOOKUP(#REF!,#REF!,6,FALSE)),"",IF(VLOOKUP(#REF!,#REF!,6,FALSE)=0,"",VLOOKUP(#REF!,#REF!,6,FALSE)))</f>
        <v/>
      </c>
      <c r="I81" s="67" t="str">
        <f t="shared" si="5"/>
        <v/>
      </c>
      <c r="J81" s="133"/>
      <c r="K81" s="133"/>
      <c r="L81" s="29"/>
      <c r="M81" s="29"/>
      <c r="N81" s="29"/>
      <c r="O81" s="29"/>
      <c r="P81" s="29"/>
      <c r="Q81" s="29"/>
      <c r="R81" s="29"/>
      <c r="S81" s="29"/>
      <c r="T81" s="57"/>
      <c r="U81" s="29"/>
      <c r="V81" s="29"/>
      <c r="W81" s="81"/>
      <c r="X81" s="85"/>
      <c r="Y81" s="81"/>
      <c r="AA81" s="59">
        <v>1</v>
      </c>
      <c r="AB81" s="59" t="str">
        <f>VLOOKUP(AA81,detail_maturity_score,3,FALSE)</f>
        <v/>
      </c>
    </row>
    <row r="82" spans="1:28" s="55" customFormat="1" ht="16" x14ac:dyDescent="0.2">
      <c r="A82" s="27">
        <v>336</v>
      </c>
      <c r="B82" s="28" t="str">
        <f t="shared" si="7"/>
        <v>2.2.11b</v>
      </c>
      <c r="C82" s="29">
        <f t="shared" si="8"/>
        <v>6</v>
      </c>
      <c r="D82" s="3"/>
      <c r="E82" s="4"/>
      <c r="F82" s="4"/>
      <c r="G82" s="31"/>
      <c r="H82" s="67" t="str">
        <f>IF(ISERROR(VLOOKUP(#REF!,#REF!,6,FALSE)),"",IF(VLOOKUP(#REF!,#REF!,6,FALSE)=0,"",VLOOKUP(#REF!,#REF!,6,FALSE)))</f>
        <v/>
      </c>
      <c r="I82" s="67" t="str">
        <f t="shared" si="5"/>
        <v/>
      </c>
      <c r="J82" s="133"/>
      <c r="K82" s="133"/>
      <c r="L82" s="29"/>
      <c r="M82" s="29"/>
      <c r="N82" s="29"/>
      <c r="O82" s="29"/>
      <c r="P82" s="29"/>
      <c r="Q82" s="29"/>
      <c r="R82" s="29"/>
      <c r="S82" s="29"/>
      <c r="T82" s="57"/>
      <c r="U82" s="29"/>
      <c r="V82" s="29"/>
      <c r="W82" s="81"/>
      <c r="X82" s="85"/>
      <c r="Y82" s="81"/>
      <c r="AA82" s="59">
        <v>1</v>
      </c>
      <c r="AB82" s="59" t="str">
        <f>VLOOKUP(AA82,detail_maturity_score,3,FALSE)</f>
        <v/>
      </c>
    </row>
    <row r="83" spans="1:28" s="55" customFormat="1" ht="16" x14ac:dyDescent="0.2">
      <c r="A83" s="27">
        <v>337</v>
      </c>
      <c r="B83" s="28" t="str">
        <f t="shared" si="7"/>
        <v>2.2.11c</v>
      </c>
      <c r="C83" s="29">
        <f t="shared" si="8"/>
        <v>6</v>
      </c>
      <c r="D83" s="3"/>
      <c r="E83" s="4"/>
      <c r="F83" s="4"/>
      <c r="G83" s="31"/>
      <c r="H83" s="67" t="str">
        <f>IF(ISERROR(VLOOKUP(#REF!,#REF!,6,FALSE)),"",IF(VLOOKUP(#REF!,#REF!,6,FALSE)=0,"",VLOOKUP(#REF!,#REF!,6,FALSE)))</f>
        <v/>
      </c>
      <c r="I83" s="67" t="str">
        <f t="shared" si="5"/>
        <v/>
      </c>
      <c r="J83" s="133"/>
      <c r="K83" s="133"/>
      <c r="L83" s="29"/>
      <c r="M83" s="29"/>
      <c r="N83" s="29"/>
      <c r="O83" s="29"/>
      <c r="P83" s="29"/>
      <c r="Q83" s="29"/>
      <c r="R83" s="29"/>
      <c r="S83" s="29"/>
      <c r="T83" s="57"/>
      <c r="U83" s="29"/>
      <c r="V83" s="29"/>
      <c r="W83" s="81"/>
      <c r="X83" s="85"/>
      <c r="Y83" s="81"/>
      <c r="AA83" s="59">
        <v>1</v>
      </c>
      <c r="AB83" s="59" t="str">
        <f>VLOOKUP(AA83,detail_maturity_score,3,FALSE)</f>
        <v/>
      </c>
    </row>
    <row r="84" spans="1:28" s="55" customFormat="1" x14ac:dyDescent="0.2">
      <c r="A84" s="27">
        <v>338</v>
      </c>
      <c r="B84" s="28" t="str">
        <f t="shared" si="7"/>
        <v>2.2.12</v>
      </c>
      <c r="C84" s="29">
        <f t="shared" si="8"/>
        <v>4</v>
      </c>
      <c r="D84" s="3"/>
      <c r="E84" s="4"/>
      <c r="F84" s="4"/>
      <c r="G84" s="31"/>
      <c r="H84" s="67" t="str">
        <f>IF(ISERROR(VLOOKUP(#REF!,#REF!,6,FALSE)),"",IF(VLOOKUP(#REF!,#REF!,6,FALSE)=0,"",VLOOKUP(#REF!,#REF!,6,FALSE)))</f>
        <v/>
      </c>
      <c r="I84" s="67" t="str">
        <f t="shared" si="5"/>
        <v/>
      </c>
      <c r="J84" s="133"/>
      <c r="K84" s="133"/>
      <c r="L84" s="29"/>
      <c r="M84" s="29"/>
      <c r="N84" s="29"/>
      <c r="O84" s="29"/>
      <c r="P84" s="29"/>
      <c r="Q84" s="29"/>
      <c r="R84" s="29"/>
      <c r="S84" s="29"/>
      <c r="T84" s="57"/>
      <c r="U84" s="29"/>
      <c r="V84" s="29"/>
      <c r="W84" s="81"/>
      <c r="X84" s="85"/>
      <c r="Y84" s="81"/>
      <c r="AA84" s="59"/>
      <c r="AB84" s="59"/>
    </row>
    <row r="85" spans="1:28" s="55" customFormat="1" ht="30" customHeight="1" x14ac:dyDescent="0.2">
      <c r="A85" s="27">
        <v>339</v>
      </c>
      <c r="B85" s="28" t="str">
        <f t="shared" si="7"/>
        <v>2.2.12a</v>
      </c>
      <c r="C85" s="29">
        <f t="shared" si="8"/>
        <v>6</v>
      </c>
      <c r="D85" s="3"/>
      <c r="E85" s="4"/>
      <c r="F85" s="4"/>
      <c r="G85" s="31"/>
      <c r="H85" s="67" t="str">
        <f>IF(ISERROR(VLOOKUP(#REF!,#REF!,6,FALSE)),"",IF(VLOOKUP(#REF!,#REF!,6,FALSE)=0,"",VLOOKUP(#REF!,#REF!,6,FALSE)))</f>
        <v/>
      </c>
      <c r="I85" s="67" t="str">
        <f t="shared" si="5"/>
        <v/>
      </c>
      <c r="J85" s="133"/>
      <c r="K85" s="133"/>
      <c r="L85" s="29"/>
      <c r="M85" s="29"/>
      <c r="N85" s="29"/>
      <c r="O85" s="29"/>
      <c r="P85" s="29"/>
      <c r="Q85" s="29"/>
      <c r="R85" s="29"/>
      <c r="S85" s="29"/>
      <c r="T85" s="57"/>
      <c r="U85" s="29"/>
      <c r="V85" s="29"/>
      <c r="W85" s="81"/>
      <c r="X85" s="85"/>
      <c r="Y85" s="81"/>
      <c r="AA85" s="59">
        <v>1</v>
      </c>
      <c r="AB85" s="59" t="str">
        <f>VLOOKUP(AA85,detail_maturity_score,3,FALSE)</f>
        <v/>
      </c>
    </row>
    <row r="86" spans="1:28" s="55" customFormat="1" ht="30" customHeight="1" x14ac:dyDescent="0.2">
      <c r="A86" s="27">
        <v>340</v>
      </c>
      <c r="B86" s="28" t="str">
        <f t="shared" si="7"/>
        <v>2.2.12b</v>
      </c>
      <c r="C86" s="29">
        <f t="shared" si="8"/>
        <v>6</v>
      </c>
      <c r="D86" s="3"/>
      <c r="E86" s="4"/>
      <c r="F86" s="4"/>
      <c r="G86" s="31"/>
      <c r="H86" s="67" t="str">
        <f>IF(ISERROR(VLOOKUP(#REF!,#REF!,6,FALSE)),"",IF(VLOOKUP(#REF!,#REF!,6,FALSE)=0,"",VLOOKUP(#REF!,#REF!,6,FALSE)))</f>
        <v/>
      </c>
      <c r="I86" s="67" t="str">
        <f t="shared" si="5"/>
        <v/>
      </c>
      <c r="J86" s="133"/>
      <c r="K86" s="133"/>
      <c r="L86" s="29"/>
      <c r="M86" s="29"/>
      <c r="N86" s="29"/>
      <c r="O86" s="29"/>
      <c r="P86" s="29"/>
      <c r="Q86" s="29"/>
      <c r="R86" s="29"/>
      <c r="S86" s="29"/>
      <c r="T86" s="57"/>
      <c r="U86" s="29"/>
      <c r="V86" s="29"/>
      <c r="W86" s="81"/>
      <c r="X86" s="85"/>
      <c r="Y86" s="81"/>
      <c r="AA86" s="59">
        <v>1</v>
      </c>
      <c r="AB86" s="59" t="str">
        <f>VLOOKUP(AA86,detail_maturity_score,3,FALSE)</f>
        <v/>
      </c>
    </row>
    <row r="87" spans="1:28" s="55" customFormat="1" ht="16" x14ac:dyDescent="0.2">
      <c r="A87" s="27">
        <v>341</v>
      </c>
      <c r="B87" s="28" t="str">
        <f t="shared" si="7"/>
        <v>2.2.13</v>
      </c>
      <c r="C87" s="29">
        <f t="shared" si="8"/>
        <v>5</v>
      </c>
      <c r="D87" s="3"/>
      <c r="E87" s="4"/>
      <c r="F87" s="4"/>
      <c r="G87" s="31"/>
      <c r="H87" s="67" t="str">
        <f>IF(ISERROR(VLOOKUP(#REF!,#REF!,6,FALSE)),"",IF(VLOOKUP(#REF!,#REF!,6,FALSE)=0,"",VLOOKUP(#REF!,#REF!,6,FALSE)))</f>
        <v/>
      </c>
      <c r="I87" s="67" t="str">
        <f t="shared" si="5"/>
        <v/>
      </c>
      <c r="J87" s="133"/>
      <c r="K87" s="133"/>
      <c r="L87" s="29"/>
      <c r="M87" s="29"/>
      <c r="N87" s="29"/>
      <c r="O87" s="29"/>
      <c r="P87" s="29"/>
      <c r="Q87" s="29"/>
      <c r="R87" s="29"/>
      <c r="S87" s="29"/>
      <c r="T87" s="57"/>
      <c r="U87" s="29"/>
      <c r="V87" s="29"/>
      <c r="W87" s="81"/>
      <c r="X87" s="85"/>
      <c r="Y87" s="81"/>
      <c r="AA87" s="59">
        <v>1</v>
      </c>
      <c r="AB87" s="59" t="str">
        <f>VLOOKUP(AA87,detail_maturity_score,3,FALSE)</f>
        <v/>
      </c>
    </row>
    <row r="88" spans="1:28" s="55" customFormat="1" ht="16" x14ac:dyDescent="0.2">
      <c r="A88" s="27">
        <v>342</v>
      </c>
      <c r="B88" s="28" t="str">
        <f t="shared" si="7"/>
        <v>2.2.14</v>
      </c>
      <c r="C88" s="29">
        <f t="shared" si="8"/>
        <v>5</v>
      </c>
      <c r="D88" s="3"/>
      <c r="E88" s="4"/>
      <c r="F88" s="4"/>
      <c r="G88" s="31"/>
      <c r="H88" s="67" t="str">
        <f>IF(ISERROR(VLOOKUP(#REF!,#REF!,6,FALSE)),"",IF(VLOOKUP(#REF!,#REF!,6,FALSE)=0,"",VLOOKUP(#REF!,#REF!,6,FALSE)))</f>
        <v/>
      </c>
      <c r="I88" s="67" t="str">
        <f t="shared" si="5"/>
        <v/>
      </c>
      <c r="J88" s="133"/>
      <c r="K88" s="133"/>
      <c r="L88" s="29"/>
      <c r="M88" s="29"/>
      <c r="N88" s="29"/>
      <c r="O88" s="29"/>
      <c r="P88" s="29"/>
      <c r="Q88" s="29"/>
      <c r="R88" s="29"/>
      <c r="S88" s="29"/>
      <c r="T88" s="57"/>
      <c r="U88" s="29"/>
      <c r="V88" s="29"/>
      <c r="W88" s="81"/>
      <c r="X88" s="85"/>
      <c r="Y88" s="81"/>
      <c r="AA88" s="59">
        <v>1</v>
      </c>
      <c r="AB88" s="59" t="str">
        <f>VLOOKUP(AA88,detail_maturity_score,3,FALSE)</f>
        <v/>
      </c>
    </row>
    <row r="89" spans="1:28" s="55" customFormat="1" ht="30" customHeight="1" x14ac:dyDescent="0.2">
      <c r="A89" s="27">
        <v>343</v>
      </c>
      <c r="B89" s="28" t="str">
        <f t="shared" si="7"/>
        <v>2.2.15</v>
      </c>
      <c r="C89" s="29">
        <f t="shared" si="8"/>
        <v>4</v>
      </c>
      <c r="D89" s="3"/>
      <c r="E89" s="4"/>
      <c r="F89" s="4"/>
      <c r="G89" s="31"/>
      <c r="H89" s="67" t="str">
        <f>IF(ISERROR(VLOOKUP(#REF!,#REF!,6,FALSE)),"",IF(VLOOKUP(#REF!,#REF!,6,FALSE)=0,"",VLOOKUP(#REF!,#REF!,6,FALSE)))</f>
        <v/>
      </c>
      <c r="I89" s="67" t="str">
        <f t="shared" si="5"/>
        <v/>
      </c>
      <c r="J89" s="133"/>
      <c r="K89" s="133"/>
      <c r="L89" s="29"/>
      <c r="M89" s="29"/>
      <c r="N89" s="29"/>
      <c r="O89" s="29"/>
      <c r="P89" s="29"/>
      <c r="Q89" s="29"/>
      <c r="R89" s="29"/>
      <c r="S89" s="29"/>
      <c r="T89" s="57"/>
      <c r="U89" s="29"/>
      <c r="V89" s="29"/>
      <c r="W89" s="81"/>
      <c r="X89" s="85"/>
      <c r="Y89" s="81"/>
      <c r="AA89" s="59"/>
      <c r="AB89" s="59"/>
    </row>
    <row r="90" spans="1:28" s="55" customFormat="1" ht="30" customHeight="1" x14ac:dyDescent="0.2">
      <c r="A90" s="27">
        <v>344</v>
      </c>
      <c r="B90" s="28" t="str">
        <f t="shared" si="7"/>
        <v>2.2.15a</v>
      </c>
      <c r="C90" s="29">
        <f t="shared" si="8"/>
        <v>6</v>
      </c>
      <c r="D90" s="3"/>
      <c r="E90" s="4"/>
      <c r="F90" s="4"/>
      <c r="G90" s="31"/>
      <c r="H90" s="67" t="str">
        <f>IF(ISERROR(VLOOKUP(#REF!,#REF!,6,FALSE)),"",IF(VLOOKUP(#REF!,#REF!,6,FALSE)=0,"",VLOOKUP(#REF!,#REF!,6,FALSE)))</f>
        <v/>
      </c>
      <c r="I90" s="67" t="str">
        <f t="shared" si="5"/>
        <v/>
      </c>
      <c r="J90" s="133"/>
      <c r="K90" s="133"/>
      <c r="L90" s="29"/>
      <c r="M90" s="29"/>
      <c r="N90" s="29"/>
      <c r="O90" s="29"/>
      <c r="P90" s="29"/>
      <c r="Q90" s="29"/>
      <c r="R90" s="29"/>
      <c r="S90" s="29"/>
      <c r="T90" s="57"/>
      <c r="U90" s="29"/>
      <c r="V90" s="29"/>
      <c r="W90" s="81"/>
      <c r="X90" s="85"/>
      <c r="Y90" s="81"/>
      <c r="AA90" s="59">
        <v>1</v>
      </c>
      <c r="AB90" s="59" t="str">
        <f>VLOOKUP(AA90,detail_maturity_score,3,FALSE)</f>
        <v/>
      </c>
    </row>
    <row r="91" spans="1:28" s="55" customFormat="1" ht="30" customHeight="1" x14ac:dyDescent="0.2">
      <c r="A91" s="27">
        <v>345</v>
      </c>
      <c r="B91" s="28" t="str">
        <f t="shared" si="7"/>
        <v>2.2.15b</v>
      </c>
      <c r="C91" s="29">
        <f t="shared" si="8"/>
        <v>6</v>
      </c>
      <c r="D91" s="3"/>
      <c r="E91" s="4"/>
      <c r="F91" s="4"/>
      <c r="G91" s="31"/>
      <c r="H91" s="67" t="str">
        <f>IF(ISERROR(VLOOKUP(#REF!,#REF!,6,FALSE)),"",IF(VLOOKUP(#REF!,#REF!,6,FALSE)=0,"",VLOOKUP(#REF!,#REF!,6,FALSE)))</f>
        <v/>
      </c>
      <c r="I91" s="67" t="str">
        <f t="shared" si="5"/>
        <v/>
      </c>
      <c r="J91" s="133"/>
      <c r="K91" s="133"/>
      <c r="L91" s="29"/>
      <c r="M91" s="29"/>
      <c r="N91" s="29"/>
      <c r="O91" s="29"/>
      <c r="P91" s="29"/>
      <c r="Q91" s="29"/>
      <c r="R91" s="29"/>
      <c r="S91" s="29"/>
      <c r="T91" s="57"/>
      <c r="U91" s="29"/>
      <c r="V91" s="29"/>
      <c r="W91" s="81"/>
      <c r="X91" s="85"/>
      <c r="Y91" s="81"/>
      <c r="AA91" s="59">
        <v>1</v>
      </c>
      <c r="AB91" s="59" t="str">
        <f>VLOOKUP(AA91,detail_maturity_score,3,FALSE)</f>
        <v/>
      </c>
    </row>
    <row r="92" spans="1:28" s="55" customFormat="1" ht="16" x14ac:dyDescent="0.2">
      <c r="A92" s="27">
        <v>346</v>
      </c>
      <c r="B92" s="28" t="str">
        <f t="shared" si="7"/>
        <v>2.2.15c</v>
      </c>
      <c r="C92" s="29">
        <f t="shared" si="8"/>
        <v>6</v>
      </c>
      <c r="D92" s="3"/>
      <c r="E92" s="4"/>
      <c r="F92" s="4"/>
      <c r="G92" s="29"/>
      <c r="H92" s="67" t="str">
        <f>IF(ISERROR(VLOOKUP(#REF!,#REF!,6,FALSE)),"",IF(VLOOKUP(#REF!,#REF!,6,FALSE)=0,"",VLOOKUP(#REF!,#REF!,6,FALSE)))</f>
        <v/>
      </c>
      <c r="I92" s="67" t="str">
        <f t="shared" si="5"/>
        <v/>
      </c>
      <c r="J92" s="133"/>
      <c r="K92" s="133"/>
      <c r="L92" s="29"/>
      <c r="M92" s="29"/>
      <c r="N92" s="29"/>
      <c r="O92" s="29"/>
      <c r="P92" s="29"/>
      <c r="Q92" s="29"/>
      <c r="R92" s="29"/>
      <c r="S92" s="29"/>
      <c r="T92" s="57"/>
      <c r="U92" s="29"/>
      <c r="V92" s="29"/>
      <c r="W92" s="81"/>
      <c r="X92" s="85"/>
      <c r="Y92" s="81"/>
      <c r="AA92" s="59">
        <v>1</v>
      </c>
      <c r="AB92" s="59" t="str">
        <f>VLOOKUP(AA92,detail_maturity_score,3,FALSE)</f>
        <v/>
      </c>
    </row>
    <row r="93" spans="1:28" s="55" customFormat="1" ht="18.75" customHeight="1" x14ac:dyDescent="0.2">
      <c r="A93" s="27">
        <v>347</v>
      </c>
      <c r="B93" s="29" t="str">
        <f t="shared" si="7"/>
        <v/>
      </c>
      <c r="C93" s="29">
        <f t="shared" si="8"/>
        <v>3</v>
      </c>
      <c r="D93" s="3"/>
      <c r="E93" s="4"/>
      <c r="F93" s="4"/>
      <c r="G93" s="31"/>
      <c r="H93" s="67" t="str">
        <f>IF(ISERROR(VLOOKUP(#REF!,#REF!,6,FALSE)),"",IF(VLOOKUP(#REF!,#REF!,6,FALSE)=0,"",VLOOKUP(#REF!,#REF!,6,FALSE)))</f>
        <v/>
      </c>
      <c r="I93" s="67" t="str">
        <f t="shared" si="5"/>
        <v/>
      </c>
      <c r="J93" s="133"/>
      <c r="K93" s="133"/>
      <c r="L93" s="29"/>
      <c r="M93" s="29"/>
      <c r="N93" s="29"/>
      <c r="O93" s="29"/>
      <c r="P93" s="29"/>
      <c r="Q93" s="29"/>
      <c r="R93" s="29"/>
      <c r="S93" s="29"/>
      <c r="T93" s="57"/>
      <c r="U93" s="29"/>
      <c r="V93" s="29"/>
      <c r="W93" s="81"/>
      <c r="X93" s="81"/>
      <c r="Y93" s="81"/>
      <c r="AA93" s="59"/>
      <c r="AB93" s="59"/>
    </row>
    <row r="94" spans="1:28" s="55" customFormat="1" ht="16" x14ac:dyDescent="0.2">
      <c r="A94" s="27">
        <v>348</v>
      </c>
      <c r="B94" s="28" t="str">
        <f t="shared" si="7"/>
        <v>2.2.16</v>
      </c>
      <c r="C94" s="29">
        <f t="shared" si="8"/>
        <v>5</v>
      </c>
      <c r="D94" s="3"/>
      <c r="E94" s="4"/>
      <c r="F94" s="4"/>
      <c r="G94" s="31"/>
      <c r="H94" s="67" t="str">
        <f>IF(ISERROR(VLOOKUP(#REF!,#REF!,6,FALSE)),"",IF(VLOOKUP(#REF!,#REF!,6,FALSE)=0,"",VLOOKUP(#REF!,#REF!,6,FALSE)))</f>
        <v/>
      </c>
      <c r="I94" s="67" t="str">
        <f t="shared" si="5"/>
        <v/>
      </c>
      <c r="J94" s="133"/>
      <c r="K94" s="133"/>
      <c r="L94" s="29"/>
      <c r="M94" s="29"/>
      <c r="N94" s="29"/>
      <c r="O94" s="29"/>
      <c r="P94" s="29"/>
      <c r="Q94" s="29"/>
      <c r="R94" s="29"/>
      <c r="S94" s="29"/>
      <c r="T94" s="57"/>
      <c r="U94" s="29"/>
      <c r="V94" s="29"/>
      <c r="W94" s="81"/>
      <c r="X94" s="85"/>
      <c r="Y94" s="81"/>
      <c r="AA94" s="59">
        <v>1</v>
      </c>
      <c r="AB94" s="59" t="str">
        <f>VLOOKUP(AA94,detail_maturity_score,3,FALSE)</f>
        <v/>
      </c>
    </row>
    <row r="95" spans="1:28" s="55" customFormat="1" ht="30" customHeight="1" x14ac:dyDescent="0.2">
      <c r="A95" s="27">
        <v>349</v>
      </c>
      <c r="B95" s="28" t="str">
        <f t="shared" si="7"/>
        <v>2.2.17</v>
      </c>
      <c r="C95" s="29">
        <f t="shared" si="8"/>
        <v>4</v>
      </c>
      <c r="D95" s="3"/>
      <c r="E95" s="4"/>
      <c r="F95" s="4"/>
      <c r="G95" s="31"/>
      <c r="H95" s="67" t="str">
        <f>IF(ISERROR(VLOOKUP(#REF!,#REF!,6,FALSE)),"",IF(VLOOKUP(#REF!,#REF!,6,FALSE)=0,"",VLOOKUP(#REF!,#REF!,6,FALSE)))</f>
        <v/>
      </c>
      <c r="I95" s="67" t="str">
        <f t="shared" si="5"/>
        <v/>
      </c>
      <c r="J95" s="133"/>
      <c r="K95" s="133"/>
      <c r="L95" s="29"/>
      <c r="M95" s="29"/>
      <c r="N95" s="29"/>
      <c r="O95" s="29"/>
      <c r="P95" s="29"/>
      <c r="Q95" s="29"/>
      <c r="R95" s="29"/>
      <c r="S95" s="29"/>
      <c r="T95" s="57"/>
      <c r="U95" s="29"/>
      <c r="V95" s="29"/>
      <c r="W95" s="81"/>
      <c r="X95" s="85"/>
      <c r="Y95" s="81"/>
      <c r="AA95" s="59"/>
      <c r="AB95" s="59"/>
    </row>
    <row r="96" spans="1:28" s="55" customFormat="1" ht="16" x14ac:dyDescent="0.2">
      <c r="A96" s="27">
        <v>350</v>
      </c>
      <c r="B96" s="28" t="str">
        <f t="shared" si="7"/>
        <v>2.2.17a</v>
      </c>
      <c r="C96" s="29">
        <f t="shared" si="8"/>
        <v>6</v>
      </c>
      <c r="D96" s="3"/>
      <c r="E96" s="4"/>
      <c r="F96" s="4"/>
      <c r="G96" s="31"/>
      <c r="H96" s="67" t="str">
        <f>IF(ISERROR(VLOOKUP(#REF!,#REF!,6,FALSE)),"",IF(VLOOKUP(#REF!,#REF!,6,FALSE)=0,"",VLOOKUP(#REF!,#REF!,6,FALSE)))</f>
        <v/>
      </c>
      <c r="I96" s="67" t="str">
        <f t="shared" si="5"/>
        <v/>
      </c>
      <c r="J96" s="133"/>
      <c r="K96" s="133"/>
      <c r="L96" s="29"/>
      <c r="M96" s="29"/>
      <c r="N96" s="29"/>
      <c r="O96" s="29"/>
      <c r="P96" s="29"/>
      <c r="Q96" s="29"/>
      <c r="R96" s="29"/>
      <c r="S96" s="29"/>
      <c r="T96" s="57"/>
      <c r="U96" s="29"/>
      <c r="V96" s="29"/>
      <c r="W96" s="81"/>
      <c r="X96" s="85"/>
      <c r="Y96" s="81"/>
      <c r="AA96" s="59">
        <v>1</v>
      </c>
      <c r="AB96" s="59" t="str">
        <f>VLOOKUP(AA96,detail_maturity_score,3,FALSE)</f>
        <v/>
      </c>
    </row>
    <row r="97" spans="1:28" s="55" customFormat="1" ht="16" x14ac:dyDescent="0.2">
      <c r="A97" s="27">
        <v>351</v>
      </c>
      <c r="B97" s="28" t="str">
        <f t="shared" si="7"/>
        <v>2.2.17b</v>
      </c>
      <c r="C97" s="29">
        <f t="shared" si="8"/>
        <v>6</v>
      </c>
      <c r="D97" s="3"/>
      <c r="E97" s="4"/>
      <c r="F97" s="4"/>
      <c r="G97" s="31"/>
      <c r="H97" s="67" t="str">
        <f>IF(ISERROR(VLOOKUP(#REF!,#REF!,6,FALSE)),"",IF(VLOOKUP(#REF!,#REF!,6,FALSE)=0,"",VLOOKUP(#REF!,#REF!,6,FALSE)))</f>
        <v/>
      </c>
      <c r="I97" s="67" t="str">
        <f t="shared" si="5"/>
        <v/>
      </c>
      <c r="J97" s="133"/>
      <c r="K97" s="133"/>
      <c r="L97" s="29"/>
      <c r="M97" s="29"/>
      <c r="N97" s="29"/>
      <c r="O97" s="29"/>
      <c r="P97" s="29"/>
      <c r="Q97" s="29"/>
      <c r="R97" s="29"/>
      <c r="S97" s="29"/>
      <c r="T97" s="57"/>
      <c r="U97" s="29"/>
      <c r="V97" s="29"/>
      <c r="W97" s="81"/>
      <c r="X97" s="85"/>
      <c r="Y97" s="81"/>
      <c r="AA97" s="59">
        <v>1</v>
      </c>
      <c r="AB97" s="59" t="str">
        <f>VLOOKUP(AA97,detail_maturity_score,3,FALSE)</f>
        <v/>
      </c>
    </row>
    <row r="98" spans="1:28" s="55" customFormat="1" ht="30" customHeight="1" x14ac:dyDescent="0.2">
      <c r="A98" s="27">
        <v>352</v>
      </c>
      <c r="B98" s="28" t="str">
        <f t="shared" si="7"/>
        <v>2.2.18</v>
      </c>
      <c r="C98" s="29">
        <f t="shared" si="8"/>
        <v>4</v>
      </c>
      <c r="D98" s="3"/>
      <c r="E98" s="4"/>
      <c r="F98" s="4"/>
      <c r="G98" s="31"/>
      <c r="H98" s="67" t="str">
        <f>IF(ISERROR(VLOOKUP(#REF!,#REF!,6,FALSE)),"",IF(VLOOKUP(#REF!,#REF!,6,FALSE)=0,"",VLOOKUP(#REF!,#REF!,6,FALSE)))</f>
        <v/>
      </c>
      <c r="I98" s="67" t="str">
        <f t="shared" si="5"/>
        <v/>
      </c>
      <c r="J98" s="133"/>
      <c r="K98" s="133"/>
      <c r="L98" s="29"/>
      <c r="M98" s="29"/>
      <c r="N98" s="29"/>
      <c r="O98" s="29"/>
      <c r="P98" s="29"/>
      <c r="Q98" s="29"/>
      <c r="R98" s="29"/>
      <c r="S98" s="29"/>
      <c r="T98" s="57"/>
      <c r="U98" s="29"/>
      <c r="V98" s="29"/>
      <c r="W98" s="81"/>
      <c r="X98" s="85"/>
      <c r="Y98" s="81"/>
      <c r="AA98" s="59"/>
      <c r="AB98" s="59"/>
    </row>
    <row r="99" spans="1:28" s="55" customFormat="1" ht="16" x14ac:dyDescent="0.2">
      <c r="A99" s="27">
        <v>353</v>
      </c>
      <c r="B99" s="28" t="str">
        <f t="shared" si="7"/>
        <v>2.2.18a</v>
      </c>
      <c r="C99" s="29">
        <f t="shared" si="8"/>
        <v>6</v>
      </c>
      <c r="D99" s="3"/>
      <c r="E99" s="4"/>
      <c r="F99" s="4"/>
      <c r="G99" s="31"/>
      <c r="H99" s="67" t="str">
        <f>IF(ISERROR(VLOOKUP(#REF!,#REF!,6,FALSE)),"",IF(VLOOKUP(#REF!,#REF!,6,FALSE)=0,"",VLOOKUP(#REF!,#REF!,6,FALSE)))</f>
        <v/>
      </c>
      <c r="I99" s="67" t="str">
        <f t="shared" si="5"/>
        <v/>
      </c>
      <c r="J99" s="133"/>
      <c r="K99" s="133"/>
      <c r="L99" s="29"/>
      <c r="M99" s="29"/>
      <c r="N99" s="29"/>
      <c r="O99" s="29"/>
      <c r="P99" s="29"/>
      <c r="Q99" s="29"/>
      <c r="R99" s="29"/>
      <c r="S99" s="29"/>
      <c r="T99" s="57"/>
      <c r="U99" s="29"/>
      <c r="V99" s="29"/>
      <c r="W99" s="81"/>
      <c r="X99" s="85"/>
      <c r="Y99" s="81"/>
      <c r="AA99" s="59">
        <v>1</v>
      </c>
      <c r="AB99" s="59" t="str">
        <f>VLOOKUP(AA99,detail_maturity_score,3,FALSE)</f>
        <v/>
      </c>
    </row>
    <row r="100" spans="1:28" s="55" customFormat="1" ht="16" x14ac:dyDescent="0.2">
      <c r="A100" s="27">
        <v>354</v>
      </c>
      <c r="B100" s="28" t="str">
        <f t="shared" si="7"/>
        <v>2.2.18b</v>
      </c>
      <c r="C100" s="29">
        <f t="shared" si="8"/>
        <v>6</v>
      </c>
      <c r="D100" s="3"/>
      <c r="E100" s="4"/>
      <c r="F100" s="4"/>
      <c r="G100" s="31"/>
      <c r="H100" s="67" t="str">
        <f>IF(ISERROR(VLOOKUP(#REF!,#REF!,6,FALSE)),"",IF(VLOOKUP(#REF!,#REF!,6,FALSE)=0,"",VLOOKUP(#REF!,#REF!,6,FALSE)))</f>
        <v/>
      </c>
      <c r="I100" s="67" t="str">
        <f t="shared" si="5"/>
        <v/>
      </c>
      <c r="J100" s="133"/>
      <c r="K100" s="133"/>
      <c r="L100" s="29"/>
      <c r="M100" s="29"/>
      <c r="N100" s="29"/>
      <c r="O100" s="29"/>
      <c r="P100" s="29"/>
      <c r="Q100" s="29"/>
      <c r="R100" s="29"/>
      <c r="S100" s="29"/>
      <c r="T100" s="57"/>
      <c r="U100" s="29"/>
      <c r="V100" s="29"/>
      <c r="W100" s="81"/>
      <c r="X100" s="85"/>
      <c r="Y100" s="81"/>
      <c r="AA100" s="59">
        <v>1</v>
      </c>
      <c r="AB100" s="59" t="str">
        <f>VLOOKUP(AA100,detail_maturity_score,3,FALSE)</f>
        <v/>
      </c>
    </row>
    <row r="101" spans="1:28" s="55" customFormat="1" ht="16" x14ac:dyDescent="0.2">
      <c r="A101" s="27">
        <v>355</v>
      </c>
      <c r="B101" s="28" t="str">
        <f t="shared" si="7"/>
        <v>2.2.18c</v>
      </c>
      <c r="C101" s="29">
        <f t="shared" si="8"/>
        <v>6</v>
      </c>
      <c r="D101" s="3"/>
      <c r="E101" s="4"/>
      <c r="F101" s="4"/>
      <c r="G101" s="31"/>
      <c r="H101" s="67" t="str">
        <f>IF(ISERROR(VLOOKUP(#REF!,#REF!,6,FALSE)),"",IF(VLOOKUP(#REF!,#REF!,6,FALSE)=0,"",VLOOKUP(#REF!,#REF!,6,FALSE)))</f>
        <v/>
      </c>
      <c r="I101" s="67" t="str">
        <f t="shared" si="5"/>
        <v/>
      </c>
      <c r="J101" s="133"/>
      <c r="K101" s="133"/>
      <c r="L101" s="29"/>
      <c r="M101" s="29"/>
      <c r="N101" s="29"/>
      <c r="O101" s="29"/>
      <c r="P101" s="29"/>
      <c r="Q101" s="29"/>
      <c r="R101" s="29"/>
      <c r="S101" s="29"/>
      <c r="T101" s="57"/>
      <c r="U101" s="29"/>
      <c r="V101" s="29"/>
      <c r="W101" s="81"/>
      <c r="X101" s="85"/>
      <c r="Y101" s="81"/>
      <c r="AA101" s="59">
        <v>1</v>
      </c>
      <c r="AB101" s="59" t="str">
        <f>VLOOKUP(AA101,detail_maturity_score,3,FALSE)</f>
        <v/>
      </c>
    </row>
    <row r="102" spans="1:28" s="55" customFormat="1" ht="30" customHeight="1" x14ac:dyDescent="0.2">
      <c r="A102" s="27">
        <v>356</v>
      </c>
      <c r="B102" s="28" t="str">
        <f t="shared" si="7"/>
        <v>2.2.18d</v>
      </c>
      <c r="C102" s="29">
        <f t="shared" si="8"/>
        <v>6</v>
      </c>
      <c r="D102" s="3"/>
      <c r="E102" s="4"/>
      <c r="F102" s="4"/>
      <c r="G102" s="31"/>
      <c r="H102" s="67" t="str">
        <f>IF(ISERROR(VLOOKUP(#REF!,#REF!,6,FALSE)),"",IF(VLOOKUP(#REF!,#REF!,6,FALSE)=0,"",VLOOKUP(#REF!,#REF!,6,FALSE)))</f>
        <v/>
      </c>
      <c r="I102" s="67" t="str">
        <f t="shared" si="5"/>
        <v/>
      </c>
      <c r="J102" s="133"/>
      <c r="K102" s="133"/>
      <c r="L102" s="29"/>
      <c r="M102" s="29"/>
      <c r="N102" s="29"/>
      <c r="O102" s="29"/>
      <c r="P102" s="29"/>
      <c r="Q102" s="29"/>
      <c r="R102" s="29"/>
      <c r="S102" s="29"/>
      <c r="T102" s="57"/>
      <c r="U102" s="29"/>
      <c r="V102" s="29"/>
      <c r="W102" s="81"/>
      <c r="X102" s="85"/>
      <c r="Y102" s="81"/>
      <c r="AA102" s="59">
        <v>1</v>
      </c>
      <c r="AB102" s="59" t="str">
        <f>VLOOKUP(AA102,detail_maturity_score,3,FALSE)</f>
        <v/>
      </c>
    </row>
    <row r="103" spans="1:28" s="55" customFormat="1" ht="30" customHeight="1" x14ac:dyDescent="0.2">
      <c r="A103" s="27">
        <v>357</v>
      </c>
      <c r="B103" s="28" t="str">
        <f t="shared" si="7"/>
        <v>2.2.19</v>
      </c>
      <c r="C103" s="29">
        <f t="shared" si="8"/>
        <v>4</v>
      </c>
      <c r="D103" s="3"/>
      <c r="E103" s="4"/>
      <c r="F103" s="4"/>
      <c r="G103" s="31"/>
      <c r="H103" s="67" t="str">
        <f>IF(ISERROR(VLOOKUP(#REF!,#REF!,6,FALSE)),"",IF(VLOOKUP(#REF!,#REF!,6,FALSE)=0,"",VLOOKUP(#REF!,#REF!,6,FALSE)))</f>
        <v/>
      </c>
      <c r="I103" s="67" t="str">
        <f t="shared" si="5"/>
        <v/>
      </c>
      <c r="J103" s="133"/>
      <c r="K103" s="133"/>
      <c r="L103" s="29"/>
      <c r="M103" s="29"/>
      <c r="N103" s="29"/>
      <c r="O103" s="29"/>
      <c r="P103" s="29"/>
      <c r="Q103" s="29"/>
      <c r="R103" s="29"/>
      <c r="S103" s="29"/>
      <c r="T103" s="57"/>
      <c r="U103" s="29"/>
      <c r="V103" s="29"/>
      <c r="W103" s="81"/>
      <c r="X103" s="85"/>
      <c r="Y103" s="81"/>
      <c r="AA103" s="59"/>
      <c r="AB103" s="59"/>
    </row>
    <row r="104" spans="1:28" s="55" customFormat="1" ht="30" customHeight="1" x14ac:dyDescent="0.2">
      <c r="A104" s="27">
        <v>358</v>
      </c>
      <c r="B104" s="28" t="str">
        <f t="shared" si="7"/>
        <v>2.2.19a</v>
      </c>
      <c r="C104" s="29">
        <f t="shared" si="8"/>
        <v>6</v>
      </c>
      <c r="D104" s="3"/>
      <c r="E104" s="4"/>
      <c r="F104" s="4"/>
      <c r="G104" s="31"/>
      <c r="H104" s="67" t="str">
        <f>IF(ISERROR(VLOOKUP(#REF!,#REF!,6,FALSE)),"",IF(VLOOKUP(#REF!,#REF!,6,FALSE)=0,"",VLOOKUP(#REF!,#REF!,6,FALSE)))</f>
        <v/>
      </c>
      <c r="I104" s="67" t="str">
        <f t="shared" si="5"/>
        <v/>
      </c>
      <c r="J104" s="133"/>
      <c r="K104" s="133"/>
      <c r="L104" s="29"/>
      <c r="M104" s="29"/>
      <c r="N104" s="29"/>
      <c r="O104" s="29"/>
      <c r="P104" s="29"/>
      <c r="Q104" s="29"/>
      <c r="R104" s="29"/>
      <c r="S104" s="29"/>
      <c r="T104" s="57"/>
      <c r="U104" s="29"/>
      <c r="V104" s="29"/>
      <c r="W104" s="81"/>
      <c r="X104" s="85"/>
      <c r="Y104" s="81"/>
      <c r="AA104" s="59">
        <v>1</v>
      </c>
      <c r="AB104" s="59" t="str">
        <f>VLOOKUP(AA104,detail_maturity_score,3,FALSE)</f>
        <v/>
      </c>
    </row>
    <row r="105" spans="1:28" s="55" customFormat="1" ht="30" customHeight="1" x14ac:dyDescent="0.2">
      <c r="A105" s="27">
        <v>359</v>
      </c>
      <c r="B105" s="28" t="str">
        <f t="shared" si="7"/>
        <v>2.2.19b</v>
      </c>
      <c r="C105" s="29">
        <f t="shared" si="8"/>
        <v>6</v>
      </c>
      <c r="D105" s="3"/>
      <c r="E105" s="4"/>
      <c r="F105" s="4"/>
      <c r="G105" s="31"/>
      <c r="H105" s="67" t="str">
        <f>IF(ISERROR(VLOOKUP(#REF!,#REF!,6,FALSE)),"",IF(VLOOKUP(#REF!,#REF!,6,FALSE)=0,"",VLOOKUP(#REF!,#REF!,6,FALSE)))</f>
        <v/>
      </c>
      <c r="I105" s="67" t="str">
        <f t="shared" si="5"/>
        <v/>
      </c>
      <c r="J105" s="133"/>
      <c r="K105" s="133"/>
      <c r="L105" s="29"/>
      <c r="M105" s="29"/>
      <c r="N105" s="29"/>
      <c r="O105" s="29"/>
      <c r="P105" s="29"/>
      <c r="Q105" s="29"/>
      <c r="R105" s="29"/>
      <c r="S105" s="29"/>
      <c r="T105" s="57"/>
      <c r="U105" s="29"/>
      <c r="V105" s="29"/>
      <c r="W105" s="81"/>
      <c r="X105" s="85"/>
      <c r="Y105" s="81"/>
      <c r="AA105" s="59">
        <v>1</v>
      </c>
      <c r="AB105" s="59" t="str">
        <f>VLOOKUP(AA105,detail_maturity_score,3,FALSE)</f>
        <v/>
      </c>
    </row>
    <row r="106" spans="1:28" s="55" customFormat="1" ht="30" customHeight="1" x14ac:dyDescent="0.2">
      <c r="A106" s="27">
        <v>360</v>
      </c>
      <c r="B106" s="28" t="str">
        <f t="shared" si="7"/>
        <v>2.2.19c</v>
      </c>
      <c r="C106" s="29">
        <f t="shared" si="8"/>
        <v>6</v>
      </c>
      <c r="D106" s="3"/>
      <c r="E106" s="4"/>
      <c r="F106" s="4"/>
      <c r="G106" s="31"/>
      <c r="H106" s="67" t="str">
        <f>IF(ISERROR(VLOOKUP(#REF!,#REF!,6,FALSE)),"",IF(VLOOKUP(#REF!,#REF!,6,FALSE)=0,"",VLOOKUP(#REF!,#REF!,6,FALSE)))</f>
        <v/>
      </c>
      <c r="I106" s="67" t="str">
        <f t="shared" ref="I106:I169" si="9">IF(ISERROR(VLOOKUP(AA107,detail_maturity_score,3,FALSE)*VLOOKUP(H106,weighting_scores,2,FALSE)),"",VLOOKUP(AA107,detail_maturity_score,3,FALSE)*VLOOKUP(H106,weighting_scores,2,FALSE))</f>
        <v/>
      </c>
      <c r="J106" s="133"/>
      <c r="K106" s="133"/>
      <c r="L106" s="29"/>
      <c r="M106" s="29"/>
      <c r="N106" s="29"/>
      <c r="O106" s="29"/>
      <c r="P106" s="29"/>
      <c r="Q106" s="29"/>
      <c r="R106" s="29"/>
      <c r="S106" s="29"/>
      <c r="T106" s="57"/>
      <c r="U106" s="29"/>
      <c r="V106" s="29"/>
      <c r="W106" s="81"/>
      <c r="X106" s="85"/>
      <c r="Y106" s="81"/>
      <c r="AA106" s="59">
        <v>1</v>
      </c>
      <c r="AB106" s="59" t="str">
        <f>VLOOKUP(AA106,detail_maturity_score,3,FALSE)</f>
        <v/>
      </c>
    </row>
    <row r="107" spans="1:28" s="55" customFormat="1" ht="16" x14ac:dyDescent="0.2">
      <c r="A107" s="27">
        <v>361</v>
      </c>
      <c r="B107" s="28" t="str">
        <f t="shared" si="7"/>
        <v>2.2.19d</v>
      </c>
      <c r="C107" s="29">
        <f t="shared" si="8"/>
        <v>6</v>
      </c>
      <c r="D107" s="3"/>
      <c r="E107" s="4"/>
      <c r="F107" s="4"/>
      <c r="G107" s="31"/>
      <c r="H107" s="67" t="str">
        <f>IF(ISERROR(VLOOKUP(#REF!,#REF!,6,FALSE)),"",IF(VLOOKUP(#REF!,#REF!,6,FALSE)=0,"",VLOOKUP(#REF!,#REF!,6,FALSE)))</f>
        <v/>
      </c>
      <c r="I107" s="67" t="str">
        <f t="shared" si="9"/>
        <v/>
      </c>
      <c r="J107" s="133"/>
      <c r="K107" s="133"/>
      <c r="L107" s="29"/>
      <c r="M107" s="29"/>
      <c r="N107" s="29"/>
      <c r="O107" s="29"/>
      <c r="P107" s="29"/>
      <c r="Q107" s="29"/>
      <c r="R107" s="29"/>
      <c r="S107" s="29"/>
      <c r="T107" s="57"/>
      <c r="U107" s="29"/>
      <c r="V107" s="29"/>
      <c r="W107" s="81"/>
      <c r="X107" s="85"/>
      <c r="Y107" s="81"/>
      <c r="AA107" s="59">
        <v>1</v>
      </c>
      <c r="AB107" s="59" t="str">
        <f>VLOOKUP(AA107,detail_maturity_score,3,FALSE)</f>
        <v/>
      </c>
    </row>
    <row r="108" spans="1:28" s="55" customFormat="1" ht="30" customHeight="1" x14ac:dyDescent="0.2">
      <c r="A108" s="27">
        <v>362</v>
      </c>
      <c r="B108" s="28" t="str">
        <f t="shared" si="7"/>
        <v>2.2.20</v>
      </c>
      <c r="C108" s="29">
        <f t="shared" si="8"/>
        <v>4</v>
      </c>
      <c r="D108" s="3"/>
      <c r="E108" s="4"/>
      <c r="F108" s="4"/>
      <c r="G108" s="31"/>
      <c r="H108" s="67" t="str">
        <f>IF(ISERROR(VLOOKUP(#REF!,#REF!,6,FALSE)),"",IF(VLOOKUP(#REF!,#REF!,6,FALSE)=0,"",VLOOKUP(#REF!,#REF!,6,FALSE)))</f>
        <v/>
      </c>
      <c r="I108" s="67" t="str">
        <f t="shared" si="9"/>
        <v/>
      </c>
      <c r="J108" s="133"/>
      <c r="K108" s="133"/>
      <c r="L108" s="29"/>
      <c r="M108" s="29"/>
      <c r="N108" s="29"/>
      <c r="O108" s="29"/>
      <c r="P108" s="29"/>
      <c r="Q108" s="29"/>
      <c r="R108" s="29"/>
      <c r="S108" s="29"/>
      <c r="T108" s="57"/>
      <c r="U108" s="29"/>
      <c r="V108" s="29"/>
      <c r="W108" s="81"/>
      <c r="X108" s="85"/>
      <c r="Y108" s="81"/>
      <c r="AA108" s="59"/>
      <c r="AB108" s="59"/>
    </row>
    <row r="109" spans="1:28" s="55" customFormat="1" ht="30" customHeight="1" x14ac:dyDescent="0.2">
      <c r="A109" s="27">
        <v>363</v>
      </c>
      <c r="B109" s="28" t="str">
        <f t="shared" si="7"/>
        <v>2.2.20a</v>
      </c>
      <c r="C109" s="29">
        <f t="shared" si="8"/>
        <v>6</v>
      </c>
      <c r="D109" s="3"/>
      <c r="E109" s="4"/>
      <c r="F109" s="4"/>
      <c r="G109" s="31"/>
      <c r="H109" s="67" t="str">
        <f>IF(ISERROR(VLOOKUP(#REF!,#REF!,6,FALSE)),"",IF(VLOOKUP(#REF!,#REF!,6,FALSE)=0,"",VLOOKUP(#REF!,#REF!,6,FALSE)))</f>
        <v/>
      </c>
      <c r="I109" s="67" t="str">
        <f t="shared" si="9"/>
        <v/>
      </c>
      <c r="J109" s="133"/>
      <c r="K109" s="133"/>
      <c r="L109" s="29"/>
      <c r="M109" s="29"/>
      <c r="N109" s="29"/>
      <c r="O109" s="29"/>
      <c r="P109" s="29"/>
      <c r="Q109" s="29"/>
      <c r="R109" s="29"/>
      <c r="S109" s="29"/>
      <c r="T109" s="57"/>
      <c r="U109" s="29"/>
      <c r="V109" s="29"/>
      <c r="W109" s="81"/>
      <c r="X109" s="85"/>
      <c r="Y109" s="81"/>
      <c r="AA109" s="59">
        <v>1</v>
      </c>
      <c r="AB109" s="59" t="str">
        <f>VLOOKUP(AA109,detail_maturity_score,3,FALSE)</f>
        <v/>
      </c>
    </row>
    <row r="110" spans="1:28" s="55" customFormat="1" ht="30" customHeight="1" x14ac:dyDescent="0.2">
      <c r="A110" s="27">
        <v>364</v>
      </c>
      <c r="B110" s="28" t="str">
        <f t="shared" si="7"/>
        <v>2.2.20b</v>
      </c>
      <c r="C110" s="29">
        <f t="shared" si="8"/>
        <v>6</v>
      </c>
      <c r="D110" s="3"/>
      <c r="E110" s="4"/>
      <c r="F110" s="4"/>
      <c r="G110" s="29"/>
      <c r="H110" s="67" t="str">
        <f>IF(ISERROR(VLOOKUP(#REF!,#REF!,6,FALSE)),"",IF(VLOOKUP(#REF!,#REF!,6,FALSE)=0,"",VLOOKUP(#REF!,#REF!,6,FALSE)))</f>
        <v/>
      </c>
      <c r="I110" s="67" t="str">
        <f t="shared" si="9"/>
        <v/>
      </c>
      <c r="J110" s="133"/>
      <c r="K110" s="133"/>
      <c r="L110" s="29"/>
      <c r="M110" s="29"/>
      <c r="N110" s="29"/>
      <c r="O110" s="29"/>
      <c r="P110" s="29"/>
      <c r="Q110" s="29"/>
      <c r="R110" s="29"/>
      <c r="S110" s="29"/>
      <c r="T110" s="57"/>
      <c r="U110" s="29"/>
      <c r="V110" s="29"/>
      <c r="W110" s="81"/>
      <c r="X110" s="85"/>
      <c r="Y110" s="81"/>
      <c r="AA110" s="59">
        <v>1</v>
      </c>
      <c r="AB110" s="59" t="str">
        <f>VLOOKUP(AA110,detail_maturity_score,3,FALSE)</f>
        <v/>
      </c>
    </row>
    <row r="111" spans="1:28" s="55" customFormat="1" ht="18.75" customHeight="1" x14ac:dyDescent="0.2">
      <c r="A111" s="27">
        <v>365</v>
      </c>
      <c r="B111" s="29" t="str">
        <f t="shared" si="7"/>
        <v/>
      </c>
      <c r="C111" s="29">
        <f t="shared" si="8"/>
        <v>3</v>
      </c>
      <c r="D111" s="3"/>
      <c r="E111" s="4"/>
      <c r="F111" s="4"/>
      <c r="G111" s="31"/>
      <c r="H111" s="67" t="str">
        <f>IF(ISERROR(VLOOKUP(#REF!,#REF!,6,FALSE)),"",IF(VLOOKUP(#REF!,#REF!,6,FALSE)=0,"",VLOOKUP(#REF!,#REF!,6,FALSE)))</f>
        <v/>
      </c>
      <c r="I111" s="67" t="str">
        <f t="shared" si="9"/>
        <v/>
      </c>
      <c r="J111" s="133"/>
      <c r="K111" s="133"/>
      <c r="L111" s="29"/>
      <c r="M111" s="29"/>
      <c r="N111" s="29"/>
      <c r="O111" s="29"/>
      <c r="P111" s="29"/>
      <c r="Q111" s="29"/>
      <c r="R111" s="29"/>
      <c r="S111" s="29"/>
      <c r="T111" s="57"/>
      <c r="U111" s="29"/>
      <c r="V111" s="29"/>
      <c r="W111" s="81"/>
      <c r="X111" s="81"/>
      <c r="Y111" s="81"/>
      <c r="AA111" s="59"/>
      <c r="AB111" s="59"/>
    </row>
    <row r="112" spans="1:28" s="55" customFormat="1" ht="30" customHeight="1" x14ac:dyDescent="0.2">
      <c r="A112" s="27">
        <v>366</v>
      </c>
      <c r="B112" s="28" t="str">
        <f t="shared" si="7"/>
        <v>2.2.21</v>
      </c>
      <c r="C112" s="29">
        <f t="shared" si="8"/>
        <v>5</v>
      </c>
      <c r="D112" s="3"/>
      <c r="E112" s="4"/>
      <c r="F112" s="4"/>
      <c r="G112" s="31"/>
      <c r="H112" s="67" t="str">
        <f>IF(ISERROR(VLOOKUP(#REF!,#REF!,6,FALSE)),"",IF(VLOOKUP(#REF!,#REF!,6,FALSE)=0,"",VLOOKUP(#REF!,#REF!,6,FALSE)))</f>
        <v/>
      </c>
      <c r="I112" s="67" t="str">
        <f t="shared" si="9"/>
        <v/>
      </c>
      <c r="J112" s="133"/>
      <c r="K112" s="133"/>
      <c r="L112" s="29"/>
      <c r="M112" s="29"/>
      <c r="N112" s="29"/>
      <c r="O112" s="29"/>
      <c r="P112" s="29"/>
      <c r="Q112" s="29"/>
      <c r="R112" s="29"/>
      <c r="S112" s="29"/>
      <c r="T112" s="57"/>
      <c r="U112" s="29"/>
      <c r="V112" s="29"/>
      <c r="W112" s="81"/>
      <c r="X112" s="85"/>
      <c r="Y112" s="81"/>
      <c r="AA112" s="59">
        <v>1</v>
      </c>
      <c r="AB112" s="59" t="str">
        <f>VLOOKUP(AA112,detail_maturity_score,3,FALSE)</f>
        <v/>
      </c>
    </row>
    <row r="113" spans="1:28" s="55" customFormat="1" ht="30" customHeight="1" x14ac:dyDescent="0.2">
      <c r="A113" s="27">
        <v>367</v>
      </c>
      <c r="B113" s="28" t="str">
        <f t="shared" si="7"/>
        <v>2.2.22</v>
      </c>
      <c r="C113" s="29">
        <f t="shared" si="8"/>
        <v>4</v>
      </c>
      <c r="D113" s="3"/>
      <c r="E113" s="4"/>
      <c r="F113" s="4"/>
      <c r="G113" s="31"/>
      <c r="H113" s="67" t="str">
        <f>IF(ISERROR(VLOOKUP(#REF!,#REF!,6,FALSE)),"",IF(VLOOKUP(#REF!,#REF!,6,FALSE)=0,"",VLOOKUP(#REF!,#REF!,6,FALSE)))</f>
        <v/>
      </c>
      <c r="I113" s="67" t="str">
        <f t="shared" si="9"/>
        <v/>
      </c>
      <c r="J113" s="133"/>
      <c r="K113" s="133"/>
      <c r="L113" s="29"/>
      <c r="M113" s="29"/>
      <c r="N113" s="29"/>
      <c r="O113" s="29"/>
      <c r="P113" s="29"/>
      <c r="Q113" s="29"/>
      <c r="R113" s="29"/>
      <c r="S113" s="29"/>
      <c r="T113" s="57"/>
      <c r="U113" s="29"/>
      <c r="V113" s="29"/>
      <c r="W113" s="81"/>
      <c r="X113" s="85"/>
      <c r="Y113" s="81"/>
      <c r="AA113" s="59"/>
      <c r="AB113" s="59"/>
    </row>
    <row r="114" spans="1:28" s="55" customFormat="1" ht="30" customHeight="1" x14ac:dyDescent="0.2">
      <c r="A114" s="27">
        <v>368</v>
      </c>
      <c r="B114" s="28" t="str">
        <f t="shared" si="7"/>
        <v>2.2.22a</v>
      </c>
      <c r="C114" s="29">
        <f t="shared" si="8"/>
        <v>6</v>
      </c>
      <c r="D114" s="3"/>
      <c r="E114" s="4"/>
      <c r="F114" s="4"/>
      <c r="G114" s="40"/>
      <c r="H114" s="68" t="str">
        <f>IF(ISERROR(VLOOKUP(#REF!,#REF!,6,FALSE)),"",IF(VLOOKUP(#REF!,#REF!,6,FALSE)=0,"",VLOOKUP(#REF!,#REF!,6,FALSE)))</f>
        <v/>
      </c>
      <c r="I114" s="68" t="str">
        <f t="shared" si="9"/>
        <v/>
      </c>
      <c r="J114" s="133"/>
      <c r="K114" s="133"/>
      <c r="L114" s="29"/>
      <c r="M114" s="29"/>
      <c r="N114" s="29"/>
      <c r="O114" s="29"/>
      <c r="P114" s="29"/>
      <c r="Q114" s="29"/>
      <c r="R114" s="29"/>
      <c r="S114" s="29"/>
      <c r="T114" s="57"/>
      <c r="U114" s="29"/>
      <c r="V114" s="29"/>
      <c r="W114" s="81"/>
      <c r="X114" s="85"/>
      <c r="Y114" s="81"/>
      <c r="AA114" s="59">
        <v>1</v>
      </c>
      <c r="AB114" s="59" t="str">
        <f>VLOOKUP(AA114,detail_maturity_score,3,FALSE)</f>
        <v/>
      </c>
    </row>
    <row r="115" spans="1:28" s="55" customFormat="1" ht="20" x14ac:dyDescent="0.2">
      <c r="A115" s="27">
        <v>369</v>
      </c>
      <c r="B115" s="28" t="str">
        <f t="shared" si="7"/>
        <v>2.2.22b</v>
      </c>
      <c r="C115" s="29">
        <f t="shared" si="8"/>
        <v>6</v>
      </c>
      <c r="D115" s="3"/>
      <c r="E115" s="4"/>
      <c r="F115" s="4"/>
      <c r="G115" s="48"/>
      <c r="H115" s="49" t="str">
        <f>IF(ISERROR(VLOOKUP(#REF!,#REF!,6,FALSE)),"",IF(VLOOKUP(#REF!,#REF!,6,FALSE)=0,"",VLOOKUP(#REF!,#REF!,6,FALSE)))</f>
        <v/>
      </c>
      <c r="I115" s="49" t="str">
        <f t="shared" si="9"/>
        <v/>
      </c>
      <c r="J115" s="134"/>
      <c r="K115" s="134"/>
      <c r="L115" s="37"/>
      <c r="M115" s="37"/>
      <c r="N115" s="37"/>
      <c r="O115" s="37"/>
      <c r="P115" s="37"/>
      <c r="Q115" s="37"/>
      <c r="R115" s="37"/>
      <c r="S115" s="37"/>
      <c r="T115" s="77"/>
      <c r="U115" s="37"/>
      <c r="V115" s="37"/>
      <c r="W115" s="82"/>
      <c r="X115" s="86"/>
      <c r="Y115" s="82"/>
      <c r="Z115" s="56"/>
      <c r="AA115" s="58">
        <v>1</v>
      </c>
      <c r="AB115" s="58" t="str">
        <f>VLOOKUP(AA115,detail_maturity_score,3,FALSE)</f>
        <v/>
      </c>
    </row>
    <row r="116" spans="1:28" s="54" customFormat="1" ht="30" customHeight="1" x14ac:dyDescent="0.2">
      <c r="A116" s="27">
        <v>370</v>
      </c>
      <c r="B116" s="28" t="str">
        <f t="shared" si="7"/>
        <v>2.3</v>
      </c>
      <c r="C116" s="29">
        <f t="shared" si="8"/>
        <v>2</v>
      </c>
      <c r="D116" s="3"/>
      <c r="E116" s="4"/>
      <c r="F116" s="4"/>
      <c r="G116" s="43"/>
      <c r="H116" s="69" t="str">
        <f>IF(ISERROR(VLOOKUP(#REF!,#REF!,6,FALSE)),"",IF(VLOOKUP(#REF!,#REF!,6,FALSE)=0,"",VLOOKUP(#REF!,#REF!,6,FALSE)))</f>
        <v/>
      </c>
      <c r="I116" s="69" t="str">
        <f t="shared" si="9"/>
        <v/>
      </c>
      <c r="J116" s="49"/>
      <c r="K116" s="49"/>
      <c r="L116" s="49"/>
      <c r="M116" s="48"/>
      <c r="N116" s="48"/>
      <c r="O116" s="48"/>
      <c r="P116" s="48"/>
      <c r="Q116" s="48"/>
      <c r="R116" s="48"/>
      <c r="S116" s="48"/>
      <c r="T116" s="48"/>
      <c r="U116" s="48"/>
      <c r="V116" s="48"/>
      <c r="W116" s="79"/>
      <c r="X116" s="79"/>
      <c r="Y116" s="83"/>
    </row>
    <row r="117" spans="1:28" s="53" customFormat="1" ht="18.75" customHeight="1" x14ac:dyDescent="0.2">
      <c r="A117" s="27">
        <v>371</v>
      </c>
      <c r="B117" s="29" t="str">
        <f t="shared" si="7"/>
        <v/>
      </c>
      <c r="C117" s="29">
        <f t="shared" si="8"/>
        <v>3</v>
      </c>
      <c r="D117" s="3"/>
      <c r="E117" s="4"/>
      <c r="F117" s="4"/>
      <c r="G117" s="31"/>
      <c r="H117" s="67" t="str">
        <f>IF(ISERROR(VLOOKUP(#REF!,#REF!,6,FALSE)),"",IF(VLOOKUP(#REF!,#REF!,6,FALSE)=0,"",VLOOKUP(#REF!,#REF!,6,FALSE)))</f>
        <v/>
      </c>
      <c r="I117" s="67" t="str">
        <f t="shared" si="9"/>
        <v/>
      </c>
      <c r="J117" s="132"/>
      <c r="K117" s="132"/>
      <c r="L117" s="43"/>
      <c r="M117" s="43"/>
      <c r="N117" s="43"/>
      <c r="O117" s="43"/>
      <c r="P117" s="43"/>
      <c r="Q117" s="43"/>
      <c r="R117" s="43"/>
      <c r="S117" s="43"/>
      <c r="T117" s="78"/>
      <c r="U117" s="43"/>
      <c r="V117" s="43"/>
      <c r="W117" s="80"/>
      <c r="X117" s="80"/>
      <c r="Y117" s="80"/>
      <c r="AA117" s="59"/>
      <c r="AB117" s="59"/>
    </row>
    <row r="118" spans="1:28" s="55" customFormat="1" ht="16" x14ac:dyDescent="0.2">
      <c r="A118" s="27">
        <v>372</v>
      </c>
      <c r="B118" s="28" t="str">
        <f t="shared" si="7"/>
        <v>2.3.01</v>
      </c>
      <c r="C118" s="29">
        <f t="shared" si="8"/>
        <v>5</v>
      </c>
      <c r="D118" s="3"/>
      <c r="E118" s="4"/>
      <c r="F118" s="4"/>
      <c r="G118" s="31"/>
      <c r="H118" s="67" t="str">
        <f>IF(ISERROR(VLOOKUP(#REF!,#REF!,6,FALSE)),"",IF(VLOOKUP(#REF!,#REF!,6,FALSE)=0,"",VLOOKUP(#REF!,#REF!,6,FALSE)))</f>
        <v/>
      </c>
      <c r="I118" s="67" t="str">
        <f t="shared" si="9"/>
        <v/>
      </c>
      <c r="J118" s="133"/>
      <c r="K118" s="133"/>
      <c r="L118" s="29"/>
      <c r="M118" s="29"/>
      <c r="N118" s="29"/>
      <c r="O118" s="29"/>
      <c r="P118" s="29"/>
      <c r="Q118" s="29"/>
      <c r="R118" s="29"/>
      <c r="S118" s="29"/>
      <c r="T118" s="57"/>
      <c r="U118" s="29"/>
      <c r="V118" s="29"/>
      <c r="W118" s="81"/>
      <c r="X118" s="85"/>
      <c r="Y118" s="81"/>
      <c r="AA118" s="59">
        <v>1</v>
      </c>
      <c r="AB118" s="59" t="str">
        <f>VLOOKUP(AA118,detail_maturity_score,3,FALSE)</f>
        <v/>
      </c>
    </row>
    <row r="119" spans="1:28" s="55" customFormat="1" ht="30" customHeight="1" x14ac:dyDescent="0.2">
      <c r="A119" s="27">
        <v>373</v>
      </c>
      <c r="B119" s="28" t="str">
        <f t="shared" si="7"/>
        <v>2.3.02</v>
      </c>
      <c r="C119" s="29">
        <f t="shared" si="8"/>
        <v>4</v>
      </c>
      <c r="D119" s="3"/>
      <c r="E119" s="4"/>
      <c r="F119" s="4"/>
      <c r="G119" s="31"/>
      <c r="H119" s="67" t="str">
        <f>IF(ISERROR(VLOOKUP(#REF!,#REF!,6,FALSE)),"",IF(VLOOKUP(#REF!,#REF!,6,FALSE)=0,"",VLOOKUP(#REF!,#REF!,6,FALSE)))</f>
        <v/>
      </c>
      <c r="I119" s="67" t="str">
        <f t="shared" si="9"/>
        <v/>
      </c>
      <c r="J119" s="133"/>
      <c r="K119" s="133"/>
      <c r="L119" s="29"/>
      <c r="M119" s="29"/>
      <c r="N119" s="29"/>
      <c r="O119" s="29"/>
      <c r="P119" s="29"/>
      <c r="Q119" s="29"/>
      <c r="R119" s="29"/>
      <c r="S119" s="29"/>
      <c r="T119" s="57"/>
      <c r="U119" s="29"/>
      <c r="V119" s="29"/>
      <c r="W119" s="81"/>
      <c r="X119" s="85"/>
      <c r="Y119" s="81"/>
      <c r="AA119" s="59"/>
      <c r="AB119" s="59"/>
    </row>
    <row r="120" spans="1:28" s="55" customFormat="1" ht="30" customHeight="1" x14ac:dyDescent="0.2">
      <c r="A120" s="27">
        <v>374</v>
      </c>
      <c r="B120" s="28" t="str">
        <f t="shared" si="7"/>
        <v>2.3.02a</v>
      </c>
      <c r="C120" s="29">
        <f t="shared" si="8"/>
        <v>6</v>
      </c>
      <c r="D120" s="3"/>
      <c r="E120" s="4"/>
      <c r="F120" s="4"/>
      <c r="G120" s="31"/>
      <c r="H120" s="67" t="str">
        <f>IF(ISERROR(VLOOKUP(#REF!,#REF!,6,FALSE)),"",IF(VLOOKUP(#REF!,#REF!,6,FALSE)=0,"",VLOOKUP(#REF!,#REF!,6,FALSE)))</f>
        <v/>
      </c>
      <c r="I120" s="67" t="str">
        <f t="shared" si="9"/>
        <v/>
      </c>
      <c r="J120" s="133"/>
      <c r="K120" s="133"/>
      <c r="L120" s="29"/>
      <c r="M120" s="29"/>
      <c r="N120" s="29"/>
      <c r="O120" s="29"/>
      <c r="P120" s="29"/>
      <c r="Q120" s="29"/>
      <c r="R120" s="29"/>
      <c r="S120" s="29"/>
      <c r="T120" s="57"/>
      <c r="U120" s="29"/>
      <c r="V120" s="29"/>
      <c r="W120" s="81"/>
      <c r="X120" s="85"/>
      <c r="Y120" s="81"/>
      <c r="AA120" s="59">
        <v>1</v>
      </c>
      <c r="AB120" s="59" t="str">
        <f>VLOOKUP(AA120,detail_maturity_score,3,FALSE)</f>
        <v/>
      </c>
    </row>
    <row r="121" spans="1:28" s="55" customFormat="1" ht="30" customHeight="1" x14ac:dyDescent="0.2">
      <c r="A121" s="27">
        <v>375</v>
      </c>
      <c r="B121" s="28" t="str">
        <f t="shared" si="7"/>
        <v>2.3.02b</v>
      </c>
      <c r="C121" s="29">
        <f t="shared" si="8"/>
        <v>6</v>
      </c>
      <c r="D121" s="3"/>
      <c r="E121" s="4"/>
      <c r="F121" s="4"/>
      <c r="G121" s="31"/>
      <c r="H121" s="67" t="str">
        <f>IF(ISERROR(VLOOKUP(#REF!,#REF!,6,FALSE)),"",IF(VLOOKUP(#REF!,#REF!,6,FALSE)=0,"",VLOOKUP(#REF!,#REF!,6,FALSE)))</f>
        <v/>
      </c>
      <c r="I121" s="67" t="str">
        <f t="shared" si="9"/>
        <v/>
      </c>
      <c r="J121" s="133"/>
      <c r="K121" s="133"/>
      <c r="L121" s="29"/>
      <c r="M121" s="29"/>
      <c r="N121" s="29"/>
      <c r="O121" s="29"/>
      <c r="P121" s="29"/>
      <c r="Q121" s="29"/>
      <c r="R121" s="29"/>
      <c r="S121" s="29"/>
      <c r="T121" s="57"/>
      <c r="U121" s="29"/>
      <c r="V121" s="29"/>
      <c r="W121" s="81"/>
      <c r="X121" s="85"/>
      <c r="Y121" s="81"/>
      <c r="AA121" s="59">
        <v>1</v>
      </c>
      <c r="AB121" s="59" t="str">
        <f>VLOOKUP(AA121,detail_maturity_score,3,FALSE)</f>
        <v/>
      </c>
    </row>
    <row r="122" spans="1:28" s="55" customFormat="1" ht="30" customHeight="1" x14ac:dyDescent="0.2">
      <c r="A122" s="27">
        <v>376</v>
      </c>
      <c r="B122" s="28" t="str">
        <f t="shared" si="7"/>
        <v>2.3.02c</v>
      </c>
      <c r="C122" s="29">
        <f t="shared" si="8"/>
        <v>6</v>
      </c>
      <c r="D122" s="3"/>
      <c r="E122" s="4"/>
      <c r="F122" s="4"/>
      <c r="G122" s="31"/>
      <c r="H122" s="67" t="str">
        <f>IF(ISERROR(VLOOKUP(#REF!,#REF!,6,FALSE)),"",IF(VLOOKUP(#REF!,#REF!,6,FALSE)=0,"",VLOOKUP(#REF!,#REF!,6,FALSE)))</f>
        <v/>
      </c>
      <c r="I122" s="67" t="str">
        <f t="shared" si="9"/>
        <v/>
      </c>
      <c r="J122" s="133"/>
      <c r="K122" s="133"/>
      <c r="L122" s="29"/>
      <c r="M122" s="29"/>
      <c r="N122" s="29"/>
      <c r="O122" s="29"/>
      <c r="P122" s="29"/>
      <c r="Q122" s="29"/>
      <c r="R122" s="29"/>
      <c r="S122" s="29"/>
      <c r="T122" s="57"/>
      <c r="U122" s="29"/>
      <c r="V122" s="29"/>
      <c r="W122" s="81"/>
      <c r="X122" s="85"/>
      <c r="Y122" s="81"/>
      <c r="AA122" s="59">
        <v>1</v>
      </c>
      <c r="AB122" s="59" t="str">
        <f>VLOOKUP(AA122,detail_maturity_score,3,FALSE)</f>
        <v/>
      </c>
    </row>
    <row r="123" spans="1:28" s="55" customFormat="1" ht="30" customHeight="1" x14ac:dyDescent="0.2">
      <c r="A123" s="27">
        <v>377</v>
      </c>
      <c r="B123" s="28" t="str">
        <f t="shared" si="7"/>
        <v>2.3.02d</v>
      </c>
      <c r="C123" s="29">
        <f t="shared" si="8"/>
        <v>6</v>
      </c>
      <c r="D123" s="3"/>
      <c r="E123" s="4"/>
      <c r="F123" s="4"/>
      <c r="G123" s="31"/>
      <c r="H123" s="67" t="str">
        <f>IF(ISERROR(VLOOKUP(#REF!,#REF!,6,FALSE)),"",IF(VLOOKUP(#REF!,#REF!,6,FALSE)=0,"",VLOOKUP(#REF!,#REF!,6,FALSE)))</f>
        <v/>
      </c>
      <c r="I123" s="67" t="str">
        <f t="shared" si="9"/>
        <v/>
      </c>
      <c r="J123" s="133"/>
      <c r="K123" s="133"/>
      <c r="L123" s="29"/>
      <c r="M123" s="29"/>
      <c r="N123" s="29"/>
      <c r="O123" s="29"/>
      <c r="P123" s="29"/>
      <c r="Q123" s="29"/>
      <c r="R123" s="29"/>
      <c r="S123" s="29"/>
      <c r="T123" s="57"/>
      <c r="U123" s="29"/>
      <c r="V123" s="29"/>
      <c r="W123" s="81"/>
      <c r="X123" s="85"/>
      <c r="Y123" s="81"/>
      <c r="AA123" s="59">
        <v>1</v>
      </c>
      <c r="AB123" s="59" t="str">
        <f>VLOOKUP(AA123,detail_maturity_score,3,FALSE)</f>
        <v/>
      </c>
    </row>
    <row r="124" spans="1:28" s="55" customFormat="1" ht="30" customHeight="1" x14ac:dyDescent="0.2">
      <c r="A124" s="27">
        <v>378</v>
      </c>
      <c r="B124" s="28" t="str">
        <f t="shared" si="7"/>
        <v>2.3.03</v>
      </c>
      <c r="C124" s="29">
        <f t="shared" si="8"/>
        <v>4</v>
      </c>
      <c r="D124" s="3"/>
      <c r="E124" s="4"/>
      <c r="F124" s="4"/>
      <c r="G124" s="31"/>
      <c r="H124" s="67" t="str">
        <f>IF(ISERROR(VLOOKUP(#REF!,#REF!,6,FALSE)),"",IF(VLOOKUP(#REF!,#REF!,6,FALSE)=0,"",VLOOKUP(#REF!,#REF!,6,FALSE)))</f>
        <v/>
      </c>
      <c r="I124" s="67" t="str">
        <f t="shared" si="9"/>
        <v/>
      </c>
      <c r="J124" s="133"/>
      <c r="K124" s="133"/>
      <c r="L124" s="29"/>
      <c r="M124" s="29"/>
      <c r="N124" s="29"/>
      <c r="O124" s="29"/>
      <c r="P124" s="29"/>
      <c r="Q124" s="29"/>
      <c r="R124" s="29"/>
      <c r="S124" s="29"/>
      <c r="T124" s="57"/>
      <c r="U124" s="29"/>
      <c r="V124" s="29"/>
      <c r="W124" s="81"/>
      <c r="X124" s="85"/>
      <c r="Y124" s="81"/>
      <c r="AA124" s="59"/>
      <c r="AB124" s="59"/>
    </row>
    <row r="125" spans="1:28" s="55" customFormat="1" ht="30" customHeight="1" x14ac:dyDescent="0.2">
      <c r="A125" s="27">
        <v>379</v>
      </c>
      <c r="B125" s="28" t="str">
        <f t="shared" si="7"/>
        <v>2.3.03a</v>
      </c>
      <c r="C125" s="29">
        <f t="shared" si="8"/>
        <v>6</v>
      </c>
      <c r="D125" s="3"/>
      <c r="E125" s="4"/>
      <c r="F125" s="4"/>
      <c r="G125" s="31"/>
      <c r="H125" s="67" t="str">
        <f>IF(ISERROR(VLOOKUP(#REF!,#REF!,6,FALSE)),"",IF(VLOOKUP(#REF!,#REF!,6,FALSE)=0,"",VLOOKUP(#REF!,#REF!,6,FALSE)))</f>
        <v/>
      </c>
      <c r="I125" s="67" t="str">
        <f t="shared" si="9"/>
        <v/>
      </c>
      <c r="J125" s="133"/>
      <c r="K125" s="133"/>
      <c r="L125" s="29"/>
      <c r="M125" s="29"/>
      <c r="N125" s="29"/>
      <c r="O125" s="29"/>
      <c r="P125" s="29"/>
      <c r="Q125" s="29"/>
      <c r="R125" s="29"/>
      <c r="S125" s="29"/>
      <c r="T125" s="57"/>
      <c r="U125" s="29"/>
      <c r="V125" s="29"/>
      <c r="W125" s="81"/>
      <c r="X125" s="85"/>
      <c r="Y125" s="81"/>
      <c r="AA125" s="59">
        <v>1</v>
      </c>
      <c r="AB125" s="59" t="str">
        <f t="shared" ref="AB125:AB130" si="10">VLOOKUP(AA125,detail_maturity_score,3,FALSE)</f>
        <v/>
      </c>
    </row>
    <row r="126" spans="1:28" s="55" customFormat="1" ht="30" customHeight="1" x14ac:dyDescent="0.2">
      <c r="A126" s="27">
        <v>380</v>
      </c>
      <c r="B126" s="28" t="str">
        <f t="shared" si="7"/>
        <v>2.3.03b</v>
      </c>
      <c r="C126" s="29">
        <f t="shared" si="8"/>
        <v>6</v>
      </c>
      <c r="D126" s="3"/>
      <c r="E126" s="4"/>
      <c r="F126" s="4"/>
      <c r="G126" s="31"/>
      <c r="H126" s="67" t="str">
        <f>IF(ISERROR(VLOOKUP(#REF!,#REF!,6,FALSE)),"",IF(VLOOKUP(#REF!,#REF!,6,FALSE)=0,"",VLOOKUP(#REF!,#REF!,6,FALSE)))</f>
        <v/>
      </c>
      <c r="I126" s="67" t="str">
        <f t="shared" si="9"/>
        <v/>
      </c>
      <c r="J126" s="133"/>
      <c r="K126" s="133"/>
      <c r="L126" s="29"/>
      <c r="M126" s="29"/>
      <c r="N126" s="29"/>
      <c r="O126" s="29"/>
      <c r="P126" s="29"/>
      <c r="Q126" s="29"/>
      <c r="R126" s="29"/>
      <c r="S126" s="29"/>
      <c r="T126" s="57"/>
      <c r="U126" s="29"/>
      <c r="V126" s="29"/>
      <c r="W126" s="81"/>
      <c r="X126" s="85"/>
      <c r="Y126" s="81"/>
      <c r="AA126" s="59">
        <v>1</v>
      </c>
      <c r="AB126" s="59" t="str">
        <f t="shared" si="10"/>
        <v/>
      </c>
    </row>
    <row r="127" spans="1:28" s="55" customFormat="1" ht="30" customHeight="1" x14ac:dyDescent="0.2">
      <c r="A127" s="27">
        <v>381</v>
      </c>
      <c r="B127" s="28" t="str">
        <f t="shared" si="7"/>
        <v>2.3.03c</v>
      </c>
      <c r="C127" s="29">
        <f t="shared" si="8"/>
        <v>6</v>
      </c>
      <c r="D127" s="3"/>
      <c r="E127" s="4"/>
      <c r="F127" s="4"/>
      <c r="G127" s="31"/>
      <c r="H127" s="67" t="str">
        <f>IF(ISERROR(VLOOKUP(#REF!,#REF!,6,FALSE)),"",IF(VLOOKUP(#REF!,#REF!,6,FALSE)=0,"",VLOOKUP(#REF!,#REF!,6,FALSE)))</f>
        <v/>
      </c>
      <c r="I127" s="67" t="str">
        <f t="shared" si="9"/>
        <v/>
      </c>
      <c r="J127" s="133"/>
      <c r="K127" s="133"/>
      <c r="L127" s="29"/>
      <c r="M127" s="29"/>
      <c r="N127" s="29"/>
      <c r="O127" s="29"/>
      <c r="P127" s="29"/>
      <c r="Q127" s="29"/>
      <c r="R127" s="29"/>
      <c r="S127" s="29"/>
      <c r="T127" s="57"/>
      <c r="U127" s="29"/>
      <c r="V127" s="29"/>
      <c r="W127" s="81"/>
      <c r="X127" s="85"/>
      <c r="Y127" s="81"/>
      <c r="AA127" s="59">
        <v>1</v>
      </c>
      <c r="AB127" s="59" t="str">
        <f t="shared" si="10"/>
        <v/>
      </c>
    </row>
    <row r="128" spans="1:28" s="55" customFormat="1" ht="30" customHeight="1" x14ac:dyDescent="0.2">
      <c r="A128" s="27">
        <v>382</v>
      </c>
      <c r="B128" s="28" t="str">
        <f t="shared" si="7"/>
        <v>2.3.03d</v>
      </c>
      <c r="C128" s="29">
        <f t="shared" si="8"/>
        <v>6</v>
      </c>
      <c r="D128" s="3"/>
      <c r="E128" s="4"/>
      <c r="F128" s="4"/>
      <c r="G128" s="31"/>
      <c r="H128" s="67" t="str">
        <f>IF(ISERROR(VLOOKUP(#REF!,#REF!,6,FALSE)),"",IF(VLOOKUP(#REF!,#REF!,6,FALSE)=0,"",VLOOKUP(#REF!,#REF!,6,FALSE)))</f>
        <v/>
      </c>
      <c r="I128" s="67" t="str">
        <f t="shared" si="9"/>
        <v/>
      </c>
      <c r="J128" s="133"/>
      <c r="K128" s="133"/>
      <c r="L128" s="29"/>
      <c r="M128" s="29"/>
      <c r="N128" s="29"/>
      <c r="O128" s="29"/>
      <c r="P128" s="29"/>
      <c r="Q128" s="29"/>
      <c r="R128" s="29"/>
      <c r="S128" s="29"/>
      <c r="T128" s="57"/>
      <c r="U128" s="29"/>
      <c r="V128" s="29"/>
      <c r="W128" s="81"/>
      <c r="X128" s="85"/>
      <c r="Y128" s="81"/>
      <c r="AA128" s="59">
        <v>1</v>
      </c>
      <c r="AB128" s="59" t="str">
        <f t="shared" si="10"/>
        <v/>
      </c>
    </row>
    <row r="129" spans="1:28" s="55" customFormat="1" ht="16" x14ac:dyDescent="0.2">
      <c r="A129" s="27">
        <v>383</v>
      </c>
      <c r="B129" s="28" t="str">
        <f t="shared" si="7"/>
        <v>2.3.04</v>
      </c>
      <c r="C129" s="29">
        <f t="shared" si="8"/>
        <v>5</v>
      </c>
      <c r="D129" s="3"/>
      <c r="E129" s="4"/>
      <c r="F129" s="4"/>
      <c r="G129" s="31"/>
      <c r="H129" s="67" t="str">
        <f>IF(ISERROR(VLOOKUP(#REF!,#REF!,6,FALSE)),"",IF(VLOOKUP(#REF!,#REF!,6,FALSE)=0,"",VLOOKUP(#REF!,#REF!,6,FALSE)))</f>
        <v/>
      </c>
      <c r="I129" s="67" t="str">
        <f t="shared" si="9"/>
        <v/>
      </c>
      <c r="J129" s="133"/>
      <c r="K129" s="133"/>
      <c r="L129" s="29"/>
      <c r="M129" s="29"/>
      <c r="N129" s="29"/>
      <c r="O129" s="29"/>
      <c r="P129" s="29"/>
      <c r="Q129" s="29"/>
      <c r="R129" s="29"/>
      <c r="S129" s="29"/>
      <c r="T129" s="57"/>
      <c r="U129" s="29"/>
      <c r="V129" s="29"/>
      <c r="W129" s="81"/>
      <c r="X129" s="85"/>
      <c r="Y129" s="81"/>
      <c r="AA129" s="59">
        <v>1</v>
      </c>
      <c r="AB129" s="59" t="str">
        <f t="shared" si="10"/>
        <v/>
      </c>
    </row>
    <row r="130" spans="1:28" s="55" customFormat="1" ht="16" x14ac:dyDescent="0.2">
      <c r="A130" s="27">
        <v>384</v>
      </c>
      <c r="B130" s="28" t="str">
        <f t="shared" si="7"/>
        <v>2.3.05</v>
      </c>
      <c r="C130" s="29">
        <f t="shared" si="8"/>
        <v>5</v>
      </c>
      <c r="D130" s="3"/>
      <c r="E130" s="4"/>
      <c r="F130" s="4"/>
      <c r="G130" s="31"/>
      <c r="H130" s="67" t="str">
        <f>IF(ISERROR(VLOOKUP(#REF!,#REF!,6,FALSE)),"",IF(VLOOKUP(#REF!,#REF!,6,FALSE)=0,"",VLOOKUP(#REF!,#REF!,6,FALSE)))</f>
        <v/>
      </c>
      <c r="I130" s="67" t="str">
        <f t="shared" si="9"/>
        <v/>
      </c>
      <c r="J130" s="133"/>
      <c r="K130" s="133"/>
      <c r="L130" s="29"/>
      <c r="M130" s="29"/>
      <c r="N130" s="29"/>
      <c r="O130" s="29"/>
      <c r="P130" s="29"/>
      <c r="Q130" s="29"/>
      <c r="R130" s="29"/>
      <c r="S130" s="29"/>
      <c r="T130" s="57"/>
      <c r="U130" s="29"/>
      <c r="V130" s="29"/>
      <c r="W130" s="81"/>
      <c r="X130" s="85"/>
      <c r="Y130" s="81"/>
      <c r="AA130" s="59">
        <v>1</v>
      </c>
      <c r="AB130" s="59" t="str">
        <f t="shared" si="10"/>
        <v/>
      </c>
    </row>
    <row r="131" spans="1:28" s="55" customFormat="1" ht="30" customHeight="1" x14ac:dyDescent="0.2">
      <c r="A131" s="27">
        <v>385</v>
      </c>
      <c r="B131" s="28" t="str">
        <f t="shared" si="7"/>
        <v>2.3.06</v>
      </c>
      <c r="C131" s="29">
        <f t="shared" si="8"/>
        <v>4</v>
      </c>
      <c r="D131" s="3"/>
      <c r="E131" s="4"/>
      <c r="F131" s="4"/>
      <c r="G131" s="31"/>
      <c r="H131" s="67" t="str">
        <f>IF(ISERROR(VLOOKUP(#REF!,#REF!,6,FALSE)),"",IF(VLOOKUP(#REF!,#REF!,6,FALSE)=0,"",VLOOKUP(#REF!,#REF!,6,FALSE)))</f>
        <v/>
      </c>
      <c r="I131" s="67" t="str">
        <f t="shared" si="9"/>
        <v/>
      </c>
      <c r="J131" s="133"/>
      <c r="K131" s="133"/>
      <c r="L131" s="29"/>
      <c r="M131" s="29"/>
      <c r="N131" s="29"/>
      <c r="O131" s="29"/>
      <c r="P131" s="29"/>
      <c r="Q131" s="29"/>
      <c r="R131" s="29"/>
      <c r="S131" s="29"/>
      <c r="T131" s="57"/>
      <c r="U131" s="29"/>
      <c r="V131" s="29"/>
      <c r="W131" s="81"/>
      <c r="X131" s="85"/>
      <c r="Y131" s="81"/>
      <c r="AA131" s="59"/>
      <c r="AB131" s="59"/>
    </row>
    <row r="132" spans="1:28" s="55" customFormat="1" ht="30" customHeight="1" x14ac:dyDescent="0.2">
      <c r="A132" s="27">
        <v>386</v>
      </c>
      <c r="B132" s="28" t="str">
        <f t="shared" si="7"/>
        <v>2.3.06a</v>
      </c>
      <c r="C132" s="29">
        <f t="shared" si="8"/>
        <v>6</v>
      </c>
      <c r="D132" s="3"/>
      <c r="E132" s="4"/>
      <c r="F132" s="4"/>
      <c r="G132" s="31"/>
      <c r="H132" s="67" t="str">
        <f>IF(ISERROR(VLOOKUP(#REF!,#REF!,6,FALSE)),"",IF(VLOOKUP(#REF!,#REF!,6,FALSE)=0,"",VLOOKUP(#REF!,#REF!,6,FALSE)))</f>
        <v/>
      </c>
      <c r="I132" s="67" t="str">
        <f t="shared" si="9"/>
        <v/>
      </c>
      <c r="J132" s="133"/>
      <c r="K132" s="133"/>
      <c r="L132" s="29"/>
      <c r="M132" s="29"/>
      <c r="N132" s="29"/>
      <c r="O132" s="29"/>
      <c r="P132" s="29"/>
      <c r="Q132" s="29"/>
      <c r="R132" s="29"/>
      <c r="S132" s="29"/>
      <c r="T132" s="57"/>
      <c r="U132" s="29"/>
      <c r="V132" s="29"/>
      <c r="W132" s="81"/>
      <c r="X132" s="85"/>
      <c r="Y132" s="81"/>
      <c r="AA132" s="59">
        <v>1</v>
      </c>
      <c r="AB132" s="59" t="str">
        <f t="shared" ref="AB132:AB138" si="11">VLOOKUP(AA132,detail_maturity_score,3,FALSE)</f>
        <v/>
      </c>
    </row>
    <row r="133" spans="1:28" s="55" customFormat="1" ht="30" customHeight="1" x14ac:dyDescent="0.2">
      <c r="A133" s="27">
        <v>387</v>
      </c>
      <c r="B133" s="28" t="str">
        <f t="shared" si="7"/>
        <v>2.3.06b</v>
      </c>
      <c r="C133" s="29">
        <f t="shared" si="8"/>
        <v>6</v>
      </c>
      <c r="D133" s="3"/>
      <c r="E133" s="4"/>
      <c r="F133" s="4"/>
      <c r="G133" s="31"/>
      <c r="H133" s="67" t="str">
        <f>IF(ISERROR(VLOOKUP(#REF!,#REF!,6,FALSE)),"",IF(VLOOKUP(#REF!,#REF!,6,FALSE)=0,"",VLOOKUP(#REF!,#REF!,6,FALSE)))</f>
        <v/>
      </c>
      <c r="I133" s="67" t="str">
        <f t="shared" si="9"/>
        <v/>
      </c>
      <c r="J133" s="133"/>
      <c r="K133" s="133"/>
      <c r="L133" s="29"/>
      <c r="M133" s="29"/>
      <c r="N133" s="29"/>
      <c r="O133" s="29"/>
      <c r="P133" s="29"/>
      <c r="Q133" s="29"/>
      <c r="R133" s="29"/>
      <c r="S133" s="29"/>
      <c r="T133" s="57"/>
      <c r="U133" s="29"/>
      <c r="V133" s="29"/>
      <c r="W133" s="81"/>
      <c r="X133" s="85"/>
      <c r="Y133" s="81"/>
      <c r="AA133" s="59">
        <v>1</v>
      </c>
      <c r="AB133" s="59" t="str">
        <f t="shared" si="11"/>
        <v/>
      </c>
    </row>
    <row r="134" spans="1:28" s="55" customFormat="1" ht="30" customHeight="1" x14ac:dyDescent="0.2">
      <c r="A134" s="27">
        <v>388</v>
      </c>
      <c r="B134" s="28" t="str">
        <f t="shared" si="7"/>
        <v>2.3.06c</v>
      </c>
      <c r="C134" s="29">
        <f t="shared" si="8"/>
        <v>6</v>
      </c>
      <c r="D134" s="3"/>
      <c r="E134" s="4"/>
      <c r="F134" s="4"/>
      <c r="G134" s="31"/>
      <c r="H134" s="67" t="str">
        <f>IF(ISERROR(VLOOKUP(#REF!,#REF!,6,FALSE)),"",IF(VLOOKUP(#REF!,#REF!,6,FALSE)=0,"",VLOOKUP(#REF!,#REF!,6,FALSE)))</f>
        <v/>
      </c>
      <c r="I134" s="67" t="str">
        <f t="shared" si="9"/>
        <v/>
      </c>
      <c r="J134" s="133"/>
      <c r="K134" s="133"/>
      <c r="L134" s="29"/>
      <c r="M134" s="29"/>
      <c r="N134" s="29"/>
      <c r="O134" s="29"/>
      <c r="P134" s="29"/>
      <c r="Q134" s="29"/>
      <c r="R134" s="29"/>
      <c r="S134" s="29"/>
      <c r="T134" s="57"/>
      <c r="U134" s="29"/>
      <c r="V134" s="29"/>
      <c r="W134" s="81"/>
      <c r="X134" s="85"/>
      <c r="Y134" s="81"/>
      <c r="AA134" s="59">
        <v>1</v>
      </c>
      <c r="AB134" s="59" t="str">
        <f t="shared" si="11"/>
        <v/>
      </c>
    </row>
    <row r="135" spans="1:28" s="55" customFormat="1" ht="30" customHeight="1" x14ac:dyDescent="0.2">
      <c r="A135" s="27">
        <v>389</v>
      </c>
      <c r="B135" s="28" t="str">
        <f t="shared" si="7"/>
        <v>2.3.06d</v>
      </c>
      <c r="C135" s="29">
        <f t="shared" si="8"/>
        <v>6</v>
      </c>
      <c r="D135" s="3"/>
      <c r="E135" s="4"/>
      <c r="F135" s="4"/>
      <c r="G135" s="31"/>
      <c r="H135" s="67" t="str">
        <f>IF(ISERROR(VLOOKUP(#REF!,#REF!,6,FALSE)),"",IF(VLOOKUP(#REF!,#REF!,6,FALSE)=0,"",VLOOKUP(#REF!,#REF!,6,FALSE)))</f>
        <v/>
      </c>
      <c r="I135" s="67" t="str">
        <f t="shared" si="9"/>
        <v/>
      </c>
      <c r="J135" s="133"/>
      <c r="K135" s="133"/>
      <c r="L135" s="29"/>
      <c r="M135" s="29"/>
      <c r="N135" s="29"/>
      <c r="O135" s="29"/>
      <c r="P135" s="29"/>
      <c r="Q135" s="29"/>
      <c r="R135" s="29"/>
      <c r="S135" s="29"/>
      <c r="T135" s="57"/>
      <c r="U135" s="29"/>
      <c r="V135" s="29"/>
      <c r="W135" s="81"/>
      <c r="X135" s="85"/>
      <c r="Y135" s="81"/>
      <c r="AA135" s="59">
        <v>1</v>
      </c>
      <c r="AB135" s="59" t="str">
        <f t="shared" si="11"/>
        <v/>
      </c>
    </row>
    <row r="136" spans="1:28" s="55" customFormat="1" ht="30" customHeight="1" x14ac:dyDescent="0.2">
      <c r="A136" s="27">
        <v>390</v>
      </c>
      <c r="B136" s="28" t="str">
        <f t="shared" ref="B136:B199" si="12">VLOOKUP(A136,contentref,2,FALSE)</f>
        <v>2.3.06e</v>
      </c>
      <c r="C136" s="29">
        <f t="shared" ref="C136:C199" si="13">VLOOKUP(A136,contentref,15,FALSE)</f>
        <v>6</v>
      </c>
      <c r="D136" s="3"/>
      <c r="E136" s="4"/>
      <c r="F136" s="4"/>
      <c r="G136" s="31"/>
      <c r="H136" s="67" t="str">
        <f>IF(ISERROR(VLOOKUP(#REF!,#REF!,6,FALSE)),"",IF(VLOOKUP(#REF!,#REF!,6,FALSE)=0,"",VLOOKUP(#REF!,#REF!,6,FALSE)))</f>
        <v/>
      </c>
      <c r="I136" s="67" t="str">
        <f t="shared" si="9"/>
        <v/>
      </c>
      <c r="J136" s="133"/>
      <c r="K136" s="133"/>
      <c r="L136" s="29"/>
      <c r="M136" s="29"/>
      <c r="N136" s="29"/>
      <c r="O136" s="29"/>
      <c r="P136" s="29"/>
      <c r="Q136" s="29"/>
      <c r="R136" s="29"/>
      <c r="S136" s="29"/>
      <c r="T136" s="57"/>
      <c r="U136" s="29"/>
      <c r="V136" s="29"/>
      <c r="W136" s="81"/>
      <c r="X136" s="85"/>
      <c r="Y136" s="81"/>
      <c r="AA136" s="59">
        <v>1</v>
      </c>
      <c r="AB136" s="59" t="str">
        <f t="shared" si="11"/>
        <v/>
      </c>
    </row>
    <row r="137" spans="1:28" s="55" customFormat="1" ht="30" customHeight="1" x14ac:dyDescent="0.2">
      <c r="A137" s="27">
        <v>391</v>
      </c>
      <c r="B137" s="28" t="str">
        <f t="shared" si="12"/>
        <v>2.3.06f</v>
      </c>
      <c r="C137" s="29">
        <f t="shared" si="13"/>
        <v>6</v>
      </c>
      <c r="D137" s="3"/>
      <c r="E137" s="4"/>
      <c r="F137" s="4"/>
      <c r="G137" s="31"/>
      <c r="H137" s="67" t="str">
        <f>IF(ISERROR(VLOOKUP(#REF!,#REF!,6,FALSE)),"",IF(VLOOKUP(#REF!,#REF!,6,FALSE)=0,"",VLOOKUP(#REF!,#REF!,6,FALSE)))</f>
        <v/>
      </c>
      <c r="I137" s="67" t="str">
        <f t="shared" si="9"/>
        <v/>
      </c>
      <c r="J137" s="133"/>
      <c r="K137" s="133"/>
      <c r="L137" s="29"/>
      <c r="M137" s="29"/>
      <c r="N137" s="29"/>
      <c r="O137" s="29"/>
      <c r="P137" s="29"/>
      <c r="Q137" s="29"/>
      <c r="R137" s="29"/>
      <c r="S137" s="29"/>
      <c r="T137" s="57"/>
      <c r="U137" s="29"/>
      <c r="V137" s="29"/>
      <c r="W137" s="81"/>
      <c r="X137" s="85"/>
      <c r="Y137" s="81"/>
      <c r="AA137" s="59">
        <v>1</v>
      </c>
      <c r="AB137" s="59" t="str">
        <f t="shared" si="11"/>
        <v/>
      </c>
    </row>
    <row r="138" spans="1:28" s="55" customFormat="1" ht="30" customHeight="1" x14ac:dyDescent="0.2">
      <c r="A138" s="27">
        <v>392</v>
      </c>
      <c r="B138" s="28" t="str">
        <f t="shared" si="12"/>
        <v>2.3.06g</v>
      </c>
      <c r="C138" s="29">
        <f t="shared" si="13"/>
        <v>6</v>
      </c>
      <c r="D138" s="3"/>
      <c r="E138" s="4"/>
      <c r="F138" s="4"/>
      <c r="G138" s="31"/>
      <c r="H138" s="67" t="str">
        <f>IF(ISERROR(VLOOKUP(#REF!,#REF!,6,FALSE)),"",IF(VLOOKUP(#REF!,#REF!,6,FALSE)=0,"",VLOOKUP(#REF!,#REF!,6,FALSE)))</f>
        <v/>
      </c>
      <c r="I138" s="67" t="str">
        <f t="shared" si="9"/>
        <v/>
      </c>
      <c r="J138" s="133"/>
      <c r="K138" s="133"/>
      <c r="L138" s="29"/>
      <c r="M138" s="29"/>
      <c r="N138" s="29"/>
      <c r="O138" s="29"/>
      <c r="P138" s="29"/>
      <c r="Q138" s="29"/>
      <c r="R138" s="29"/>
      <c r="S138" s="29"/>
      <c r="T138" s="57"/>
      <c r="U138" s="29"/>
      <c r="V138" s="29"/>
      <c r="W138" s="81"/>
      <c r="X138" s="85"/>
      <c r="Y138" s="81"/>
      <c r="AA138" s="59">
        <v>1</v>
      </c>
      <c r="AB138" s="59" t="str">
        <f t="shared" si="11"/>
        <v/>
      </c>
    </row>
    <row r="139" spans="1:28" s="55" customFormat="1" ht="30" customHeight="1" x14ac:dyDescent="0.2">
      <c r="A139" s="27">
        <v>393</v>
      </c>
      <c r="B139" s="28" t="str">
        <f t="shared" si="12"/>
        <v>2.3.07</v>
      </c>
      <c r="C139" s="29">
        <f t="shared" si="13"/>
        <v>4</v>
      </c>
      <c r="D139" s="3"/>
      <c r="E139" s="4"/>
      <c r="F139" s="4"/>
      <c r="G139" s="31"/>
      <c r="H139" s="67" t="str">
        <f>IF(ISERROR(VLOOKUP(#REF!,#REF!,6,FALSE)),"",IF(VLOOKUP(#REF!,#REF!,6,FALSE)=0,"",VLOOKUP(#REF!,#REF!,6,FALSE)))</f>
        <v/>
      </c>
      <c r="I139" s="67" t="str">
        <f t="shared" si="9"/>
        <v/>
      </c>
      <c r="J139" s="133"/>
      <c r="K139" s="133"/>
      <c r="L139" s="29"/>
      <c r="M139" s="29"/>
      <c r="N139" s="29"/>
      <c r="O139" s="29"/>
      <c r="P139" s="29"/>
      <c r="Q139" s="29"/>
      <c r="R139" s="29"/>
      <c r="S139" s="29"/>
      <c r="T139" s="57"/>
      <c r="U139" s="29"/>
      <c r="V139" s="29"/>
      <c r="W139" s="81"/>
      <c r="X139" s="85"/>
      <c r="Y139" s="81"/>
      <c r="AA139" s="59"/>
      <c r="AB139" s="59"/>
    </row>
    <row r="140" spans="1:28" s="55" customFormat="1" ht="30" customHeight="1" x14ac:dyDescent="0.2">
      <c r="A140" s="27">
        <v>394</v>
      </c>
      <c r="B140" s="28" t="str">
        <f t="shared" si="12"/>
        <v>2.3.07a</v>
      </c>
      <c r="C140" s="29">
        <f t="shared" si="13"/>
        <v>6</v>
      </c>
      <c r="D140" s="3"/>
      <c r="E140" s="4"/>
      <c r="F140" s="4"/>
      <c r="G140" s="31"/>
      <c r="H140" s="67" t="str">
        <f>IF(ISERROR(VLOOKUP(#REF!,#REF!,6,FALSE)),"",IF(VLOOKUP(#REF!,#REF!,6,FALSE)=0,"",VLOOKUP(#REF!,#REF!,6,FALSE)))</f>
        <v/>
      </c>
      <c r="I140" s="67" t="str">
        <f t="shared" si="9"/>
        <v/>
      </c>
      <c r="J140" s="133"/>
      <c r="K140" s="133"/>
      <c r="L140" s="29"/>
      <c r="M140" s="29"/>
      <c r="N140" s="29"/>
      <c r="O140" s="29"/>
      <c r="P140" s="29"/>
      <c r="Q140" s="29"/>
      <c r="R140" s="29"/>
      <c r="S140" s="29"/>
      <c r="T140" s="57"/>
      <c r="U140" s="29"/>
      <c r="V140" s="29"/>
      <c r="W140" s="81"/>
      <c r="X140" s="85"/>
      <c r="Y140" s="81"/>
      <c r="AA140" s="59">
        <v>1</v>
      </c>
      <c r="AB140" s="59" t="str">
        <f>VLOOKUP(AA140,detail_maturity_score,3,FALSE)</f>
        <v/>
      </c>
    </row>
    <row r="141" spans="1:28" s="55" customFormat="1" ht="30" customHeight="1" x14ac:dyDescent="0.2">
      <c r="A141" s="27">
        <v>395</v>
      </c>
      <c r="B141" s="28" t="str">
        <f t="shared" si="12"/>
        <v>2.3.07b</v>
      </c>
      <c r="C141" s="29">
        <f t="shared" si="13"/>
        <v>6</v>
      </c>
      <c r="D141" s="3"/>
      <c r="E141" s="4"/>
      <c r="F141" s="4"/>
      <c r="G141" s="31"/>
      <c r="H141" s="67" t="str">
        <f>IF(ISERROR(VLOOKUP(#REF!,#REF!,6,FALSE)),"",IF(VLOOKUP(#REF!,#REF!,6,FALSE)=0,"",VLOOKUP(#REF!,#REF!,6,FALSE)))</f>
        <v/>
      </c>
      <c r="I141" s="67" t="str">
        <f t="shared" si="9"/>
        <v/>
      </c>
      <c r="J141" s="133"/>
      <c r="K141" s="133"/>
      <c r="L141" s="29"/>
      <c r="M141" s="29"/>
      <c r="N141" s="29"/>
      <c r="O141" s="29"/>
      <c r="P141" s="29"/>
      <c r="Q141" s="29"/>
      <c r="R141" s="29"/>
      <c r="S141" s="29"/>
      <c r="T141" s="57"/>
      <c r="U141" s="29"/>
      <c r="V141" s="29"/>
      <c r="W141" s="81"/>
      <c r="X141" s="85"/>
      <c r="Y141" s="81"/>
      <c r="AA141" s="59">
        <v>1</v>
      </c>
      <c r="AB141" s="59" t="str">
        <f>VLOOKUP(AA141,detail_maturity_score,3,FALSE)</f>
        <v/>
      </c>
    </row>
    <row r="142" spans="1:28" s="55" customFormat="1" ht="16" x14ac:dyDescent="0.2">
      <c r="A142" s="27">
        <v>396</v>
      </c>
      <c r="B142" s="28" t="str">
        <f t="shared" si="12"/>
        <v>2.3.08</v>
      </c>
      <c r="C142" s="29">
        <f t="shared" si="13"/>
        <v>5</v>
      </c>
      <c r="D142" s="3"/>
      <c r="E142" s="4"/>
      <c r="F142" s="4"/>
      <c r="G142" s="31"/>
      <c r="H142" s="67" t="str">
        <f>IF(ISERROR(VLOOKUP(#REF!,#REF!,6,FALSE)),"",IF(VLOOKUP(#REF!,#REF!,6,FALSE)=0,"",VLOOKUP(#REF!,#REF!,6,FALSE)))</f>
        <v/>
      </c>
      <c r="I142" s="67" t="str">
        <f t="shared" si="9"/>
        <v/>
      </c>
      <c r="J142" s="133"/>
      <c r="K142" s="133"/>
      <c r="L142" s="29"/>
      <c r="M142" s="29"/>
      <c r="N142" s="29"/>
      <c r="O142" s="29"/>
      <c r="P142" s="29"/>
      <c r="Q142" s="29"/>
      <c r="R142" s="29"/>
      <c r="S142" s="29"/>
      <c r="T142" s="57"/>
      <c r="U142" s="29"/>
      <c r="V142" s="29"/>
      <c r="W142" s="81"/>
      <c r="X142" s="85"/>
      <c r="Y142" s="81"/>
      <c r="AA142" s="59">
        <v>1</v>
      </c>
      <c r="AB142" s="59" t="str">
        <f>VLOOKUP(AA142,detail_maturity_score,3,FALSE)</f>
        <v/>
      </c>
    </row>
    <row r="143" spans="1:28" s="55" customFormat="1" ht="30" customHeight="1" x14ac:dyDescent="0.2">
      <c r="A143" s="27">
        <v>397</v>
      </c>
      <c r="B143" s="28" t="str">
        <f t="shared" si="12"/>
        <v>2.3.09</v>
      </c>
      <c r="C143" s="29">
        <f t="shared" si="13"/>
        <v>4</v>
      </c>
      <c r="D143" s="3"/>
      <c r="E143" s="4"/>
      <c r="F143" s="4"/>
      <c r="G143" s="31"/>
      <c r="H143" s="67" t="str">
        <f>IF(ISERROR(VLOOKUP(#REF!,#REF!,6,FALSE)),"",IF(VLOOKUP(#REF!,#REF!,6,FALSE)=0,"",VLOOKUP(#REF!,#REF!,6,FALSE)))</f>
        <v/>
      </c>
      <c r="I143" s="67" t="str">
        <f t="shared" si="9"/>
        <v/>
      </c>
      <c r="J143" s="133"/>
      <c r="K143" s="133"/>
      <c r="L143" s="29"/>
      <c r="M143" s="29"/>
      <c r="N143" s="29"/>
      <c r="O143" s="29"/>
      <c r="P143" s="29"/>
      <c r="Q143" s="29"/>
      <c r="R143" s="29"/>
      <c r="S143" s="29"/>
      <c r="T143" s="57"/>
      <c r="U143" s="29"/>
      <c r="V143" s="29"/>
      <c r="W143" s="81"/>
      <c r="X143" s="85"/>
      <c r="Y143" s="81"/>
      <c r="AA143" s="59"/>
      <c r="AB143" s="59"/>
    </row>
    <row r="144" spans="1:28" s="55" customFormat="1" ht="30" customHeight="1" x14ac:dyDescent="0.2">
      <c r="A144" s="27">
        <v>398</v>
      </c>
      <c r="B144" s="28" t="str">
        <f t="shared" si="12"/>
        <v>2.3.09a</v>
      </c>
      <c r="C144" s="29">
        <f t="shared" si="13"/>
        <v>6</v>
      </c>
      <c r="D144" s="3"/>
      <c r="E144" s="4"/>
      <c r="F144" s="4"/>
      <c r="G144" s="31"/>
      <c r="H144" s="67" t="str">
        <f>IF(ISERROR(VLOOKUP(#REF!,#REF!,6,FALSE)),"",IF(VLOOKUP(#REF!,#REF!,6,FALSE)=0,"",VLOOKUP(#REF!,#REF!,6,FALSE)))</f>
        <v/>
      </c>
      <c r="I144" s="67" t="str">
        <f t="shared" si="9"/>
        <v/>
      </c>
      <c r="J144" s="133"/>
      <c r="K144" s="133"/>
      <c r="L144" s="29"/>
      <c r="M144" s="29"/>
      <c r="N144" s="29"/>
      <c r="O144" s="29"/>
      <c r="P144" s="29"/>
      <c r="Q144" s="29"/>
      <c r="R144" s="29"/>
      <c r="S144" s="29"/>
      <c r="T144" s="57"/>
      <c r="U144" s="29"/>
      <c r="V144" s="29"/>
      <c r="W144" s="81"/>
      <c r="X144" s="85"/>
      <c r="Y144" s="81"/>
      <c r="AA144" s="59">
        <v>1</v>
      </c>
      <c r="AB144" s="59" t="str">
        <f t="shared" ref="AB144:AB149" si="14">VLOOKUP(AA144,detail_maturity_score,3,FALSE)</f>
        <v/>
      </c>
    </row>
    <row r="145" spans="1:28" s="55" customFormat="1" ht="30" customHeight="1" x14ac:dyDescent="0.2">
      <c r="A145" s="27">
        <v>399</v>
      </c>
      <c r="B145" s="28" t="str">
        <f t="shared" si="12"/>
        <v>2.3.09b</v>
      </c>
      <c r="C145" s="29">
        <f t="shared" si="13"/>
        <v>6</v>
      </c>
      <c r="D145" s="3"/>
      <c r="E145" s="4"/>
      <c r="F145" s="4"/>
      <c r="G145" s="31"/>
      <c r="H145" s="67" t="str">
        <f>IF(ISERROR(VLOOKUP(#REF!,#REF!,6,FALSE)),"",IF(VLOOKUP(#REF!,#REF!,6,FALSE)=0,"",VLOOKUP(#REF!,#REF!,6,FALSE)))</f>
        <v/>
      </c>
      <c r="I145" s="67" t="str">
        <f t="shared" si="9"/>
        <v/>
      </c>
      <c r="J145" s="133"/>
      <c r="K145" s="133"/>
      <c r="L145" s="29"/>
      <c r="M145" s="29"/>
      <c r="N145" s="29"/>
      <c r="O145" s="29"/>
      <c r="P145" s="29"/>
      <c r="Q145" s="29"/>
      <c r="R145" s="29"/>
      <c r="S145" s="29"/>
      <c r="T145" s="57"/>
      <c r="U145" s="29"/>
      <c r="V145" s="29"/>
      <c r="W145" s="81"/>
      <c r="X145" s="85"/>
      <c r="Y145" s="81"/>
      <c r="AA145" s="59">
        <v>1</v>
      </c>
      <c r="AB145" s="59" t="str">
        <f t="shared" si="14"/>
        <v/>
      </c>
    </row>
    <row r="146" spans="1:28" s="55" customFormat="1" ht="16" x14ac:dyDescent="0.2">
      <c r="A146" s="27">
        <v>400</v>
      </c>
      <c r="B146" s="28" t="str">
        <f t="shared" si="12"/>
        <v>2.3.09c</v>
      </c>
      <c r="C146" s="29">
        <f t="shared" si="13"/>
        <v>6</v>
      </c>
      <c r="D146" s="3"/>
      <c r="E146" s="4"/>
      <c r="F146" s="4"/>
      <c r="G146" s="31"/>
      <c r="H146" s="67" t="str">
        <f>IF(ISERROR(VLOOKUP(#REF!,#REF!,6,FALSE)),"",IF(VLOOKUP(#REF!,#REF!,6,FALSE)=0,"",VLOOKUP(#REF!,#REF!,6,FALSE)))</f>
        <v/>
      </c>
      <c r="I146" s="67" t="str">
        <f t="shared" si="9"/>
        <v/>
      </c>
      <c r="J146" s="133"/>
      <c r="K146" s="133"/>
      <c r="L146" s="29"/>
      <c r="M146" s="29"/>
      <c r="N146" s="29"/>
      <c r="O146" s="29"/>
      <c r="P146" s="29"/>
      <c r="Q146" s="29"/>
      <c r="R146" s="29"/>
      <c r="S146" s="29"/>
      <c r="T146" s="57"/>
      <c r="U146" s="29"/>
      <c r="V146" s="29"/>
      <c r="W146" s="81"/>
      <c r="X146" s="85"/>
      <c r="Y146" s="81"/>
      <c r="AA146" s="59">
        <v>1</v>
      </c>
      <c r="AB146" s="59" t="str">
        <f t="shared" si="14"/>
        <v/>
      </c>
    </row>
    <row r="147" spans="1:28" s="55" customFormat="1" ht="30" customHeight="1" x14ac:dyDescent="0.2">
      <c r="A147" s="27">
        <v>401</v>
      </c>
      <c r="B147" s="28" t="str">
        <f t="shared" si="12"/>
        <v>2.3.09d</v>
      </c>
      <c r="C147" s="29">
        <f t="shared" si="13"/>
        <v>6</v>
      </c>
      <c r="D147" s="3"/>
      <c r="E147" s="4"/>
      <c r="F147" s="4"/>
      <c r="G147" s="31"/>
      <c r="H147" s="67" t="str">
        <f>IF(ISERROR(VLOOKUP(#REF!,#REF!,6,FALSE)),"",IF(VLOOKUP(#REF!,#REF!,6,FALSE)=0,"",VLOOKUP(#REF!,#REF!,6,FALSE)))</f>
        <v/>
      </c>
      <c r="I147" s="67" t="str">
        <f t="shared" si="9"/>
        <v/>
      </c>
      <c r="J147" s="133"/>
      <c r="K147" s="133"/>
      <c r="L147" s="29"/>
      <c r="M147" s="29"/>
      <c r="N147" s="29"/>
      <c r="O147" s="29"/>
      <c r="P147" s="29"/>
      <c r="Q147" s="29"/>
      <c r="R147" s="29"/>
      <c r="S147" s="29"/>
      <c r="T147" s="57"/>
      <c r="U147" s="29"/>
      <c r="V147" s="29"/>
      <c r="W147" s="81"/>
      <c r="X147" s="85"/>
      <c r="Y147" s="81"/>
      <c r="AA147" s="59">
        <v>1</v>
      </c>
      <c r="AB147" s="59" t="str">
        <f t="shared" si="14"/>
        <v/>
      </c>
    </row>
    <row r="148" spans="1:28" s="55" customFormat="1" ht="16" x14ac:dyDescent="0.2">
      <c r="A148" s="27">
        <v>402</v>
      </c>
      <c r="B148" s="28" t="str">
        <f t="shared" si="12"/>
        <v>2.3.09e</v>
      </c>
      <c r="C148" s="29">
        <f t="shared" si="13"/>
        <v>6</v>
      </c>
      <c r="D148" s="3"/>
      <c r="E148" s="4"/>
      <c r="F148" s="4"/>
      <c r="G148" s="31"/>
      <c r="H148" s="67" t="str">
        <f>IF(ISERROR(VLOOKUP(#REF!,#REF!,6,FALSE)),"",IF(VLOOKUP(#REF!,#REF!,6,FALSE)=0,"",VLOOKUP(#REF!,#REF!,6,FALSE)))</f>
        <v/>
      </c>
      <c r="I148" s="67" t="str">
        <f t="shared" si="9"/>
        <v/>
      </c>
      <c r="J148" s="133"/>
      <c r="K148" s="133"/>
      <c r="L148" s="29"/>
      <c r="M148" s="29"/>
      <c r="N148" s="29"/>
      <c r="O148" s="29"/>
      <c r="P148" s="29"/>
      <c r="Q148" s="29"/>
      <c r="R148" s="29"/>
      <c r="S148" s="29"/>
      <c r="T148" s="57"/>
      <c r="U148" s="29"/>
      <c r="V148" s="29"/>
      <c r="W148" s="81"/>
      <c r="X148" s="85"/>
      <c r="Y148" s="81"/>
      <c r="AA148" s="59">
        <v>1</v>
      </c>
      <c r="AB148" s="59" t="str">
        <f t="shared" si="14"/>
        <v/>
      </c>
    </row>
    <row r="149" spans="1:28" s="55" customFormat="1" ht="16" x14ac:dyDescent="0.2">
      <c r="A149" s="27">
        <v>403</v>
      </c>
      <c r="B149" s="28" t="str">
        <f t="shared" si="12"/>
        <v>2.3.09f</v>
      </c>
      <c r="C149" s="29">
        <f t="shared" si="13"/>
        <v>6</v>
      </c>
      <c r="D149" s="3"/>
      <c r="E149" s="4"/>
      <c r="F149" s="4"/>
      <c r="G149" s="31"/>
      <c r="H149" s="67" t="str">
        <f>IF(ISERROR(VLOOKUP(#REF!,#REF!,6,FALSE)),"",IF(VLOOKUP(#REF!,#REF!,6,FALSE)=0,"",VLOOKUP(#REF!,#REF!,6,FALSE)))</f>
        <v/>
      </c>
      <c r="I149" s="67" t="str">
        <f t="shared" si="9"/>
        <v/>
      </c>
      <c r="J149" s="133"/>
      <c r="K149" s="133"/>
      <c r="L149" s="29"/>
      <c r="M149" s="29"/>
      <c r="N149" s="29"/>
      <c r="O149" s="29"/>
      <c r="P149" s="29"/>
      <c r="Q149" s="29"/>
      <c r="R149" s="29"/>
      <c r="S149" s="29"/>
      <c r="T149" s="57"/>
      <c r="U149" s="29"/>
      <c r="V149" s="29"/>
      <c r="W149" s="81"/>
      <c r="X149" s="85"/>
      <c r="Y149" s="81"/>
      <c r="AA149" s="59">
        <v>1</v>
      </c>
      <c r="AB149" s="59" t="str">
        <f t="shared" si="14"/>
        <v/>
      </c>
    </row>
    <row r="150" spans="1:28" s="55" customFormat="1" ht="30" customHeight="1" x14ac:dyDescent="0.2">
      <c r="A150" s="27">
        <v>404</v>
      </c>
      <c r="B150" s="28" t="str">
        <f t="shared" si="12"/>
        <v>2.3.10</v>
      </c>
      <c r="C150" s="29">
        <f t="shared" si="13"/>
        <v>4</v>
      </c>
      <c r="D150" s="3"/>
      <c r="E150" s="4"/>
      <c r="F150" s="4"/>
      <c r="G150" s="31"/>
      <c r="H150" s="67" t="str">
        <f>IF(ISERROR(VLOOKUP(#REF!,#REF!,6,FALSE)),"",IF(VLOOKUP(#REF!,#REF!,6,FALSE)=0,"",VLOOKUP(#REF!,#REF!,6,FALSE)))</f>
        <v/>
      </c>
      <c r="I150" s="67" t="str">
        <f t="shared" si="9"/>
        <v/>
      </c>
      <c r="J150" s="133"/>
      <c r="K150" s="133"/>
      <c r="L150" s="29"/>
      <c r="M150" s="29"/>
      <c r="N150" s="29"/>
      <c r="O150" s="29"/>
      <c r="P150" s="29"/>
      <c r="Q150" s="29"/>
      <c r="R150" s="29"/>
      <c r="S150" s="29"/>
      <c r="T150" s="57"/>
      <c r="U150" s="29"/>
      <c r="V150" s="29"/>
      <c r="W150" s="81"/>
      <c r="X150" s="85"/>
      <c r="Y150" s="81"/>
      <c r="AA150" s="59"/>
      <c r="AB150" s="59"/>
    </row>
    <row r="151" spans="1:28" s="55" customFormat="1" ht="16" x14ac:dyDescent="0.2">
      <c r="A151" s="27">
        <v>405</v>
      </c>
      <c r="B151" s="28" t="str">
        <f t="shared" si="12"/>
        <v>2.3.10a</v>
      </c>
      <c r="C151" s="29">
        <f t="shared" si="13"/>
        <v>6</v>
      </c>
      <c r="D151" s="3"/>
      <c r="E151" s="4"/>
      <c r="F151" s="4"/>
      <c r="G151" s="31"/>
      <c r="H151" s="67" t="str">
        <f>IF(ISERROR(VLOOKUP(#REF!,#REF!,6,FALSE)),"",IF(VLOOKUP(#REF!,#REF!,6,FALSE)=0,"",VLOOKUP(#REF!,#REF!,6,FALSE)))</f>
        <v/>
      </c>
      <c r="I151" s="67" t="str">
        <f t="shared" si="9"/>
        <v/>
      </c>
      <c r="J151" s="133"/>
      <c r="K151" s="133"/>
      <c r="L151" s="29"/>
      <c r="M151" s="29"/>
      <c r="N151" s="29"/>
      <c r="O151" s="29"/>
      <c r="P151" s="29"/>
      <c r="Q151" s="29"/>
      <c r="R151" s="29"/>
      <c r="S151" s="29"/>
      <c r="T151" s="57"/>
      <c r="U151" s="29"/>
      <c r="V151" s="29"/>
      <c r="W151" s="81"/>
      <c r="X151" s="85"/>
      <c r="Y151" s="81"/>
      <c r="AA151" s="59">
        <v>1</v>
      </c>
      <c r="AB151" s="59" t="str">
        <f t="shared" ref="AB151:AB156" si="15">VLOOKUP(AA151,detail_maturity_score,3,FALSE)</f>
        <v/>
      </c>
    </row>
    <row r="152" spans="1:28" s="55" customFormat="1" ht="16" x14ac:dyDescent="0.2">
      <c r="A152" s="27">
        <v>406</v>
      </c>
      <c r="B152" s="28" t="str">
        <f t="shared" si="12"/>
        <v>2.3.10b</v>
      </c>
      <c r="C152" s="29">
        <f t="shared" si="13"/>
        <v>6</v>
      </c>
      <c r="D152" s="3"/>
      <c r="E152" s="4"/>
      <c r="F152" s="4"/>
      <c r="G152" s="31"/>
      <c r="H152" s="67" t="str">
        <f>IF(ISERROR(VLOOKUP(#REF!,#REF!,6,FALSE)),"",IF(VLOOKUP(#REF!,#REF!,6,FALSE)=0,"",VLOOKUP(#REF!,#REF!,6,FALSE)))</f>
        <v/>
      </c>
      <c r="I152" s="67" t="str">
        <f t="shared" si="9"/>
        <v/>
      </c>
      <c r="J152" s="133"/>
      <c r="K152" s="133"/>
      <c r="L152" s="29"/>
      <c r="M152" s="29"/>
      <c r="N152" s="29"/>
      <c r="O152" s="29"/>
      <c r="P152" s="29"/>
      <c r="Q152" s="29"/>
      <c r="R152" s="29"/>
      <c r="S152" s="29"/>
      <c r="T152" s="57"/>
      <c r="U152" s="29"/>
      <c r="V152" s="29"/>
      <c r="W152" s="81"/>
      <c r="X152" s="85"/>
      <c r="Y152" s="81"/>
      <c r="AA152" s="59">
        <v>1</v>
      </c>
      <c r="AB152" s="59" t="str">
        <f t="shared" si="15"/>
        <v/>
      </c>
    </row>
    <row r="153" spans="1:28" s="55" customFormat="1" ht="30" customHeight="1" x14ac:dyDescent="0.2">
      <c r="A153" s="27">
        <v>407</v>
      </c>
      <c r="B153" s="28" t="str">
        <f t="shared" si="12"/>
        <v>2.3.10c</v>
      </c>
      <c r="C153" s="29">
        <f t="shared" si="13"/>
        <v>6</v>
      </c>
      <c r="D153" s="3"/>
      <c r="E153" s="4"/>
      <c r="F153" s="4"/>
      <c r="G153" s="31"/>
      <c r="H153" s="67" t="str">
        <f>IF(ISERROR(VLOOKUP(#REF!,#REF!,6,FALSE)),"",IF(VLOOKUP(#REF!,#REF!,6,FALSE)=0,"",VLOOKUP(#REF!,#REF!,6,FALSE)))</f>
        <v/>
      </c>
      <c r="I153" s="67" t="str">
        <f t="shared" si="9"/>
        <v/>
      </c>
      <c r="J153" s="133"/>
      <c r="K153" s="133"/>
      <c r="L153" s="29"/>
      <c r="M153" s="29"/>
      <c r="N153" s="29"/>
      <c r="O153" s="29"/>
      <c r="P153" s="29"/>
      <c r="Q153" s="29"/>
      <c r="R153" s="29"/>
      <c r="S153" s="29"/>
      <c r="T153" s="57"/>
      <c r="U153" s="29"/>
      <c r="V153" s="29"/>
      <c r="W153" s="81"/>
      <c r="X153" s="85"/>
      <c r="Y153" s="81"/>
      <c r="AA153" s="59">
        <v>1</v>
      </c>
      <c r="AB153" s="59" t="str">
        <f t="shared" si="15"/>
        <v/>
      </c>
    </row>
    <row r="154" spans="1:28" s="55" customFormat="1" ht="16" x14ac:dyDescent="0.2">
      <c r="A154" s="27">
        <v>408</v>
      </c>
      <c r="B154" s="28" t="str">
        <f t="shared" si="12"/>
        <v>2.3.10d</v>
      </c>
      <c r="C154" s="29">
        <f t="shared" si="13"/>
        <v>6</v>
      </c>
      <c r="D154" s="3"/>
      <c r="E154" s="4"/>
      <c r="F154" s="4"/>
      <c r="G154" s="31"/>
      <c r="H154" s="67" t="str">
        <f>IF(ISERROR(VLOOKUP(#REF!,#REF!,6,FALSE)),"",IF(VLOOKUP(#REF!,#REF!,6,FALSE)=0,"",VLOOKUP(#REF!,#REF!,6,FALSE)))</f>
        <v/>
      </c>
      <c r="I154" s="67" t="str">
        <f t="shared" si="9"/>
        <v/>
      </c>
      <c r="J154" s="133"/>
      <c r="K154" s="133"/>
      <c r="L154" s="29"/>
      <c r="M154" s="29"/>
      <c r="N154" s="29"/>
      <c r="O154" s="29"/>
      <c r="P154" s="29"/>
      <c r="Q154" s="29"/>
      <c r="R154" s="29"/>
      <c r="S154" s="29"/>
      <c r="T154" s="57"/>
      <c r="U154" s="29"/>
      <c r="V154" s="29"/>
      <c r="W154" s="81"/>
      <c r="X154" s="85"/>
      <c r="Y154" s="81"/>
      <c r="AA154" s="59">
        <v>1</v>
      </c>
      <c r="AB154" s="59" t="str">
        <f t="shared" si="15"/>
        <v/>
      </c>
    </row>
    <row r="155" spans="1:28" s="55" customFormat="1" ht="30" customHeight="1" x14ac:dyDescent="0.2">
      <c r="A155" s="27">
        <v>409</v>
      </c>
      <c r="B155" s="28" t="str">
        <f t="shared" si="12"/>
        <v>2.3.10e</v>
      </c>
      <c r="C155" s="29">
        <f t="shared" si="13"/>
        <v>6</v>
      </c>
      <c r="D155" s="3"/>
      <c r="E155" s="4"/>
      <c r="F155" s="4"/>
      <c r="G155" s="31"/>
      <c r="H155" s="67" t="str">
        <f>IF(ISERROR(VLOOKUP(#REF!,#REF!,6,FALSE)),"",IF(VLOOKUP(#REF!,#REF!,6,FALSE)=0,"",VLOOKUP(#REF!,#REF!,6,FALSE)))</f>
        <v/>
      </c>
      <c r="I155" s="67" t="str">
        <f t="shared" si="9"/>
        <v/>
      </c>
      <c r="J155" s="133"/>
      <c r="K155" s="133"/>
      <c r="L155" s="29"/>
      <c r="M155" s="29"/>
      <c r="N155" s="29"/>
      <c r="O155" s="29"/>
      <c r="P155" s="29"/>
      <c r="Q155" s="29"/>
      <c r="R155" s="29"/>
      <c r="S155" s="29"/>
      <c r="T155" s="57"/>
      <c r="U155" s="29"/>
      <c r="V155" s="29"/>
      <c r="W155" s="81"/>
      <c r="X155" s="85"/>
      <c r="Y155" s="81"/>
      <c r="AA155" s="59">
        <v>1</v>
      </c>
      <c r="AB155" s="59" t="str">
        <f t="shared" si="15"/>
        <v/>
      </c>
    </row>
    <row r="156" spans="1:28" s="55" customFormat="1" ht="16" x14ac:dyDescent="0.2">
      <c r="A156" s="27">
        <v>410</v>
      </c>
      <c r="B156" s="28" t="str">
        <f t="shared" si="12"/>
        <v>2.3.10f</v>
      </c>
      <c r="C156" s="29">
        <f t="shared" si="13"/>
        <v>6</v>
      </c>
      <c r="D156" s="3"/>
      <c r="E156" s="4"/>
      <c r="F156" s="4"/>
      <c r="G156" s="31"/>
      <c r="H156" s="67" t="str">
        <f>IF(ISERROR(VLOOKUP(#REF!,#REF!,6,FALSE)),"",IF(VLOOKUP(#REF!,#REF!,6,FALSE)=0,"",VLOOKUP(#REF!,#REF!,6,FALSE)))</f>
        <v/>
      </c>
      <c r="I156" s="67" t="str">
        <f t="shared" si="9"/>
        <v/>
      </c>
      <c r="J156" s="133"/>
      <c r="K156" s="133"/>
      <c r="L156" s="29"/>
      <c r="M156" s="29"/>
      <c r="N156" s="29"/>
      <c r="O156" s="29"/>
      <c r="P156" s="29"/>
      <c r="Q156" s="29"/>
      <c r="R156" s="29"/>
      <c r="S156" s="29"/>
      <c r="T156" s="57"/>
      <c r="U156" s="29"/>
      <c r="V156" s="29"/>
      <c r="W156" s="81"/>
      <c r="X156" s="85"/>
      <c r="Y156" s="81"/>
      <c r="AA156" s="59">
        <v>1</v>
      </c>
      <c r="AB156" s="59" t="str">
        <f t="shared" si="15"/>
        <v/>
      </c>
    </row>
    <row r="157" spans="1:28" s="55" customFormat="1" x14ac:dyDescent="0.2">
      <c r="A157" s="27">
        <v>411</v>
      </c>
      <c r="B157" s="28" t="str">
        <f t="shared" si="12"/>
        <v>2.3.11</v>
      </c>
      <c r="C157" s="29">
        <f t="shared" si="13"/>
        <v>4</v>
      </c>
      <c r="D157" s="3"/>
      <c r="E157" s="4"/>
      <c r="F157" s="4"/>
      <c r="G157" s="31"/>
      <c r="H157" s="67" t="str">
        <f>IF(ISERROR(VLOOKUP(#REF!,#REF!,6,FALSE)),"",IF(VLOOKUP(#REF!,#REF!,6,FALSE)=0,"",VLOOKUP(#REF!,#REF!,6,FALSE)))</f>
        <v/>
      </c>
      <c r="I157" s="67" t="str">
        <f t="shared" si="9"/>
        <v/>
      </c>
      <c r="J157" s="133"/>
      <c r="K157" s="133"/>
      <c r="L157" s="29"/>
      <c r="M157" s="29"/>
      <c r="N157" s="29"/>
      <c r="O157" s="29"/>
      <c r="P157" s="29"/>
      <c r="Q157" s="29"/>
      <c r="R157" s="29"/>
      <c r="S157" s="29"/>
      <c r="T157" s="57"/>
      <c r="U157" s="29"/>
      <c r="V157" s="29"/>
      <c r="W157" s="81"/>
      <c r="X157" s="85"/>
      <c r="Y157" s="81"/>
      <c r="AA157" s="59"/>
      <c r="AB157" s="59"/>
    </row>
    <row r="158" spans="1:28" s="55" customFormat="1" ht="16" x14ac:dyDescent="0.2">
      <c r="A158" s="27">
        <v>412</v>
      </c>
      <c r="B158" s="28" t="str">
        <f t="shared" si="12"/>
        <v>2.3.11a</v>
      </c>
      <c r="C158" s="29">
        <f t="shared" si="13"/>
        <v>6</v>
      </c>
      <c r="D158" s="3"/>
      <c r="E158" s="4"/>
      <c r="F158" s="4"/>
      <c r="G158" s="31"/>
      <c r="H158" s="67" t="str">
        <f>IF(ISERROR(VLOOKUP(#REF!,#REF!,6,FALSE)),"",IF(VLOOKUP(#REF!,#REF!,6,FALSE)=0,"",VLOOKUP(#REF!,#REF!,6,FALSE)))</f>
        <v/>
      </c>
      <c r="I158" s="67" t="str">
        <f t="shared" si="9"/>
        <v/>
      </c>
      <c r="J158" s="133"/>
      <c r="K158" s="133"/>
      <c r="L158" s="29"/>
      <c r="M158" s="29"/>
      <c r="N158" s="29"/>
      <c r="O158" s="29"/>
      <c r="P158" s="29"/>
      <c r="Q158" s="29"/>
      <c r="R158" s="29"/>
      <c r="S158" s="29"/>
      <c r="T158" s="57"/>
      <c r="U158" s="29"/>
      <c r="V158" s="29"/>
      <c r="W158" s="81"/>
      <c r="X158" s="85"/>
      <c r="Y158" s="81"/>
      <c r="AA158" s="59">
        <v>1</v>
      </c>
      <c r="AB158" s="59" t="str">
        <f>VLOOKUP(AA158,detail_maturity_score,3,FALSE)</f>
        <v/>
      </c>
    </row>
    <row r="159" spans="1:28" s="55" customFormat="1" ht="30" customHeight="1" x14ac:dyDescent="0.2">
      <c r="A159" s="27">
        <v>413</v>
      </c>
      <c r="B159" s="28" t="str">
        <f t="shared" si="12"/>
        <v>2.3.11b</v>
      </c>
      <c r="C159" s="29">
        <f t="shared" si="13"/>
        <v>6</v>
      </c>
      <c r="D159" s="3"/>
      <c r="E159" s="4"/>
      <c r="F159" s="4"/>
      <c r="G159" s="29"/>
      <c r="H159" s="67" t="str">
        <f>IF(ISERROR(VLOOKUP(#REF!,#REF!,6,FALSE)),"",IF(VLOOKUP(#REF!,#REF!,6,FALSE)=0,"",VLOOKUP(#REF!,#REF!,6,FALSE)))</f>
        <v/>
      </c>
      <c r="I159" s="67" t="str">
        <f t="shared" si="9"/>
        <v/>
      </c>
      <c r="J159" s="133"/>
      <c r="K159" s="133"/>
      <c r="L159" s="29"/>
      <c r="M159" s="29"/>
      <c r="N159" s="29"/>
      <c r="O159" s="29"/>
      <c r="P159" s="29"/>
      <c r="Q159" s="29"/>
      <c r="R159" s="29"/>
      <c r="S159" s="29"/>
      <c r="T159" s="57"/>
      <c r="U159" s="29"/>
      <c r="V159" s="29"/>
      <c r="W159" s="81"/>
      <c r="X159" s="85"/>
      <c r="Y159" s="81"/>
      <c r="AA159" s="59">
        <v>1</v>
      </c>
      <c r="AB159" s="59" t="str">
        <f>VLOOKUP(AA159,detail_maturity_score,3,FALSE)</f>
        <v/>
      </c>
    </row>
    <row r="160" spans="1:28" s="55" customFormat="1" ht="18.75" customHeight="1" x14ac:dyDescent="0.2">
      <c r="A160" s="27">
        <v>414</v>
      </c>
      <c r="B160" s="29" t="str">
        <f t="shared" si="12"/>
        <v/>
      </c>
      <c r="C160" s="29">
        <f t="shared" si="13"/>
        <v>3</v>
      </c>
      <c r="D160" s="3"/>
      <c r="E160" s="4"/>
      <c r="F160" s="4"/>
      <c r="G160" s="31"/>
      <c r="H160" s="67" t="str">
        <f>IF(ISERROR(VLOOKUP(#REF!,#REF!,6,FALSE)),"",IF(VLOOKUP(#REF!,#REF!,6,FALSE)=0,"",VLOOKUP(#REF!,#REF!,6,FALSE)))</f>
        <v/>
      </c>
      <c r="I160" s="67" t="str">
        <f t="shared" si="9"/>
        <v/>
      </c>
      <c r="J160" s="133"/>
      <c r="K160" s="133"/>
      <c r="L160" s="29"/>
      <c r="M160" s="29"/>
      <c r="N160" s="29"/>
      <c r="O160" s="29"/>
      <c r="P160" s="29"/>
      <c r="Q160" s="29"/>
      <c r="R160" s="29"/>
      <c r="S160" s="29"/>
      <c r="T160" s="57"/>
      <c r="U160" s="29"/>
      <c r="V160" s="29"/>
      <c r="W160" s="81"/>
      <c r="X160" s="81"/>
      <c r="Y160" s="81"/>
      <c r="AA160" s="59"/>
      <c r="AB160" s="59"/>
    </row>
    <row r="161" spans="1:28" s="55" customFormat="1" ht="16" x14ac:dyDescent="0.2">
      <c r="A161" s="27">
        <v>415</v>
      </c>
      <c r="B161" s="28" t="str">
        <f t="shared" si="12"/>
        <v>2.3.12</v>
      </c>
      <c r="C161" s="29">
        <f t="shared" si="13"/>
        <v>5</v>
      </c>
      <c r="D161" s="3"/>
      <c r="E161" s="4"/>
      <c r="F161" s="4"/>
      <c r="G161" s="31"/>
      <c r="H161" s="67" t="str">
        <f>IF(ISERROR(VLOOKUP(#REF!,#REF!,6,FALSE)),"",IF(VLOOKUP(#REF!,#REF!,6,FALSE)=0,"",VLOOKUP(#REF!,#REF!,6,FALSE)))</f>
        <v/>
      </c>
      <c r="I161" s="67" t="str">
        <f t="shared" si="9"/>
        <v/>
      </c>
      <c r="J161" s="133"/>
      <c r="K161" s="133"/>
      <c r="L161" s="29"/>
      <c r="M161" s="29"/>
      <c r="N161" s="29"/>
      <c r="O161" s="29"/>
      <c r="P161" s="29"/>
      <c r="Q161" s="29"/>
      <c r="R161" s="29"/>
      <c r="S161" s="29"/>
      <c r="T161" s="57"/>
      <c r="U161" s="29"/>
      <c r="V161" s="29"/>
      <c r="W161" s="81"/>
      <c r="X161" s="85"/>
      <c r="Y161" s="81"/>
      <c r="AA161" s="59">
        <v>1</v>
      </c>
      <c r="AB161" s="59" t="str">
        <f>VLOOKUP(AA161,detail_maturity_score,3,FALSE)</f>
        <v/>
      </c>
    </row>
    <row r="162" spans="1:28" s="55" customFormat="1" ht="30" customHeight="1" x14ac:dyDescent="0.2">
      <c r="A162" s="27">
        <v>416</v>
      </c>
      <c r="B162" s="28" t="str">
        <f t="shared" si="12"/>
        <v>2.3.13</v>
      </c>
      <c r="C162" s="29">
        <f t="shared" si="13"/>
        <v>4</v>
      </c>
      <c r="D162" s="3"/>
      <c r="E162" s="4"/>
      <c r="F162" s="4"/>
      <c r="G162" s="31"/>
      <c r="H162" s="67" t="str">
        <f>IF(ISERROR(VLOOKUP(#REF!,#REF!,6,FALSE)),"",IF(VLOOKUP(#REF!,#REF!,6,FALSE)=0,"",VLOOKUP(#REF!,#REF!,6,FALSE)))</f>
        <v/>
      </c>
      <c r="I162" s="67" t="str">
        <f t="shared" si="9"/>
        <v/>
      </c>
      <c r="J162" s="133"/>
      <c r="K162" s="133"/>
      <c r="L162" s="29"/>
      <c r="M162" s="29"/>
      <c r="N162" s="29"/>
      <c r="O162" s="29"/>
      <c r="P162" s="29"/>
      <c r="Q162" s="29"/>
      <c r="R162" s="29"/>
      <c r="S162" s="29"/>
      <c r="T162" s="57"/>
      <c r="U162" s="29"/>
      <c r="V162" s="29"/>
      <c r="W162" s="81"/>
      <c r="X162" s="85"/>
      <c r="Y162" s="81"/>
      <c r="AA162" s="59"/>
      <c r="AB162" s="59"/>
    </row>
    <row r="163" spans="1:28" s="55" customFormat="1" ht="30" customHeight="1" x14ac:dyDescent="0.2">
      <c r="A163" s="27">
        <v>417</v>
      </c>
      <c r="B163" s="28" t="str">
        <f t="shared" si="12"/>
        <v>2.3.13a</v>
      </c>
      <c r="C163" s="29">
        <f t="shared" si="13"/>
        <v>6</v>
      </c>
      <c r="D163" s="3"/>
      <c r="E163" s="4"/>
      <c r="F163" s="4"/>
      <c r="G163" s="31"/>
      <c r="H163" s="67" t="str">
        <f>IF(ISERROR(VLOOKUP(#REF!,#REF!,6,FALSE)),"",IF(VLOOKUP(#REF!,#REF!,6,FALSE)=0,"",VLOOKUP(#REF!,#REF!,6,FALSE)))</f>
        <v/>
      </c>
      <c r="I163" s="67" t="str">
        <f t="shared" si="9"/>
        <v/>
      </c>
      <c r="J163" s="133"/>
      <c r="K163" s="133"/>
      <c r="L163" s="29"/>
      <c r="M163" s="29"/>
      <c r="N163" s="29"/>
      <c r="O163" s="29"/>
      <c r="P163" s="29"/>
      <c r="Q163" s="29"/>
      <c r="R163" s="29"/>
      <c r="S163" s="29"/>
      <c r="T163" s="57"/>
      <c r="U163" s="29"/>
      <c r="V163" s="29"/>
      <c r="W163" s="81"/>
      <c r="X163" s="85"/>
      <c r="Y163" s="81"/>
      <c r="AA163" s="59">
        <v>1</v>
      </c>
      <c r="AB163" s="59" t="str">
        <f>VLOOKUP(AA163,detail_maturity_score,3,FALSE)</f>
        <v/>
      </c>
    </row>
    <row r="164" spans="1:28" s="55" customFormat="1" ht="30" customHeight="1" x14ac:dyDescent="0.2">
      <c r="A164" s="27">
        <v>418</v>
      </c>
      <c r="B164" s="28" t="str">
        <f t="shared" si="12"/>
        <v>2.3.13b</v>
      </c>
      <c r="C164" s="29">
        <f t="shared" si="13"/>
        <v>6</v>
      </c>
      <c r="D164" s="3"/>
      <c r="E164" s="4"/>
      <c r="F164" s="4"/>
      <c r="G164" s="31"/>
      <c r="H164" s="67" t="str">
        <f>IF(ISERROR(VLOOKUP(#REF!,#REF!,6,FALSE)),"",IF(VLOOKUP(#REF!,#REF!,6,FALSE)=0,"",VLOOKUP(#REF!,#REF!,6,FALSE)))</f>
        <v/>
      </c>
      <c r="I164" s="67" t="str">
        <f t="shared" si="9"/>
        <v/>
      </c>
      <c r="J164" s="133"/>
      <c r="K164" s="133"/>
      <c r="L164" s="29"/>
      <c r="M164" s="29"/>
      <c r="N164" s="29"/>
      <c r="O164" s="29"/>
      <c r="P164" s="29"/>
      <c r="Q164" s="29"/>
      <c r="R164" s="29"/>
      <c r="S164" s="29"/>
      <c r="T164" s="57"/>
      <c r="U164" s="29"/>
      <c r="V164" s="29"/>
      <c r="W164" s="81"/>
      <c r="X164" s="85"/>
      <c r="Y164" s="81"/>
      <c r="AA164" s="59">
        <v>1</v>
      </c>
      <c r="AB164" s="59" t="str">
        <f>VLOOKUP(AA164,detail_maturity_score,3,FALSE)</f>
        <v/>
      </c>
    </row>
    <row r="165" spans="1:28" s="55" customFormat="1" ht="30" customHeight="1" x14ac:dyDescent="0.2">
      <c r="A165" s="27">
        <v>419</v>
      </c>
      <c r="B165" s="28" t="str">
        <f t="shared" si="12"/>
        <v>2.3.13c</v>
      </c>
      <c r="C165" s="29">
        <f t="shared" si="13"/>
        <v>6</v>
      </c>
      <c r="D165" s="3"/>
      <c r="E165" s="4"/>
      <c r="F165" s="4"/>
      <c r="G165" s="31"/>
      <c r="H165" s="67" t="str">
        <f>IF(ISERROR(VLOOKUP(#REF!,#REF!,6,FALSE)),"",IF(VLOOKUP(#REF!,#REF!,6,FALSE)=0,"",VLOOKUP(#REF!,#REF!,6,FALSE)))</f>
        <v/>
      </c>
      <c r="I165" s="67" t="str">
        <f t="shared" si="9"/>
        <v/>
      </c>
      <c r="J165" s="133"/>
      <c r="K165" s="133"/>
      <c r="L165" s="29"/>
      <c r="M165" s="29"/>
      <c r="N165" s="29"/>
      <c r="O165" s="29"/>
      <c r="P165" s="29"/>
      <c r="Q165" s="29"/>
      <c r="R165" s="29"/>
      <c r="S165" s="29"/>
      <c r="T165" s="57"/>
      <c r="U165" s="29"/>
      <c r="V165" s="29"/>
      <c r="W165" s="81"/>
      <c r="X165" s="85"/>
      <c r="Y165" s="81"/>
      <c r="AA165" s="59">
        <v>1</v>
      </c>
      <c r="AB165" s="59" t="str">
        <f>VLOOKUP(AA165,detail_maturity_score,3,FALSE)</f>
        <v/>
      </c>
    </row>
    <row r="166" spans="1:28" s="55" customFormat="1" ht="30" customHeight="1" x14ac:dyDescent="0.2">
      <c r="A166" s="27">
        <v>420</v>
      </c>
      <c r="B166" s="28" t="str">
        <f t="shared" si="12"/>
        <v>2.3.13d</v>
      </c>
      <c r="C166" s="29">
        <f t="shared" si="13"/>
        <v>6</v>
      </c>
      <c r="D166" s="3"/>
      <c r="E166" s="4"/>
      <c r="F166" s="4"/>
      <c r="G166" s="31"/>
      <c r="H166" s="67" t="str">
        <f>IF(ISERROR(VLOOKUP(#REF!,#REF!,6,FALSE)),"",IF(VLOOKUP(#REF!,#REF!,6,FALSE)=0,"",VLOOKUP(#REF!,#REF!,6,FALSE)))</f>
        <v/>
      </c>
      <c r="I166" s="67" t="str">
        <f t="shared" si="9"/>
        <v/>
      </c>
      <c r="J166" s="133"/>
      <c r="K166" s="133"/>
      <c r="L166" s="29"/>
      <c r="M166" s="29"/>
      <c r="N166" s="29"/>
      <c r="O166" s="29"/>
      <c r="P166" s="29"/>
      <c r="Q166" s="29"/>
      <c r="R166" s="29"/>
      <c r="S166" s="29"/>
      <c r="T166" s="57"/>
      <c r="U166" s="29"/>
      <c r="V166" s="29"/>
      <c r="W166" s="81"/>
      <c r="X166" s="85"/>
      <c r="Y166" s="81"/>
      <c r="AA166" s="59">
        <v>1</v>
      </c>
      <c r="AB166" s="59" t="str">
        <f>VLOOKUP(AA166,detail_maturity_score,3,FALSE)</f>
        <v/>
      </c>
    </row>
    <row r="167" spans="1:28" s="55" customFormat="1" ht="30" customHeight="1" x14ac:dyDescent="0.2">
      <c r="A167" s="27">
        <v>421</v>
      </c>
      <c r="B167" s="28" t="str">
        <f t="shared" si="12"/>
        <v>2.3.13e</v>
      </c>
      <c r="C167" s="29">
        <f t="shared" si="13"/>
        <v>6</v>
      </c>
      <c r="D167" s="3"/>
      <c r="E167" s="4"/>
      <c r="F167" s="4"/>
      <c r="G167" s="31"/>
      <c r="H167" s="67" t="str">
        <f>IF(ISERROR(VLOOKUP(#REF!,#REF!,6,FALSE)),"",IF(VLOOKUP(#REF!,#REF!,6,FALSE)=0,"",VLOOKUP(#REF!,#REF!,6,FALSE)))</f>
        <v/>
      </c>
      <c r="I167" s="67" t="str">
        <f t="shared" si="9"/>
        <v/>
      </c>
      <c r="J167" s="133"/>
      <c r="K167" s="133"/>
      <c r="L167" s="29"/>
      <c r="M167" s="29"/>
      <c r="N167" s="29"/>
      <c r="O167" s="29"/>
      <c r="P167" s="29"/>
      <c r="Q167" s="29"/>
      <c r="R167" s="29"/>
      <c r="S167" s="29"/>
      <c r="T167" s="57"/>
      <c r="U167" s="29"/>
      <c r="V167" s="29"/>
      <c r="W167" s="81"/>
      <c r="X167" s="85"/>
      <c r="Y167" s="81"/>
      <c r="AA167" s="59">
        <v>1</v>
      </c>
      <c r="AB167" s="59" t="str">
        <f>VLOOKUP(AA167,detail_maturity_score,3,FALSE)</f>
        <v/>
      </c>
    </row>
    <row r="168" spans="1:28" s="55" customFormat="1" ht="30" customHeight="1" x14ac:dyDescent="0.2">
      <c r="A168" s="27">
        <v>422</v>
      </c>
      <c r="B168" s="28" t="str">
        <f t="shared" si="12"/>
        <v>2.3.14</v>
      </c>
      <c r="C168" s="29">
        <f t="shared" si="13"/>
        <v>4</v>
      </c>
      <c r="D168" s="3"/>
      <c r="E168" s="4"/>
      <c r="F168" s="4"/>
      <c r="G168" s="31"/>
      <c r="H168" s="67" t="str">
        <f>IF(ISERROR(VLOOKUP(#REF!,#REF!,6,FALSE)),"",IF(VLOOKUP(#REF!,#REF!,6,FALSE)=0,"",VLOOKUP(#REF!,#REF!,6,FALSE)))</f>
        <v/>
      </c>
      <c r="I168" s="67" t="str">
        <f t="shared" si="9"/>
        <v/>
      </c>
      <c r="J168" s="133"/>
      <c r="K168" s="133"/>
      <c r="L168" s="29"/>
      <c r="M168" s="29"/>
      <c r="N168" s="29"/>
      <c r="O168" s="29"/>
      <c r="P168" s="29"/>
      <c r="Q168" s="29"/>
      <c r="R168" s="29"/>
      <c r="S168" s="29"/>
      <c r="T168" s="57"/>
      <c r="U168" s="29"/>
      <c r="V168" s="29"/>
      <c r="W168" s="81"/>
      <c r="X168" s="85"/>
      <c r="Y168" s="81"/>
      <c r="AA168" s="59"/>
      <c r="AB168" s="59"/>
    </row>
    <row r="169" spans="1:28" s="55" customFormat="1" ht="16" x14ac:dyDescent="0.2">
      <c r="A169" s="27">
        <v>423</v>
      </c>
      <c r="B169" s="28" t="str">
        <f t="shared" si="12"/>
        <v>2.3.14a</v>
      </c>
      <c r="C169" s="29">
        <f t="shared" si="13"/>
        <v>6</v>
      </c>
      <c r="D169" s="3"/>
      <c r="E169" s="4"/>
      <c r="F169" s="4"/>
      <c r="G169" s="31"/>
      <c r="H169" s="67" t="str">
        <f>IF(ISERROR(VLOOKUP(#REF!,#REF!,6,FALSE)),"",IF(VLOOKUP(#REF!,#REF!,6,FALSE)=0,"",VLOOKUP(#REF!,#REF!,6,FALSE)))</f>
        <v/>
      </c>
      <c r="I169" s="67" t="str">
        <f t="shared" si="9"/>
        <v/>
      </c>
      <c r="J169" s="133"/>
      <c r="K169" s="133"/>
      <c r="L169" s="29"/>
      <c r="M169" s="29"/>
      <c r="N169" s="29"/>
      <c r="O169" s="29"/>
      <c r="P169" s="29"/>
      <c r="Q169" s="29"/>
      <c r="R169" s="29"/>
      <c r="S169" s="29"/>
      <c r="T169" s="57"/>
      <c r="U169" s="29"/>
      <c r="V169" s="29"/>
      <c r="W169" s="81"/>
      <c r="X169" s="85"/>
      <c r="Y169" s="81"/>
      <c r="AA169" s="59">
        <v>1</v>
      </c>
      <c r="AB169" s="59" t="str">
        <f t="shared" ref="AB169:AB176" si="16">VLOOKUP(AA169,detail_maturity_score,3,FALSE)</f>
        <v/>
      </c>
    </row>
    <row r="170" spans="1:28" s="55" customFormat="1" ht="16" x14ac:dyDescent="0.2">
      <c r="A170" s="27">
        <v>424</v>
      </c>
      <c r="B170" s="28" t="str">
        <f t="shared" si="12"/>
        <v>2.3.14b</v>
      </c>
      <c r="C170" s="29">
        <f t="shared" si="13"/>
        <v>6</v>
      </c>
      <c r="D170" s="3"/>
      <c r="E170" s="4"/>
      <c r="F170" s="4"/>
      <c r="G170" s="31"/>
      <c r="H170" s="67" t="str">
        <f>IF(ISERROR(VLOOKUP(#REF!,#REF!,6,FALSE)),"",IF(VLOOKUP(#REF!,#REF!,6,FALSE)=0,"",VLOOKUP(#REF!,#REF!,6,FALSE)))</f>
        <v/>
      </c>
      <c r="I170" s="67" t="str">
        <f t="shared" ref="I170:I233" si="17">IF(ISERROR(VLOOKUP(AA171,detail_maturity_score,3,FALSE)*VLOOKUP(H170,weighting_scores,2,FALSE)),"",VLOOKUP(AA171,detail_maturity_score,3,FALSE)*VLOOKUP(H170,weighting_scores,2,FALSE))</f>
        <v/>
      </c>
      <c r="J170" s="133"/>
      <c r="K170" s="133"/>
      <c r="L170" s="29"/>
      <c r="M170" s="29"/>
      <c r="N170" s="29"/>
      <c r="O170" s="29"/>
      <c r="P170" s="29"/>
      <c r="Q170" s="29"/>
      <c r="R170" s="29"/>
      <c r="S170" s="29"/>
      <c r="T170" s="57"/>
      <c r="U170" s="29"/>
      <c r="V170" s="29"/>
      <c r="W170" s="81"/>
      <c r="X170" s="85"/>
      <c r="Y170" s="81"/>
      <c r="AA170" s="59">
        <v>1</v>
      </c>
      <c r="AB170" s="59" t="str">
        <f t="shared" si="16"/>
        <v/>
      </c>
    </row>
    <row r="171" spans="1:28" s="55" customFormat="1" ht="30" customHeight="1" x14ac:dyDescent="0.2">
      <c r="A171" s="27">
        <v>425</v>
      </c>
      <c r="B171" s="28" t="str">
        <f t="shared" si="12"/>
        <v>2.3.14c</v>
      </c>
      <c r="C171" s="29">
        <f t="shared" si="13"/>
        <v>6</v>
      </c>
      <c r="D171" s="3"/>
      <c r="E171" s="4"/>
      <c r="F171" s="4"/>
      <c r="G171" s="31"/>
      <c r="H171" s="67" t="str">
        <f>IF(ISERROR(VLOOKUP(#REF!,#REF!,6,FALSE)),"",IF(VLOOKUP(#REF!,#REF!,6,FALSE)=0,"",VLOOKUP(#REF!,#REF!,6,FALSE)))</f>
        <v/>
      </c>
      <c r="I171" s="67" t="str">
        <f t="shared" si="17"/>
        <v/>
      </c>
      <c r="J171" s="133"/>
      <c r="K171" s="133"/>
      <c r="L171" s="29"/>
      <c r="M171" s="29"/>
      <c r="N171" s="29"/>
      <c r="O171" s="29"/>
      <c r="P171" s="29"/>
      <c r="Q171" s="29"/>
      <c r="R171" s="29"/>
      <c r="S171" s="29"/>
      <c r="T171" s="57"/>
      <c r="U171" s="29"/>
      <c r="V171" s="29"/>
      <c r="W171" s="81"/>
      <c r="X171" s="85"/>
      <c r="Y171" s="81"/>
      <c r="AA171" s="59">
        <v>1</v>
      </c>
      <c r="AB171" s="59" t="str">
        <f t="shared" si="16"/>
        <v/>
      </c>
    </row>
    <row r="172" spans="1:28" s="55" customFormat="1" ht="30" customHeight="1" x14ac:dyDescent="0.2">
      <c r="A172" s="27">
        <v>426</v>
      </c>
      <c r="B172" s="28" t="str">
        <f t="shared" si="12"/>
        <v>2.3.14d</v>
      </c>
      <c r="C172" s="29">
        <f t="shared" si="13"/>
        <v>6</v>
      </c>
      <c r="D172" s="3"/>
      <c r="E172" s="4"/>
      <c r="F172" s="4"/>
      <c r="G172" s="31"/>
      <c r="H172" s="67" t="str">
        <f>IF(ISERROR(VLOOKUP(#REF!,#REF!,6,FALSE)),"",IF(VLOOKUP(#REF!,#REF!,6,FALSE)=0,"",VLOOKUP(#REF!,#REF!,6,FALSE)))</f>
        <v/>
      </c>
      <c r="I172" s="67" t="str">
        <f t="shared" si="17"/>
        <v/>
      </c>
      <c r="J172" s="133"/>
      <c r="K172" s="133"/>
      <c r="L172" s="29"/>
      <c r="M172" s="29"/>
      <c r="N172" s="29"/>
      <c r="O172" s="29"/>
      <c r="P172" s="29"/>
      <c r="Q172" s="29"/>
      <c r="R172" s="29"/>
      <c r="S172" s="29"/>
      <c r="T172" s="57"/>
      <c r="U172" s="29"/>
      <c r="V172" s="29"/>
      <c r="W172" s="81"/>
      <c r="X172" s="85"/>
      <c r="Y172" s="81"/>
      <c r="AA172" s="59">
        <v>1</v>
      </c>
      <c r="AB172" s="59" t="str">
        <f t="shared" si="16"/>
        <v/>
      </c>
    </row>
    <row r="173" spans="1:28" s="55" customFormat="1" ht="16" x14ac:dyDescent="0.2">
      <c r="A173" s="27">
        <v>427</v>
      </c>
      <c r="B173" s="28" t="str">
        <f t="shared" si="12"/>
        <v>2.3.14e</v>
      </c>
      <c r="C173" s="29">
        <f t="shared" si="13"/>
        <v>6</v>
      </c>
      <c r="D173" s="3"/>
      <c r="E173" s="4"/>
      <c r="F173" s="4"/>
      <c r="G173" s="31"/>
      <c r="H173" s="67" t="str">
        <f>IF(ISERROR(VLOOKUP(#REF!,#REF!,6,FALSE)),"",IF(VLOOKUP(#REF!,#REF!,6,FALSE)=0,"",VLOOKUP(#REF!,#REF!,6,FALSE)))</f>
        <v/>
      </c>
      <c r="I173" s="67" t="str">
        <f t="shared" si="17"/>
        <v/>
      </c>
      <c r="J173" s="133"/>
      <c r="K173" s="133"/>
      <c r="L173" s="29"/>
      <c r="M173" s="29"/>
      <c r="N173" s="29"/>
      <c r="O173" s="29"/>
      <c r="P173" s="29"/>
      <c r="Q173" s="29"/>
      <c r="R173" s="29"/>
      <c r="S173" s="29"/>
      <c r="T173" s="57"/>
      <c r="U173" s="29"/>
      <c r="V173" s="29"/>
      <c r="W173" s="81"/>
      <c r="X173" s="85"/>
      <c r="Y173" s="81"/>
      <c r="AA173" s="59">
        <v>1</v>
      </c>
      <c r="AB173" s="59" t="str">
        <f t="shared" si="16"/>
        <v/>
      </c>
    </row>
    <row r="174" spans="1:28" s="55" customFormat="1" ht="16" x14ac:dyDescent="0.2">
      <c r="A174" s="27">
        <v>428</v>
      </c>
      <c r="B174" s="28" t="str">
        <f t="shared" si="12"/>
        <v>2.3.14f</v>
      </c>
      <c r="C174" s="29">
        <f t="shared" si="13"/>
        <v>6</v>
      </c>
      <c r="D174" s="3"/>
      <c r="E174" s="4"/>
      <c r="F174" s="4"/>
      <c r="G174" s="31"/>
      <c r="H174" s="67" t="str">
        <f>IF(ISERROR(VLOOKUP(#REF!,#REF!,6,FALSE)),"",IF(VLOOKUP(#REF!,#REF!,6,FALSE)=0,"",VLOOKUP(#REF!,#REF!,6,FALSE)))</f>
        <v/>
      </c>
      <c r="I174" s="67" t="str">
        <f t="shared" si="17"/>
        <v/>
      </c>
      <c r="J174" s="133"/>
      <c r="K174" s="133"/>
      <c r="L174" s="29"/>
      <c r="M174" s="29"/>
      <c r="N174" s="29"/>
      <c r="O174" s="29"/>
      <c r="P174" s="29"/>
      <c r="Q174" s="29"/>
      <c r="R174" s="29"/>
      <c r="S174" s="29"/>
      <c r="T174" s="57"/>
      <c r="U174" s="29"/>
      <c r="V174" s="29"/>
      <c r="W174" s="81"/>
      <c r="X174" s="85"/>
      <c r="Y174" s="81"/>
      <c r="AA174" s="59">
        <v>1</v>
      </c>
      <c r="AB174" s="59" t="str">
        <f t="shared" si="16"/>
        <v/>
      </c>
    </row>
    <row r="175" spans="1:28" s="55" customFormat="1" ht="30" customHeight="1" x14ac:dyDescent="0.2">
      <c r="A175" s="27">
        <v>429</v>
      </c>
      <c r="B175" s="28" t="str">
        <f t="shared" si="12"/>
        <v>2.3.15</v>
      </c>
      <c r="C175" s="29">
        <f t="shared" si="13"/>
        <v>5</v>
      </c>
      <c r="D175" s="3"/>
      <c r="E175" s="4"/>
      <c r="F175" s="4"/>
      <c r="G175" s="31"/>
      <c r="H175" s="67" t="str">
        <f>IF(ISERROR(VLOOKUP(#REF!,#REF!,6,FALSE)),"",IF(VLOOKUP(#REF!,#REF!,6,FALSE)=0,"",VLOOKUP(#REF!,#REF!,6,FALSE)))</f>
        <v/>
      </c>
      <c r="I175" s="67" t="str">
        <f t="shared" si="17"/>
        <v/>
      </c>
      <c r="J175" s="133"/>
      <c r="K175" s="133"/>
      <c r="L175" s="29"/>
      <c r="M175" s="29"/>
      <c r="N175" s="29"/>
      <c r="O175" s="29"/>
      <c r="P175" s="29"/>
      <c r="Q175" s="29"/>
      <c r="R175" s="29"/>
      <c r="S175" s="29"/>
      <c r="T175" s="57"/>
      <c r="U175" s="29"/>
      <c r="V175" s="29"/>
      <c r="W175" s="81"/>
      <c r="X175" s="85"/>
      <c r="Y175" s="81"/>
      <c r="AA175" s="59">
        <v>1</v>
      </c>
      <c r="AB175" s="59" t="str">
        <f t="shared" si="16"/>
        <v/>
      </c>
    </row>
    <row r="176" spans="1:28" s="55" customFormat="1" ht="30" customHeight="1" x14ac:dyDescent="0.2">
      <c r="A176" s="27">
        <v>430</v>
      </c>
      <c r="B176" s="28" t="str">
        <f t="shared" si="12"/>
        <v>2.3.16</v>
      </c>
      <c r="C176" s="29">
        <f t="shared" si="13"/>
        <v>5</v>
      </c>
      <c r="D176" s="3"/>
      <c r="E176" s="4"/>
      <c r="F176" s="4"/>
      <c r="G176" s="31"/>
      <c r="H176" s="67" t="str">
        <f>IF(ISERROR(VLOOKUP(#REF!,#REF!,6,FALSE)),"",IF(VLOOKUP(#REF!,#REF!,6,FALSE)=0,"",VLOOKUP(#REF!,#REF!,6,FALSE)))</f>
        <v/>
      </c>
      <c r="I176" s="67" t="str">
        <f t="shared" si="17"/>
        <v/>
      </c>
      <c r="J176" s="133"/>
      <c r="K176" s="133"/>
      <c r="L176" s="29"/>
      <c r="M176" s="29"/>
      <c r="N176" s="29"/>
      <c r="O176" s="29"/>
      <c r="P176" s="29"/>
      <c r="Q176" s="29"/>
      <c r="R176" s="29"/>
      <c r="S176" s="29"/>
      <c r="T176" s="57"/>
      <c r="U176" s="29"/>
      <c r="V176" s="29"/>
      <c r="W176" s="81"/>
      <c r="X176" s="85"/>
      <c r="Y176" s="81"/>
      <c r="AA176" s="59">
        <v>1</v>
      </c>
      <c r="AB176" s="59" t="str">
        <f t="shared" si="16"/>
        <v/>
      </c>
    </row>
    <row r="177" spans="1:28" s="55" customFormat="1" x14ac:dyDescent="0.2">
      <c r="A177" s="27">
        <v>431</v>
      </c>
      <c r="B177" s="28" t="str">
        <f t="shared" si="12"/>
        <v>2.3.17</v>
      </c>
      <c r="C177" s="29">
        <f t="shared" si="13"/>
        <v>4</v>
      </c>
      <c r="D177" s="3"/>
      <c r="E177" s="4"/>
      <c r="F177" s="4"/>
      <c r="G177" s="31"/>
      <c r="H177" s="67" t="str">
        <f>IF(ISERROR(VLOOKUP(#REF!,#REF!,6,FALSE)),"",IF(VLOOKUP(#REF!,#REF!,6,FALSE)=0,"",VLOOKUP(#REF!,#REF!,6,FALSE)))</f>
        <v/>
      </c>
      <c r="I177" s="67" t="str">
        <f t="shared" si="17"/>
        <v/>
      </c>
      <c r="J177" s="133"/>
      <c r="K177" s="133"/>
      <c r="L177" s="29"/>
      <c r="M177" s="29"/>
      <c r="N177" s="29"/>
      <c r="O177" s="29"/>
      <c r="P177" s="29"/>
      <c r="Q177" s="29"/>
      <c r="R177" s="29"/>
      <c r="S177" s="29"/>
      <c r="T177" s="57"/>
      <c r="U177" s="29"/>
      <c r="V177" s="29"/>
      <c r="W177" s="81"/>
      <c r="X177" s="85"/>
      <c r="Y177" s="81"/>
      <c r="AA177" s="59"/>
      <c r="AB177" s="59"/>
    </row>
    <row r="178" spans="1:28" s="55" customFormat="1" ht="30" customHeight="1" x14ac:dyDescent="0.2">
      <c r="A178" s="27">
        <v>432</v>
      </c>
      <c r="B178" s="28" t="str">
        <f t="shared" si="12"/>
        <v>2.3.17a</v>
      </c>
      <c r="C178" s="29">
        <f t="shared" si="13"/>
        <v>6</v>
      </c>
      <c r="D178" s="3"/>
      <c r="E178" s="4"/>
      <c r="F178" s="4"/>
      <c r="G178" s="31"/>
      <c r="H178" s="67" t="str">
        <f>IF(ISERROR(VLOOKUP(#REF!,#REF!,6,FALSE)),"",IF(VLOOKUP(#REF!,#REF!,6,FALSE)=0,"",VLOOKUP(#REF!,#REF!,6,FALSE)))</f>
        <v/>
      </c>
      <c r="I178" s="67" t="str">
        <f t="shared" si="17"/>
        <v/>
      </c>
      <c r="J178" s="133"/>
      <c r="K178" s="133"/>
      <c r="L178" s="29"/>
      <c r="M178" s="29"/>
      <c r="N178" s="29"/>
      <c r="O178" s="29"/>
      <c r="P178" s="29"/>
      <c r="Q178" s="29"/>
      <c r="R178" s="29"/>
      <c r="S178" s="29"/>
      <c r="T178" s="57"/>
      <c r="U178" s="29"/>
      <c r="V178" s="29"/>
      <c r="W178" s="81"/>
      <c r="X178" s="85"/>
      <c r="Y178" s="81"/>
      <c r="AA178" s="59">
        <v>1</v>
      </c>
      <c r="AB178" s="59" t="str">
        <f>VLOOKUP(AA178,detail_maturity_score,3,FALSE)</f>
        <v/>
      </c>
    </row>
    <row r="179" spans="1:28" s="55" customFormat="1" ht="16" x14ac:dyDescent="0.2">
      <c r="A179" s="27">
        <v>433</v>
      </c>
      <c r="B179" s="28" t="str">
        <f t="shared" si="12"/>
        <v>2.3.17b</v>
      </c>
      <c r="C179" s="29">
        <f t="shared" si="13"/>
        <v>6</v>
      </c>
      <c r="D179" s="3"/>
      <c r="E179" s="4"/>
      <c r="F179" s="4"/>
      <c r="G179" s="31"/>
      <c r="H179" s="67" t="str">
        <f>IF(ISERROR(VLOOKUP(#REF!,#REF!,6,FALSE)),"",IF(VLOOKUP(#REF!,#REF!,6,FALSE)=0,"",VLOOKUP(#REF!,#REF!,6,FALSE)))</f>
        <v/>
      </c>
      <c r="I179" s="67" t="str">
        <f t="shared" si="17"/>
        <v/>
      </c>
      <c r="J179" s="133"/>
      <c r="K179" s="133"/>
      <c r="L179" s="29"/>
      <c r="M179" s="29"/>
      <c r="N179" s="29"/>
      <c r="O179" s="29"/>
      <c r="P179" s="29"/>
      <c r="Q179" s="29"/>
      <c r="R179" s="29"/>
      <c r="S179" s="29"/>
      <c r="T179" s="57"/>
      <c r="U179" s="29"/>
      <c r="V179" s="29"/>
      <c r="W179" s="81"/>
      <c r="X179" s="85"/>
      <c r="Y179" s="81"/>
      <c r="AA179" s="59">
        <v>1</v>
      </c>
      <c r="AB179" s="59" t="str">
        <f>VLOOKUP(AA179,detail_maturity_score,3,FALSE)</f>
        <v/>
      </c>
    </row>
    <row r="180" spans="1:28" s="55" customFormat="1" ht="30" customHeight="1" x14ac:dyDescent="0.2">
      <c r="A180" s="27">
        <v>434</v>
      </c>
      <c r="B180" s="28" t="str">
        <f t="shared" si="12"/>
        <v>2.3.17c</v>
      </c>
      <c r="C180" s="29">
        <f t="shared" si="13"/>
        <v>6</v>
      </c>
      <c r="D180" s="3"/>
      <c r="E180" s="4"/>
      <c r="F180" s="4"/>
      <c r="G180" s="31"/>
      <c r="H180" s="67" t="str">
        <f>IF(ISERROR(VLOOKUP(#REF!,#REF!,6,FALSE)),"",IF(VLOOKUP(#REF!,#REF!,6,FALSE)=0,"",VLOOKUP(#REF!,#REF!,6,FALSE)))</f>
        <v/>
      </c>
      <c r="I180" s="67" t="str">
        <f t="shared" si="17"/>
        <v/>
      </c>
      <c r="J180" s="133"/>
      <c r="K180" s="133"/>
      <c r="L180" s="29"/>
      <c r="M180" s="29"/>
      <c r="N180" s="29"/>
      <c r="O180" s="29"/>
      <c r="P180" s="29"/>
      <c r="Q180" s="29"/>
      <c r="R180" s="29"/>
      <c r="S180" s="29"/>
      <c r="T180" s="57"/>
      <c r="U180" s="29"/>
      <c r="V180" s="29"/>
      <c r="W180" s="81"/>
      <c r="X180" s="85"/>
      <c r="Y180" s="81"/>
      <c r="AA180" s="59">
        <v>1</v>
      </c>
      <c r="AB180" s="59" t="str">
        <f>VLOOKUP(AA180,detail_maturity_score,3,FALSE)</f>
        <v/>
      </c>
    </row>
    <row r="181" spans="1:28" s="55" customFormat="1" ht="30" customHeight="1" x14ac:dyDescent="0.2">
      <c r="A181" s="27">
        <v>435</v>
      </c>
      <c r="B181" s="28" t="str">
        <f t="shared" si="12"/>
        <v>2.3.17d</v>
      </c>
      <c r="C181" s="29">
        <f t="shared" si="13"/>
        <v>6</v>
      </c>
      <c r="D181" s="3"/>
      <c r="E181" s="4"/>
      <c r="F181" s="4"/>
      <c r="G181" s="29"/>
      <c r="H181" s="67" t="str">
        <f>IF(ISERROR(VLOOKUP(#REF!,#REF!,6,FALSE)),"",IF(VLOOKUP(#REF!,#REF!,6,FALSE)=0,"",VLOOKUP(#REF!,#REF!,6,FALSE)))</f>
        <v/>
      </c>
      <c r="I181" s="67" t="str">
        <f t="shared" si="17"/>
        <v/>
      </c>
      <c r="J181" s="133"/>
      <c r="K181" s="133"/>
      <c r="L181" s="29"/>
      <c r="M181" s="29"/>
      <c r="N181" s="29"/>
      <c r="O181" s="29"/>
      <c r="P181" s="29"/>
      <c r="Q181" s="29"/>
      <c r="R181" s="29"/>
      <c r="S181" s="29"/>
      <c r="T181" s="57"/>
      <c r="U181" s="29"/>
      <c r="V181" s="29"/>
      <c r="W181" s="81"/>
      <c r="X181" s="85"/>
      <c r="Y181" s="81"/>
      <c r="AA181" s="59">
        <v>1</v>
      </c>
      <c r="AB181" s="59" t="str">
        <f>VLOOKUP(AA181,detail_maturity_score,3,FALSE)</f>
        <v/>
      </c>
    </row>
    <row r="182" spans="1:28" s="55" customFormat="1" ht="18.75" customHeight="1" x14ac:dyDescent="0.2">
      <c r="A182" s="27">
        <v>436</v>
      </c>
      <c r="B182" s="29" t="str">
        <f t="shared" si="12"/>
        <v/>
      </c>
      <c r="C182" s="29">
        <f t="shared" si="13"/>
        <v>3</v>
      </c>
      <c r="D182" s="3"/>
      <c r="E182" s="4"/>
      <c r="F182" s="4"/>
      <c r="G182" s="31"/>
      <c r="H182" s="67" t="str">
        <f>IF(ISERROR(VLOOKUP(#REF!,#REF!,6,FALSE)),"",IF(VLOOKUP(#REF!,#REF!,6,FALSE)=0,"",VLOOKUP(#REF!,#REF!,6,FALSE)))</f>
        <v/>
      </c>
      <c r="I182" s="67" t="str">
        <f t="shared" si="17"/>
        <v/>
      </c>
      <c r="J182" s="133"/>
      <c r="K182" s="133"/>
      <c r="L182" s="29"/>
      <c r="M182" s="29"/>
      <c r="N182" s="29"/>
      <c r="O182" s="29"/>
      <c r="P182" s="29"/>
      <c r="Q182" s="29"/>
      <c r="R182" s="29"/>
      <c r="S182" s="29"/>
      <c r="T182" s="57"/>
      <c r="U182" s="29"/>
      <c r="V182" s="29"/>
      <c r="W182" s="81"/>
      <c r="X182" s="81"/>
      <c r="Y182" s="81"/>
      <c r="AA182" s="59"/>
      <c r="AB182" s="59"/>
    </row>
    <row r="183" spans="1:28" s="55" customFormat="1" ht="16" x14ac:dyDescent="0.2">
      <c r="A183" s="27">
        <v>437</v>
      </c>
      <c r="B183" s="28" t="str">
        <f t="shared" si="12"/>
        <v>2.3.18</v>
      </c>
      <c r="C183" s="29">
        <f t="shared" si="13"/>
        <v>5</v>
      </c>
      <c r="D183" s="3"/>
      <c r="E183" s="4"/>
      <c r="F183" s="4"/>
      <c r="G183" s="31"/>
      <c r="H183" s="67" t="str">
        <f>IF(ISERROR(VLOOKUP(#REF!,#REF!,6,FALSE)),"",IF(VLOOKUP(#REF!,#REF!,6,FALSE)=0,"",VLOOKUP(#REF!,#REF!,6,FALSE)))</f>
        <v/>
      </c>
      <c r="I183" s="67" t="str">
        <f t="shared" si="17"/>
        <v/>
      </c>
      <c r="J183" s="133"/>
      <c r="K183" s="133"/>
      <c r="L183" s="29"/>
      <c r="M183" s="29"/>
      <c r="N183" s="29"/>
      <c r="O183" s="29"/>
      <c r="P183" s="29"/>
      <c r="Q183" s="29"/>
      <c r="R183" s="29"/>
      <c r="S183" s="29"/>
      <c r="T183" s="57"/>
      <c r="U183" s="29"/>
      <c r="V183" s="29"/>
      <c r="W183" s="81"/>
      <c r="X183" s="85"/>
      <c r="Y183" s="81"/>
      <c r="AA183" s="59">
        <v>1</v>
      </c>
      <c r="AB183" s="59" t="str">
        <f>VLOOKUP(AA183,detail_maturity_score,3,FALSE)</f>
        <v/>
      </c>
    </row>
    <row r="184" spans="1:28" s="55" customFormat="1" ht="16" x14ac:dyDescent="0.2">
      <c r="A184" s="27">
        <v>438</v>
      </c>
      <c r="B184" s="28" t="str">
        <f t="shared" si="12"/>
        <v>2.3.19</v>
      </c>
      <c r="C184" s="29">
        <f t="shared" si="13"/>
        <v>5</v>
      </c>
      <c r="D184" s="3"/>
      <c r="E184" s="4"/>
      <c r="F184" s="4"/>
      <c r="G184" s="31"/>
      <c r="H184" s="67" t="str">
        <f>IF(ISERROR(VLOOKUP(#REF!,#REF!,6,FALSE)),"",IF(VLOOKUP(#REF!,#REF!,6,FALSE)=0,"",VLOOKUP(#REF!,#REF!,6,FALSE)))</f>
        <v/>
      </c>
      <c r="I184" s="67" t="str">
        <f t="shared" si="17"/>
        <v/>
      </c>
      <c r="J184" s="133"/>
      <c r="K184" s="133"/>
      <c r="L184" s="29"/>
      <c r="M184" s="29"/>
      <c r="N184" s="29"/>
      <c r="O184" s="29"/>
      <c r="P184" s="29"/>
      <c r="Q184" s="29"/>
      <c r="R184" s="29"/>
      <c r="S184" s="29"/>
      <c r="T184" s="57"/>
      <c r="U184" s="29"/>
      <c r="V184" s="29"/>
      <c r="W184" s="81"/>
      <c r="X184" s="85"/>
      <c r="Y184" s="81"/>
      <c r="AA184" s="59">
        <v>1</v>
      </c>
      <c r="AB184" s="59" t="str">
        <f>VLOOKUP(AA184,detail_maturity_score,3,FALSE)</f>
        <v/>
      </c>
    </row>
    <row r="185" spans="1:28" s="55" customFormat="1" ht="30" customHeight="1" x14ac:dyDescent="0.2">
      <c r="A185" s="27">
        <v>439</v>
      </c>
      <c r="B185" s="28" t="str">
        <f t="shared" si="12"/>
        <v>2.3.20</v>
      </c>
      <c r="C185" s="29">
        <f t="shared" si="13"/>
        <v>4</v>
      </c>
      <c r="D185" s="3"/>
      <c r="E185" s="4"/>
      <c r="F185" s="4"/>
      <c r="G185" s="31"/>
      <c r="H185" s="67" t="str">
        <f>IF(ISERROR(VLOOKUP(#REF!,#REF!,6,FALSE)),"",IF(VLOOKUP(#REF!,#REF!,6,FALSE)=0,"",VLOOKUP(#REF!,#REF!,6,FALSE)))</f>
        <v/>
      </c>
      <c r="I185" s="67" t="str">
        <f t="shared" si="17"/>
        <v/>
      </c>
      <c r="J185" s="133"/>
      <c r="K185" s="133"/>
      <c r="L185" s="29"/>
      <c r="M185" s="29"/>
      <c r="N185" s="29"/>
      <c r="O185" s="29"/>
      <c r="P185" s="29"/>
      <c r="Q185" s="29"/>
      <c r="R185" s="29"/>
      <c r="S185" s="29"/>
      <c r="T185" s="57"/>
      <c r="U185" s="29"/>
      <c r="V185" s="29"/>
      <c r="W185" s="81"/>
      <c r="X185" s="85"/>
      <c r="Y185" s="81"/>
      <c r="AA185" s="59"/>
      <c r="AB185" s="59"/>
    </row>
    <row r="186" spans="1:28" s="55" customFormat="1" ht="16" x14ac:dyDescent="0.2">
      <c r="A186" s="27">
        <v>440</v>
      </c>
      <c r="B186" s="28" t="str">
        <f t="shared" si="12"/>
        <v>2.3.20a</v>
      </c>
      <c r="C186" s="29">
        <f t="shared" si="13"/>
        <v>6</v>
      </c>
      <c r="D186" s="3"/>
      <c r="E186" s="4"/>
      <c r="F186" s="4"/>
      <c r="G186" s="31"/>
      <c r="H186" s="67" t="str">
        <f>IF(ISERROR(VLOOKUP(#REF!,#REF!,6,FALSE)),"",IF(VLOOKUP(#REF!,#REF!,6,FALSE)=0,"",VLOOKUP(#REF!,#REF!,6,FALSE)))</f>
        <v/>
      </c>
      <c r="I186" s="67" t="str">
        <f t="shared" si="17"/>
        <v/>
      </c>
      <c r="J186" s="133"/>
      <c r="K186" s="133"/>
      <c r="L186" s="29"/>
      <c r="M186" s="29"/>
      <c r="N186" s="29"/>
      <c r="O186" s="29"/>
      <c r="P186" s="29"/>
      <c r="Q186" s="29"/>
      <c r="R186" s="29"/>
      <c r="S186" s="29"/>
      <c r="T186" s="57"/>
      <c r="U186" s="29"/>
      <c r="V186" s="29"/>
      <c r="W186" s="81"/>
      <c r="X186" s="85"/>
      <c r="Y186" s="81"/>
      <c r="AA186" s="59">
        <v>1</v>
      </c>
      <c r="AB186" s="59" t="str">
        <f>VLOOKUP(AA186,detail_maturity_score,3,FALSE)</f>
        <v/>
      </c>
    </row>
    <row r="187" spans="1:28" s="55" customFormat="1" ht="16" x14ac:dyDescent="0.2">
      <c r="A187" s="27">
        <v>441</v>
      </c>
      <c r="B187" s="28" t="str">
        <f t="shared" si="12"/>
        <v>2.3.20b</v>
      </c>
      <c r="C187" s="29">
        <f t="shared" si="13"/>
        <v>6</v>
      </c>
      <c r="D187" s="3"/>
      <c r="E187" s="4"/>
      <c r="F187" s="4"/>
      <c r="G187" s="31"/>
      <c r="H187" s="67" t="str">
        <f>IF(ISERROR(VLOOKUP(#REF!,#REF!,6,FALSE)),"",IF(VLOOKUP(#REF!,#REF!,6,FALSE)=0,"",VLOOKUP(#REF!,#REF!,6,FALSE)))</f>
        <v/>
      </c>
      <c r="I187" s="67" t="str">
        <f t="shared" si="17"/>
        <v/>
      </c>
      <c r="J187" s="133"/>
      <c r="K187" s="133"/>
      <c r="L187" s="29"/>
      <c r="M187" s="29"/>
      <c r="N187" s="29"/>
      <c r="O187" s="29"/>
      <c r="P187" s="29"/>
      <c r="Q187" s="29"/>
      <c r="R187" s="29"/>
      <c r="S187" s="29"/>
      <c r="T187" s="57"/>
      <c r="U187" s="29"/>
      <c r="V187" s="29"/>
      <c r="W187" s="81"/>
      <c r="X187" s="85"/>
      <c r="Y187" s="81"/>
      <c r="AA187" s="59">
        <v>1</v>
      </c>
      <c r="AB187" s="59" t="str">
        <f>VLOOKUP(AA187,detail_maturity_score,3,FALSE)</f>
        <v/>
      </c>
    </row>
    <row r="188" spans="1:28" s="55" customFormat="1" ht="16" x14ac:dyDescent="0.2">
      <c r="A188" s="27">
        <v>442</v>
      </c>
      <c r="B188" s="28" t="str">
        <f t="shared" si="12"/>
        <v>2.3.20c</v>
      </c>
      <c r="C188" s="29">
        <f t="shared" si="13"/>
        <v>6</v>
      </c>
      <c r="D188" s="3"/>
      <c r="E188" s="4"/>
      <c r="F188" s="4"/>
      <c r="G188" s="31"/>
      <c r="H188" s="67" t="str">
        <f>IF(ISERROR(VLOOKUP(#REF!,#REF!,6,FALSE)),"",IF(VLOOKUP(#REF!,#REF!,6,FALSE)=0,"",VLOOKUP(#REF!,#REF!,6,FALSE)))</f>
        <v/>
      </c>
      <c r="I188" s="67" t="str">
        <f t="shared" si="17"/>
        <v/>
      </c>
      <c r="J188" s="133"/>
      <c r="K188" s="133"/>
      <c r="L188" s="29"/>
      <c r="M188" s="29"/>
      <c r="N188" s="29"/>
      <c r="O188" s="29"/>
      <c r="P188" s="29"/>
      <c r="Q188" s="29"/>
      <c r="R188" s="29"/>
      <c r="S188" s="29"/>
      <c r="T188" s="57"/>
      <c r="U188" s="29"/>
      <c r="V188" s="29"/>
      <c r="W188" s="81"/>
      <c r="X188" s="85"/>
      <c r="Y188" s="81"/>
      <c r="AA188" s="59">
        <v>1</v>
      </c>
      <c r="AB188" s="59" t="str">
        <f>VLOOKUP(AA188,detail_maturity_score,3,FALSE)</f>
        <v/>
      </c>
    </row>
    <row r="189" spans="1:28" s="55" customFormat="1" ht="30" customHeight="1" x14ac:dyDescent="0.2">
      <c r="A189" s="27">
        <v>443</v>
      </c>
      <c r="B189" s="28" t="str">
        <f t="shared" si="12"/>
        <v>2.3.20d</v>
      </c>
      <c r="C189" s="29">
        <f t="shared" si="13"/>
        <v>6</v>
      </c>
      <c r="D189" s="3"/>
      <c r="E189" s="4"/>
      <c r="F189" s="4"/>
      <c r="G189" s="31"/>
      <c r="H189" s="67" t="str">
        <f>IF(ISERROR(VLOOKUP(#REF!,#REF!,6,FALSE)),"",IF(VLOOKUP(#REF!,#REF!,6,FALSE)=0,"",VLOOKUP(#REF!,#REF!,6,FALSE)))</f>
        <v/>
      </c>
      <c r="I189" s="67" t="str">
        <f t="shared" si="17"/>
        <v/>
      </c>
      <c r="J189" s="133"/>
      <c r="K189" s="133"/>
      <c r="L189" s="29"/>
      <c r="M189" s="29"/>
      <c r="N189" s="29"/>
      <c r="O189" s="29"/>
      <c r="P189" s="29"/>
      <c r="Q189" s="29"/>
      <c r="R189" s="29"/>
      <c r="S189" s="29"/>
      <c r="T189" s="57"/>
      <c r="U189" s="29"/>
      <c r="V189" s="29"/>
      <c r="W189" s="81"/>
      <c r="X189" s="85"/>
      <c r="Y189" s="81"/>
      <c r="AA189" s="59">
        <v>1</v>
      </c>
      <c r="AB189" s="59" t="str">
        <f>VLOOKUP(AA189,detail_maturity_score,3,FALSE)</f>
        <v/>
      </c>
    </row>
    <row r="190" spans="1:28" s="55" customFormat="1" x14ac:dyDescent="0.2">
      <c r="A190" s="27">
        <v>444</v>
      </c>
      <c r="B190" s="28" t="str">
        <f t="shared" si="12"/>
        <v>2.3.21</v>
      </c>
      <c r="C190" s="29">
        <f t="shared" si="13"/>
        <v>4</v>
      </c>
      <c r="D190" s="3"/>
      <c r="E190" s="4"/>
      <c r="F190" s="4"/>
      <c r="G190" s="31"/>
      <c r="H190" s="67" t="str">
        <f>IF(ISERROR(VLOOKUP(#REF!,#REF!,6,FALSE)),"",IF(VLOOKUP(#REF!,#REF!,6,FALSE)=0,"",VLOOKUP(#REF!,#REF!,6,FALSE)))</f>
        <v/>
      </c>
      <c r="I190" s="67" t="str">
        <f t="shared" si="17"/>
        <v/>
      </c>
      <c r="J190" s="133"/>
      <c r="K190" s="133"/>
      <c r="L190" s="29"/>
      <c r="M190" s="29"/>
      <c r="N190" s="29"/>
      <c r="O190" s="29"/>
      <c r="P190" s="29"/>
      <c r="Q190" s="29"/>
      <c r="R190" s="29"/>
      <c r="S190" s="29"/>
      <c r="T190" s="57"/>
      <c r="U190" s="29"/>
      <c r="V190" s="29"/>
      <c r="W190" s="81"/>
      <c r="X190" s="85"/>
      <c r="Y190" s="81"/>
      <c r="AA190" s="59"/>
      <c r="AB190" s="59"/>
    </row>
    <row r="191" spans="1:28" s="55" customFormat="1" ht="30" customHeight="1" x14ac:dyDescent="0.2">
      <c r="A191" s="27">
        <v>445</v>
      </c>
      <c r="B191" s="28" t="str">
        <f t="shared" si="12"/>
        <v>2.3.21a</v>
      </c>
      <c r="C191" s="29">
        <f t="shared" si="13"/>
        <v>6</v>
      </c>
      <c r="D191" s="3"/>
      <c r="E191" s="4"/>
      <c r="F191" s="4"/>
      <c r="G191" s="31"/>
      <c r="H191" s="67" t="str">
        <f>IF(ISERROR(VLOOKUP(#REF!,#REF!,6,FALSE)),"",IF(VLOOKUP(#REF!,#REF!,6,FALSE)=0,"",VLOOKUP(#REF!,#REF!,6,FALSE)))</f>
        <v/>
      </c>
      <c r="I191" s="67" t="str">
        <f t="shared" si="17"/>
        <v/>
      </c>
      <c r="J191" s="133"/>
      <c r="K191" s="133"/>
      <c r="L191" s="29"/>
      <c r="M191" s="29"/>
      <c r="N191" s="29"/>
      <c r="O191" s="29"/>
      <c r="P191" s="29"/>
      <c r="Q191" s="29"/>
      <c r="R191" s="29"/>
      <c r="S191" s="29"/>
      <c r="T191" s="57"/>
      <c r="U191" s="29"/>
      <c r="V191" s="29"/>
      <c r="W191" s="81"/>
      <c r="X191" s="85"/>
      <c r="Y191" s="81"/>
      <c r="AA191" s="59">
        <v>1</v>
      </c>
      <c r="AB191" s="59" t="str">
        <f>VLOOKUP(AA191,detail_maturity_score,3,FALSE)</f>
        <v/>
      </c>
    </row>
    <row r="192" spans="1:28" s="55" customFormat="1" ht="30" customHeight="1" x14ac:dyDescent="0.2">
      <c r="A192" s="27">
        <v>446</v>
      </c>
      <c r="B192" s="28" t="str">
        <f t="shared" si="12"/>
        <v>2.3.21b</v>
      </c>
      <c r="C192" s="29">
        <f t="shared" si="13"/>
        <v>6</v>
      </c>
      <c r="D192" s="3"/>
      <c r="E192" s="4"/>
      <c r="F192" s="4"/>
      <c r="G192" s="31"/>
      <c r="H192" s="67" t="str">
        <f>IF(ISERROR(VLOOKUP(#REF!,#REF!,6,FALSE)),"",IF(VLOOKUP(#REF!,#REF!,6,FALSE)=0,"",VLOOKUP(#REF!,#REF!,6,FALSE)))</f>
        <v/>
      </c>
      <c r="I192" s="67" t="str">
        <f t="shared" si="17"/>
        <v/>
      </c>
      <c r="J192" s="133"/>
      <c r="K192" s="133"/>
      <c r="L192" s="29"/>
      <c r="M192" s="29"/>
      <c r="N192" s="29"/>
      <c r="O192" s="29"/>
      <c r="P192" s="29"/>
      <c r="Q192" s="29"/>
      <c r="R192" s="29"/>
      <c r="S192" s="29"/>
      <c r="T192" s="57"/>
      <c r="U192" s="29"/>
      <c r="V192" s="29"/>
      <c r="W192" s="81"/>
      <c r="X192" s="85"/>
      <c r="Y192" s="81"/>
      <c r="AA192" s="59">
        <v>1</v>
      </c>
      <c r="AB192" s="59" t="str">
        <f>VLOOKUP(AA192,detail_maturity_score,3,FALSE)</f>
        <v/>
      </c>
    </row>
    <row r="193" spans="1:28" s="55" customFormat="1" ht="30" customHeight="1" x14ac:dyDescent="0.2">
      <c r="A193" s="27">
        <v>447</v>
      </c>
      <c r="B193" s="28" t="str">
        <f t="shared" si="12"/>
        <v>2.3.21c</v>
      </c>
      <c r="C193" s="29">
        <f t="shared" si="13"/>
        <v>6</v>
      </c>
      <c r="D193" s="3"/>
      <c r="E193" s="4"/>
      <c r="F193" s="4"/>
      <c r="G193" s="31"/>
      <c r="H193" s="67" t="str">
        <f>IF(ISERROR(VLOOKUP(#REF!,#REF!,6,FALSE)),"",IF(VLOOKUP(#REF!,#REF!,6,FALSE)=0,"",VLOOKUP(#REF!,#REF!,6,FALSE)))</f>
        <v/>
      </c>
      <c r="I193" s="67" t="str">
        <f t="shared" si="17"/>
        <v/>
      </c>
      <c r="J193" s="133"/>
      <c r="K193" s="133"/>
      <c r="L193" s="29"/>
      <c r="M193" s="29"/>
      <c r="N193" s="29"/>
      <c r="O193" s="29"/>
      <c r="P193" s="29"/>
      <c r="Q193" s="29"/>
      <c r="R193" s="29"/>
      <c r="S193" s="29"/>
      <c r="T193" s="57"/>
      <c r="U193" s="29"/>
      <c r="V193" s="29"/>
      <c r="W193" s="81"/>
      <c r="X193" s="85"/>
      <c r="Y193" s="81"/>
      <c r="AA193" s="59">
        <v>1</v>
      </c>
      <c r="AB193" s="59" t="str">
        <f>VLOOKUP(AA193,detail_maturity_score,3,FALSE)</f>
        <v/>
      </c>
    </row>
    <row r="194" spans="1:28" s="55" customFormat="1" ht="30" customHeight="1" x14ac:dyDescent="0.2">
      <c r="A194" s="27">
        <v>448</v>
      </c>
      <c r="B194" s="28" t="str">
        <f t="shared" si="12"/>
        <v>2.3.21d</v>
      </c>
      <c r="C194" s="29">
        <f t="shared" si="13"/>
        <v>6</v>
      </c>
      <c r="D194" s="3"/>
      <c r="E194" s="4"/>
      <c r="F194" s="4"/>
      <c r="G194" s="31"/>
      <c r="H194" s="67" t="str">
        <f>IF(ISERROR(VLOOKUP(#REF!,#REF!,6,FALSE)),"",IF(VLOOKUP(#REF!,#REF!,6,FALSE)=0,"",VLOOKUP(#REF!,#REF!,6,FALSE)))</f>
        <v/>
      </c>
      <c r="I194" s="67" t="str">
        <f t="shared" si="17"/>
        <v/>
      </c>
      <c r="J194" s="133"/>
      <c r="K194" s="133"/>
      <c r="L194" s="29"/>
      <c r="M194" s="29"/>
      <c r="N194" s="29"/>
      <c r="O194" s="29"/>
      <c r="P194" s="29"/>
      <c r="Q194" s="29"/>
      <c r="R194" s="29"/>
      <c r="S194" s="29"/>
      <c r="T194" s="57"/>
      <c r="U194" s="29"/>
      <c r="V194" s="29"/>
      <c r="W194" s="81"/>
      <c r="X194" s="85"/>
      <c r="Y194" s="81"/>
      <c r="AA194" s="59">
        <v>1</v>
      </c>
      <c r="AB194" s="59" t="str">
        <f>VLOOKUP(AA194,detail_maturity_score,3,FALSE)</f>
        <v/>
      </c>
    </row>
    <row r="195" spans="1:28" s="55" customFormat="1" ht="30" customHeight="1" x14ac:dyDescent="0.2">
      <c r="A195" s="27">
        <v>449</v>
      </c>
      <c r="B195" s="28" t="str">
        <f t="shared" si="12"/>
        <v>2.3.22</v>
      </c>
      <c r="C195" s="29">
        <f t="shared" si="13"/>
        <v>4</v>
      </c>
      <c r="D195" s="3"/>
      <c r="E195" s="4"/>
      <c r="F195" s="4"/>
      <c r="G195" s="31"/>
      <c r="H195" s="67" t="str">
        <f>IF(ISERROR(VLOOKUP(#REF!,#REF!,6,FALSE)),"",IF(VLOOKUP(#REF!,#REF!,6,FALSE)=0,"",VLOOKUP(#REF!,#REF!,6,FALSE)))</f>
        <v/>
      </c>
      <c r="I195" s="67" t="str">
        <f t="shared" si="17"/>
        <v/>
      </c>
      <c r="J195" s="133"/>
      <c r="K195" s="133"/>
      <c r="L195" s="29"/>
      <c r="M195" s="29"/>
      <c r="N195" s="29"/>
      <c r="O195" s="29"/>
      <c r="P195" s="29"/>
      <c r="Q195" s="29"/>
      <c r="R195" s="29"/>
      <c r="S195" s="29"/>
      <c r="T195" s="57"/>
      <c r="U195" s="29"/>
      <c r="V195" s="29"/>
      <c r="W195" s="81"/>
      <c r="X195" s="85"/>
      <c r="Y195" s="81"/>
      <c r="AA195" s="59"/>
      <c r="AB195" s="59"/>
    </row>
    <row r="196" spans="1:28" s="55" customFormat="1" ht="30" customHeight="1" x14ac:dyDescent="0.2">
      <c r="A196" s="27">
        <v>450</v>
      </c>
      <c r="B196" s="28" t="str">
        <f t="shared" si="12"/>
        <v>2.3.22a</v>
      </c>
      <c r="C196" s="29">
        <f t="shared" si="13"/>
        <v>6</v>
      </c>
      <c r="D196" s="3"/>
      <c r="E196" s="4"/>
      <c r="F196" s="4"/>
      <c r="G196" s="31"/>
      <c r="H196" s="67" t="str">
        <f>IF(ISERROR(VLOOKUP(#REF!,#REF!,6,FALSE)),"",IF(VLOOKUP(#REF!,#REF!,6,FALSE)=0,"",VLOOKUP(#REF!,#REF!,6,FALSE)))</f>
        <v/>
      </c>
      <c r="I196" s="67" t="str">
        <f t="shared" si="17"/>
        <v/>
      </c>
      <c r="J196" s="133"/>
      <c r="K196" s="133"/>
      <c r="L196" s="29"/>
      <c r="M196" s="29"/>
      <c r="N196" s="29"/>
      <c r="O196" s="29"/>
      <c r="P196" s="29"/>
      <c r="Q196" s="29"/>
      <c r="R196" s="29"/>
      <c r="S196" s="29"/>
      <c r="T196" s="57"/>
      <c r="U196" s="29"/>
      <c r="V196" s="29"/>
      <c r="W196" s="81"/>
      <c r="X196" s="85"/>
      <c r="Y196" s="81"/>
      <c r="AA196" s="59">
        <v>1</v>
      </c>
      <c r="AB196" s="59" t="str">
        <f>VLOOKUP(AA196,detail_maturity_score,3,FALSE)</f>
        <v/>
      </c>
    </row>
    <row r="197" spans="1:28" s="55" customFormat="1" ht="30" customHeight="1" x14ac:dyDescent="0.2">
      <c r="A197" s="27">
        <v>451</v>
      </c>
      <c r="B197" s="28" t="str">
        <f t="shared" si="12"/>
        <v>2.3.22b</v>
      </c>
      <c r="C197" s="29">
        <f t="shared" si="13"/>
        <v>6</v>
      </c>
      <c r="D197" s="3"/>
      <c r="E197" s="4"/>
      <c r="F197" s="4"/>
      <c r="G197" s="31"/>
      <c r="H197" s="67" t="str">
        <f>IF(ISERROR(VLOOKUP(#REF!,#REF!,6,FALSE)),"",IF(VLOOKUP(#REF!,#REF!,6,FALSE)=0,"",VLOOKUP(#REF!,#REF!,6,FALSE)))</f>
        <v/>
      </c>
      <c r="I197" s="67" t="str">
        <f t="shared" si="17"/>
        <v/>
      </c>
      <c r="J197" s="133"/>
      <c r="K197" s="133"/>
      <c r="L197" s="29"/>
      <c r="M197" s="29"/>
      <c r="N197" s="29"/>
      <c r="O197" s="29"/>
      <c r="P197" s="29"/>
      <c r="Q197" s="29"/>
      <c r="R197" s="29"/>
      <c r="S197" s="29"/>
      <c r="T197" s="57"/>
      <c r="U197" s="29"/>
      <c r="V197" s="29"/>
      <c r="W197" s="81"/>
      <c r="X197" s="85"/>
      <c r="Y197" s="81"/>
      <c r="AA197" s="59">
        <v>1</v>
      </c>
      <c r="AB197" s="59" t="str">
        <f>VLOOKUP(AA197,detail_maturity_score,3,FALSE)</f>
        <v/>
      </c>
    </row>
    <row r="198" spans="1:28" s="55" customFormat="1" ht="16" x14ac:dyDescent="0.2">
      <c r="A198" s="27">
        <v>452</v>
      </c>
      <c r="B198" s="28" t="str">
        <f t="shared" si="12"/>
        <v>2.3.23</v>
      </c>
      <c r="C198" s="29">
        <f t="shared" si="13"/>
        <v>5</v>
      </c>
      <c r="D198" s="3"/>
      <c r="E198" s="4"/>
      <c r="F198" s="4"/>
      <c r="G198" s="31"/>
      <c r="H198" s="67" t="str">
        <f>IF(ISERROR(VLOOKUP(#REF!,#REF!,6,FALSE)),"",IF(VLOOKUP(#REF!,#REF!,6,FALSE)=0,"",VLOOKUP(#REF!,#REF!,6,FALSE)))</f>
        <v/>
      </c>
      <c r="I198" s="67" t="str">
        <f t="shared" si="17"/>
        <v/>
      </c>
      <c r="J198" s="133"/>
      <c r="K198" s="133"/>
      <c r="L198" s="29"/>
      <c r="M198" s="29"/>
      <c r="N198" s="29"/>
      <c r="O198" s="29"/>
      <c r="P198" s="29"/>
      <c r="Q198" s="29"/>
      <c r="R198" s="29"/>
      <c r="S198" s="29"/>
      <c r="T198" s="57"/>
      <c r="U198" s="29"/>
      <c r="V198" s="29"/>
      <c r="W198" s="81"/>
      <c r="X198" s="85"/>
      <c r="Y198" s="81"/>
      <c r="AA198" s="59">
        <v>1</v>
      </c>
      <c r="AB198" s="59" t="str">
        <f>VLOOKUP(AA198,detail_maturity_score,3,FALSE)</f>
        <v/>
      </c>
    </row>
    <row r="199" spans="1:28" s="55" customFormat="1" ht="30" customHeight="1" x14ac:dyDescent="0.2">
      <c r="A199" s="27">
        <v>453</v>
      </c>
      <c r="B199" s="28" t="str">
        <f t="shared" si="12"/>
        <v>2.3.24</v>
      </c>
      <c r="C199" s="29">
        <f t="shared" si="13"/>
        <v>4</v>
      </c>
      <c r="D199" s="3"/>
      <c r="E199" s="4"/>
      <c r="F199" s="4"/>
      <c r="G199" s="31"/>
      <c r="H199" s="67" t="str">
        <f>IF(ISERROR(VLOOKUP(#REF!,#REF!,6,FALSE)),"",IF(VLOOKUP(#REF!,#REF!,6,FALSE)=0,"",VLOOKUP(#REF!,#REF!,6,FALSE)))</f>
        <v/>
      </c>
      <c r="I199" s="67" t="str">
        <f t="shared" si="17"/>
        <v/>
      </c>
      <c r="J199" s="133"/>
      <c r="K199" s="133"/>
      <c r="L199" s="29"/>
      <c r="M199" s="29"/>
      <c r="N199" s="29"/>
      <c r="O199" s="29"/>
      <c r="P199" s="29"/>
      <c r="Q199" s="29"/>
      <c r="R199" s="29"/>
      <c r="S199" s="29"/>
      <c r="T199" s="57"/>
      <c r="U199" s="29"/>
      <c r="V199" s="29"/>
      <c r="W199" s="81"/>
      <c r="X199" s="85"/>
      <c r="Y199" s="81"/>
      <c r="AA199" s="59"/>
      <c r="AB199" s="59"/>
    </row>
    <row r="200" spans="1:28" s="55" customFormat="1" ht="16" x14ac:dyDescent="0.2">
      <c r="A200" s="27">
        <v>454</v>
      </c>
      <c r="B200" s="28" t="str">
        <f t="shared" ref="B200:B263" si="18">VLOOKUP(A200,contentref,2,FALSE)</f>
        <v>2.3.24a</v>
      </c>
      <c r="C200" s="29">
        <f t="shared" ref="C200:C267" si="19">VLOOKUP(A200,contentref,15,FALSE)</f>
        <v>6</v>
      </c>
      <c r="D200" s="3"/>
      <c r="E200" s="4"/>
      <c r="F200" s="4"/>
      <c r="G200" s="31"/>
      <c r="H200" s="67" t="str">
        <f>IF(ISERROR(VLOOKUP(#REF!,#REF!,6,FALSE)),"",IF(VLOOKUP(#REF!,#REF!,6,FALSE)=0,"",VLOOKUP(#REF!,#REF!,6,FALSE)))</f>
        <v/>
      </c>
      <c r="I200" s="67" t="str">
        <f t="shared" si="17"/>
        <v/>
      </c>
      <c r="J200" s="133"/>
      <c r="K200" s="133"/>
      <c r="L200" s="29"/>
      <c r="M200" s="29"/>
      <c r="N200" s="29"/>
      <c r="O200" s="29"/>
      <c r="P200" s="29"/>
      <c r="Q200" s="29"/>
      <c r="R200" s="29"/>
      <c r="S200" s="29"/>
      <c r="T200" s="57"/>
      <c r="U200" s="29"/>
      <c r="V200" s="29"/>
      <c r="W200" s="81"/>
      <c r="X200" s="85"/>
      <c r="Y200" s="81"/>
      <c r="AA200" s="59">
        <v>1</v>
      </c>
      <c r="AB200" s="59" t="str">
        <f t="shared" ref="AB200:AB205" si="20">VLOOKUP(AA200,detail_maturity_score,3,FALSE)</f>
        <v/>
      </c>
    </row>
    <row r="201" spans="1:28" s="55" customFormat="1" ht="30" customHeight="1" x14ac:dyDescent="0.2">
      <c r="A201" s="27">
        <v>455</v>
      </c>
      <c r="B201" s="28" t="str">
        <f t="shared" si="18"/>
        <v>2.3.24b</v>
      </c>
      <c r="C201" s="29">
        <f t="shared" si="19"/>
        <v>6</v>
      </c>
      <c r="D201" s="3"/>
      <c r="E201" s="4"/>
      <c r="F201" s="4"/>
      <c r="G201" s="31"/>
      <c r="H201" s="67" t="str">
        <f>IF(ISERROR(VLOOKUP(#REF!,#REF!,6,FALSE)),"",IF(VLOOKUP(#REF!,#REF!,6,FALSE)=0,"",VLOOKUP(#REF!,#REF!,6,FALSE)))</f>
        <v/>
      </c>
      <c r="I201" s="67" t="str">
        <f t="shared" si="17"/>
        <v/>
      </c>
      <c r="J201" s="133"/>
      <c r="K201" s="133"/>
      <c r="L201" s="29"/>
      <c r="M201" s="29"/>
      <c r="N201" s="29"/>
      <c r="O201" s="29"/>
      <c r="P201" s="29"/>
      <c r="Q201" s="29"/>
      <c r="R201" s="29"/>
      <c r="S201" s="29"/>
      <c r="T201" s="57"/>
      <c r="U201" s="29"/>
      <c r="V201" s="29"/>
      <c r="W201" s="81"/>
      <c r="X201" s="85"/>
      <c r="Y201" s="81"/>
      <c r="AA201" s="59">
        <v>1</v>
      </c>
      <c r="AB201" s="59" t="str">
        <f t="shared" si="20"/>
        <v/>
      </c>
    </row>
    <row r="202" spans="1:28" s="55" customFormat="1" ht="16" x14ac:dyDescent="0.2">
      <c r="A202" s="27">
        <v>456</v>
      </c>
      <c r="B202" s="28" t="str">
        <f t="shared" si="18"/>
        <v>2.3.24c</v>
      </c>
      <c r="C202" s="29">
        <f t="shared" si="19"/>
        <v>6</v>
      </c>
      <c r="D202" s="3"/>
      <c r="E202" s="4"/>
      <c r="F202" s="4"/>
      <c r="G202" s="31"/>
      <c r="H202" s="67" t="str">
        <f>IF(ISERROR(VLOOKUP(#REF!,#REF!,6,FALSE)),"",IF(VLOOKUP(#REF!,#REF!,6,FALSE)=0,"",VLOOKUP(#REF!,#REF!,6,FALSE)))</f>
        <v/>
      </c>
      <c r="I202" s="67" t="str">
        <f t="shared" si="17"/>
        <v/>
      </c>
      <c r="J202" s="133"/>
      <c r="K202" s="133"/>
      <c r="L202" s="29"/>
      <c r="M202" s="29"/>
      <c r="N202" s="29"/>
      <c r="O202" s="29"/>
      <c r="P202" s="29"/>
      <c r="Q202" s="29"/>
      <c r="R202" s="29"/>
      <c r="S202" s="29"/>
      <c r="T202" s="57"/>
      <c r="U202" s="29"/>
      <c r="V202" s="29"/>
      <c r="W202" s="81"/>
      <c r="X202" s="85"/>
      <c r="Y202" s="81"/>
      <c r="AA202" s="59">
        <v>1</v>
      </c>
      <c r="AB202" s="59" t="str">
        <f t="shared" si="20"/>
        <v/>
      </c>
    </row>
    <row r="203" spans="1:28" s="55" customFormat="1" ht="16" x14ac:dyDescent="0.2">
      <c r="A203" s="27">
        <v>457</v>
      </c>
      <c r="B203" s="28" t="str">
        <f t="shared" si="18"/>
        <v>2.3.24d</v>
      </c>
      <c r="C203" s="29">
        <f t="shared" si="19"/>
        <v>6</v>
      </c>
      <c r="D203" s="3"/>
      <c r="E203" s="4"/>
      <c r="F203" s="4"/>
      <c r="G203" s="31"/>
      <c r="H203" s="67" t="str">
        <f>IF(ISERROR(VLOOKUP(#REF!,#REF!,6,FALSE)),"",IF(VLOOKUP(#REF!,#REF!,6,FALSE)=0,"",VLOOKUP(#REF!,#REF!,6,FALSE)))</f>
        <v/>
      </c>
      <c r="I203" s="67" t="str">
        <f t="shared" si="17"/>
        <v/>
      </c>
      <c r="J203" s="133"/>
      <c r="K203" s="133"/>
      <c r="L203" s="29"/>
      <c r="M203" s="29"/>
      <c r="N203" s="29"/>
      <c r="O203" s="29"/>
      <c r="P203" s="29"/>
      <c r="Q203" s="29"/>
      <c r="R203" s="29"/>
      <c r="S203" s="29"/>
      <c r="T203" s="57"/>
      <c r="U203" s="29"/>
      <c r="V203" s="29"/>
      <c r="W203" s="81"/>
      <c r="X203" s="85"/>
      <c r="Y203" s="81"/>
      <c r="AA203" s="59">
        <v>1</v>
      </c>
      <c r="AB203" s="59" t="str">
        <f t="shared" si="20"/>
        <v/>
      </c>
    </row>
    <row r="204" spans="1:28" s="55" customFormat="1" ht="16" x14ac:dyDescent="0.2">
      <c r="A204" s="27">
        <v>458</v>
      </c>
      <c r="B204" s="28" t="str">
        <f t="shared" si="18"/>
        <v>2.3.24e</v>
      </c>
      <c r="C204" s="29">
        <f t="shared" si="19"/>
        <v>6</v>
      </c>
      <c r="D204" s="3"/>
      <c r="E204" s="4"/>
      <c r="F204" s="4"/>
      <c r="G204" s="31"/>
      <c r="H204" s="67" t="str">
        <f>IF(ISERROR(VLOOKUP(#REF!,#REF!,6,FALSE)),"",IF(VLOOKUP(#REF!,#REF!,6,FALSE)=0,"",VLOOKUP(#REF!,#REF!,6,FALSE)))</f>
        <v/>
      </c>
      <c r="I204" s="67" t="str">
        <f t="shared" si="17"/>
        <v/>
      </c>
      <c r="J204" s="133"/>
      <c r="K204" s="133"/>
      <c r="L204" s="29"/>
      <c r="M204" s="29"/>
      <c r="N204" s="29"/>
      <c r="O204" s="29"/>
      <c r="P204" s="29"/>
      <c r="Q204" s="29"/>
      <c r="R204" s="29"/>
      <c r="S204" s="29"/>
      <c r="T204" s="57"/>
      <c r="U204" s="29"/>
      <c r="V204" s="29"/>
      <c r="W204" s="81"/>
      <c r="X204" s="85"/>
      <c r="Y204" s="81"/>
      <c r="AA204" s="59">
        <v>1</v>
      </c>
      <c r="AB204" s="59" t="str">
        <f t="shared" si="20"/>
        <v/>
      </c>
    </row>
    <row r="205" spans="1:28" s="55" customFormat="1" ht="30" customHeight="1" x14ac:dyDescent="0.2">
      <c r="A205" s="27">
        <v>459</v>
      </c>
      <c r="B205" s="28" t="str">
        <f t="shared" si="18"/>
        <v>2.3.24f</v>
      </c>
      <c r="C205" s="29">
        <f t="shared" si="19"/>
        <v>6</v>
      </c>
      <c r="D205" s="3"/>
      <c r="E205" s="4"/>
      <c r="F205" s="4"/>
      <c r="G205" s="31"/>
      <c r="H205" s="67" t="str">
        <f>IF(ISERROR(VLOOKUP(#REF!,#REF!,6,FALSE)),"",IF(VLOOKUP(#REF!,#REF!,6,FALSE)=0,"",VLOOKUP(#REF!,#REF!,6,FALSE)))</f>
        <v/>
      </c>
      <c r="I205" s="67" t="str">
        <f t="shared" si="17"/>
        <v/>
      </c>
      <c r="J205" s="133"/>
      <c r="K205" s="133"/>
      <c r="L205" s="29"/>
      <c r="M205" s="29"/>
      <c r="N205" s="29"/>
      <c r="O205" s="29"/>
      <c r="P205" s="29"/>
      <c r="Q205" s="29"/>
      <c r="R205" s="29"/>
      <c r="S205" s="29"/>
      <c r="T205" s="57"/>
      <c r="U205" s="29"/>
      <c r="V205" s="29"/>
      <c r="W205" s="81"/>
      <c r="X205" s="85"/>
      <c r="Y205" s="81"/>
      <c r="AA205" s="59">
        <v>1</v>
      </c>
      <c r="AB205" s="59" t="str">
        <f t="shared" si="20"/>
        <v/>
      </c>
    </row>
    <row r="206" spans="1:28" s="55" customFormat="1" ht="30" customHeight="1" x14ac:dyDescent="0.2">
      <c r="A206" s="27">
        <v>460</v>
      </c>
      <c r="B206" s="28" t="str">
        <f t="shared" si="18"/>
        <v>2.3.25</v>
      </c>
      <c r="C206" s="29">
        <f t="shared" si="19"/>
        <v>4</v>
      </c>
      <c r="D206" s="3"/>
      <c r="E206" s="4"/>
      <c r="F206" s="4"/>
      <c r="G206" s="31"/>
      <c r="H206" s="67" t="str">
        <f>IF(ISERROR(VLOOKUP(#REF!,#REF!,6,FALSE)),"",IF(VLOOKUP(#REF!,#REF!,6,FALSE)=0,"",VLOOKUP(#REF!,#REF!,6,FALSE)))</f>
        <v/>
      </c>
      <c r="I206" s="67" t="str">
        <f t="shared" si="17"/>
        <v/>
      </c>
      <c r="J206" s="133"/>
      <c r="K206" s="133"/>
      <c r="L206" s="29"/>
      <c r="M206" s="29"/>
      <c r="N206" s="29"/>
      <c r="O206" s="29"/>
      <c r="P206" s="29"/>
      <c r="Q206" s="29"/>
      <c r="R206" s="29"/>
      <c r="S206" s="29"/>
      <c r="T206" s="57"/>
      <c r="U206" s="29"/>
      <c r="V206" s="29"/>
      <c r="W206" s="81"/>
      <c r="X206" s="85"/>
      <c r="Y206" s="81"/>
      <c r="AA206" s="59"/>
      <c r="AB206" s="59"/>
    </row>
    <row r="207" spans="1:28" s="55" customFormat="1" ht="30" customHeight="1" x14ac:dyDescent="0.2">
      <c r="A207" s="27">
        <v>461</v>
      </c>
      <c r="B207" s="28" t="str">
        <f t="shared" si="18"/>
        <v>2.3.25a</v>
      </c>
      <c r="C207" s="29">
        <f t="shared" si="19"/>
        <v>6</v>
      </c>
      <c r="D207" s="3"/>
      <c r="E207" s="4"/>
      <c r="F207" s="4"/>
      <c r="G207" s="31"/>
      <c r="H207" s="67" t="str">
        <f>IF(ISERROR(VLOOKUP(#REF!,#REF!,6,FALSE)),"",IF(VLOOKUP(#REF!,#REF!,6,FALSE)=0,"",VLOOKUP(#REF!,#REF!,6,FALSE)))</f>
        <v/>
      </c>
      <c r="I207" s="67" t="str">
        <f t="shared" si="17"/>
        <v/>
      </c>
      <c r="J207" s="133"/>
      <c r="K207" s="133"/>
      <c r="L207" s="29"/>
      <c r="M207" s="29"/>
      <c r="N207" s="29"/>
      <c r="O207" s="29"/>
      <c r="P207" s="29"/>
      <c r="Q207" s="29"/>
      <c r="R207" s="29"/>
      <c r="S207" s="29"/>
      <c r="T207" s="57"/>
      <c r="U207" s="29"/>
      <c r="V207" s="29"/>
      <c r="W207" s="81"/>
      <c r="X207" s="85"/>
      <c r="Y207" s="81"/>
      <c r="AA207" s="59">
        <v>1</v>
      </c>
      <c r="AB207" s="59" t="str">
        <f>VLOOKUP(AA207,detail_maturity_score,3,FALSE)</f>
        <v/>
      </c>
    </row>
    <row r="208" spans="1:28" s="55" customFormat="1" ht="16" x14ac:dyDescent="0.2">
      <c r="A208" s="27">
        <v>462</v>
      </c>
      <c r="B208" s="28" t="str">
        <f t="shared" si="18"/>
        <v>2.3.25b</v>
      </c>
      <c r="C208" s="29">
        <f t="shared" si="19"/>
        <v>6</v>
      </c>
      <c r="D208" s="3"/>
      <c r="E208" s="4"/>
      <c r="F208" s="4"/>
      <c r="G208" s="31"/>
      <c r="H208" s="67" t="str">
        <f>IF(ISERROR(VLOOKUP(#REF!,#REF!,6,FALSE)),"",IF(VLOOKUP(#REF!,#REF!,6,FALSE)=0,"",VLOOKUP(#REF!,#REF!,6,FALSE)))</f>
        <v/>
      </c>
      <c r="I208" s="67" t="str">
        <f t="shared" si="17"/>
        <v/>
      </c>
      <c r="J208" s="133"/>
      <c r="K208" s="133"/>
      <c r="L208" s="29"/>
      <c r="M208" s="29"/>
      <c r="N208" s="29"/>
      <c r="O208" s="29"/>
      <c r="P208" s="29"/>
      <c r="Q208" s="29"/>
      <c r="R208" s="29"/>
      <c r="S208" s="29"/>
      <c r="T208" s="57"/>
      <c r="U208" s="29"/>
      <c r="V208" s="29"/>
      <c r="W208" s="81"/>
      <c r="X208" s="85"/>
      <c r="Y208" s="81"/>
      <c r="AA208" s="59">
        <v>1</v>
      </c>
      <c r="AB208" s="59" t="str">
        <f>VLOOKUP(AA208,detail_maturity_score,3,FALSE)</f>
        <v/>
      </c>
    </row>
    <row r="209" spans="1:28" s="55" customFormat="1" ht="30" customHeight="1" x14ac:dyDescent="0.2">
      <c r="A209" s="27">
        <v>463</v>
      </c>
      <c r="B209" s="28" t="str">
        <f t="shared" si="18"/>
        <v>2.3.26</v>
      </c>
      <c r="C209" s="29">
        <f t="shared" si="19"/>
        <v>4</v>
      </c>
      <c r="D209" s="3"/>
      <c r="E209" s="4"/>
      <c r="F209" s="4"/>
      <c r="G209" s="31"/>
      <c r="H209" s="67" t="str">
        <f>IF(ISERROR(VLOOKUP(#REF!,#REF!,6,FALSE)),"",IF(VLOOKUP(#REF!,#REF!,6,FALSE)=0,"",VLOOKUP(#REF!,#REF!,6,FALSE)))</f>
        <v/>
      </c>
      <c r="I209" s="67" t="str">
        <f t="shared" si="17"/>
        <v/>
      </c>
      <c r="J209" s="133"/>
      <c r="K209" s="133"/>
      <c r="L209" s="29"/>
      <c r="M209" s="29"/>
      <c r="N209" s="29"/>
      <c r="O209" s="29"/>
      <c r="P209" s="29"/>
      <c r="Q209" s="29"/>
      <c r="R209" s="29"/>
      <c r="S209" s="29"/>
      <c r="T209" s="57"/>
      <c r="U209" s="29"/>
      <c r="V209" s="29"/>
      <c r="W209" s="81"/>
      <c r="X209" s="85"/>
      <c r="Y209" s="81"/>
      <c r="AA209" s="59"/>
      <c r="AB209" s="59"/>
    </row>
    <row r="210" spans="1:28" s="55" customFormat="1" ht="16" x14ac:dyDescent="0.2">
      <c r="A210" s="27">
        <v>464</v>
      </c>
      <c r="B210" s="28" t="str">
        <f t="shared" si="18"/>
        <v>2.3.26a</v>
      </c>
      <c r="C210" s="29">
        <f t="shared" si="19"/>
        <v>6</v>
      </c>
      <c r="D210" s="3"/>
      <c r="E210" s="4"/>
      <c r="F210" s="4"/>
      <c r="G210" s="31"/>
      <c r="H210" s="67" t="str">
        <f>IF(ISERROR(VLOOKUP(#REF!,#REF!,6,FALSE)),"",IF(VLOOKUP(#REF!,#REF!,6,FALSE)=0,"",VLOOKUP(#REF!,#REF!,6,FALSE)))</f>
        <v/>
      </c>
      <c r="I210" s="67" t="str">
        <f t="shared" si="17"/>
        <v/>
      </c>
      <c r="J210" s="133"/>
      <c r="K210" s="133"/>
      <c r="L210" s="29"/>
      <c r="M210" s="29"/>
      <c r="N210" s="29"/>
      <c r="O210" s="29"/>
      <c r="P210" s="29"/>
      <c r="Q210" s="29"/>
      <c r="R210" s="29"/>
      <c r="S210" s="29"/>
      <c r="T210" s="57"/>
      <c r="U210" s="29"/>
      <c r="V210" s="29"/>
      <c r="W210" s="81"/>
      <c r="X210" s="85"/>
      <c r="Y210" s="81"/>
      <c r="AA210" s="59">
        <v>1</v>
      </c>
      <c r="AB210" s="59" t="str">
        <f>VLOOKUP(AA210,detail_maturity_score,3,FALSE)</f>
        <v/>
      </c>
    </row>
    <row r="211" spans="1:28" s="55" customFormat="1" ht="16" x14ac:dyDescent="0.2">
      <c r="A211" s="27">
        <v>465</v>
      </c>
      <c r="B211" s="28" t="str">
        <f t="shared" si="18"/>
        <v>2.3.26b</v>
      </c>
      <c r="C211" s="29">
        <f t="shared" si="19"/>
        <v>6</v>
      </c>
      <c r="D211" s="3"/>
      <c r="E211" s="4"/>
      <c r="F211" s="4"/>
      <c r="G211" s="31"/>
      <c r="H211" s="67" t="str">
        <f>IF(ISERROR(VLOOKUP(#REF!,#REF!,6,FALSE)),"",IF(VLOOKUP(#REF!,#REF!,6,FALSE)=0,"",VLOOKUP(#REF!,#REF!,6,FALSE)))</f>
        <v/>
      </c>
      <c r="I211" s="67" t="str">
        <f t="shared" si="17"/>
        <v/>
      </c>
      <c r="J211" s="133"/>
      <c r="K211" s="133"/>
      <c r="L211" s="29"/>
      <c r="M211" s="29"/>
      <c r="N211" s="29"/>
      <c r="O211" s="29"/>
      <c r="P211" s="29"/>
      <c r="Q211" s="29"/>
      <c r="R211" s="29"/>
      <c r="S211" s="29"/>
      <c r="T211" s="57"/>
      <c r="U211" s="29"/>
      <c r="V211" s="29"/>
      <c r="W211" s="81"/>
      <c r="X211" s="85"/>
      <c r="Y211" s="81"/>
      <c r="AA211" s="59">
        <v>1</v>
      </c>
      <c r="AB211" s="59" t="str">
        <f>VLOOKUP(AA211,detail_maturity_score,3,FALSE)</f>
        <v/>
      </c>
    </row>
    <row r="212" spans="1:28" s="55" customFormat="1" ht="30" customHeight="1" x14ac:dyDescent="0.2">
      <c r="A212" s="27">
        <v>466</v>
      </c>
      <c r="B212" s="28" t="str">
        <f t="shared" si="18"/>
        <v>2.3.27</v>
      </c>
      <c r="C212" s="29">
        <f t="shared" si="19"/>
        <v>4</v>
      </c>
      <c r="D212" s="3"/>
      <c r="E212" s="4"/>
      <c r="F212" s="4"/>
      <c r="G212" s="31"/>
      <c r="H212" s="67" t="str">
        <f>IF(ISERROR(VLOOKUP(#REF!,#REF!,6,FALSE)),"",IF(VLOOKUP(#REF!,#REF!,6,FALSE)=0,"",VLOOKUP(#REF!,#REF!,6,FALSE)))</f>
        <v/>
      </c>
      <c r="I212" s="67" t="str">
        <f t="shared" si="17"/>
        <v/>
      </c>
      <c r="J212" s="133"/>
      <c r="K212" s="133"/>
      <c r="L212" s="29"/>
      <c r="M212" s="29"/>
      <c r="N212" s="29"/>
      <c r="O212" s="29"/>
      <c r="P212" s="29"/>
      <c r="Q212" s="29"/>
      <c r="R212" s="29"/>
      <c r="S212" s="29"/>
      <c r="T212" s="57"/>
      <c r="U212" s="29"/>
      <c r="V212" s="29"/>
      <c r="W212" s="81"/>
      <c r="X212" s="85"/>
      <c r="Y212" s="81"/>
      <c r="AA212" s="59"/>
      <c r="AB212" s="59"/>
    </row>
    <row r="213" spans="1:28" s="55" customFormat="1" ht="16" x14ac:dyDescent="0.2">
      <c r="A213" s="27">
        <v>467</v>
      </c>
      <c r="B213" s="28" t="str">
        <f t="shared" si="18"/>
        <v>2.3.27a</v>
      </c>
      <c r="C213" s="29">
        <f t="shared" si="19"/>
        <v>6</v>
      </c>
      <c r="D213" s="3"/>
      <c r="E213" s="4"/>
      <c r="F213" s="4"/>
      <c r="G213" s="40"/>
      <c r="H213" s="68" t="str">
        <f>IF(ISERROR(VLOOKUP(#REF!,#REF!,6,FALSE)),"",IF(VLOOKUP(#REF!,#REF!,6,FALSE)=0,"",VLOOKUP(#REF!,#REF!,6,FALSE)))</f>
        <v/>
      </c>
      <c r="I213" s="68" t="str">
        <f t="shared" si="17"/>
        <v/>
      </c>
      <c r="J213" s="133"/>
      <c r="K213" s="133"/>
      <c r="L213" s="29"/>
      <c r="M213" s="29"/>
      <c r="N213" s="29"/>
      <c r="O213" s="29"/>
      <c r="P213" s="29"/>
      <c r="Q213" s="29"/>
      <c r="R213" s="29"/>
      <c r="S213" s="29"/>
      <c r="T213" s="57"/>
      <c r="U213" s="29"/>
      <c r="V213" s="29"/>
      <c r="W213" s="81"/>
      <c r="X213" s="85"/>
      <c r="Y213" s="81"/>
      <c r="AA213" s="59">
        <v>1</v>
      </c>
      <c r="AB213" s="59" t="str">
        <f>VLOOKUP(AA213,detail_maturity_score,3,FALSE)</f>
        <v/>
      </c>
    </row>
    <row r="214" spans="1:28" s="55" customFormat="1" ht="30" customHeight="1" x14ac:dyDescent="0.2">
      <c r="A214" s="27">
        <v>468</v>
      </c>
      <c r="B214" s="28" t="str">
        <f t="shared" si="18"/>
        <v>2.3.27b</v>
      </c>
      <c r="C214" s="29">
        <f t="shared" si="19"/>
        <v>6</v>
      </c>
      <c r="D214" s="3"/>
      <c r="E214" s="4"/>
      <c r="F214" s="4"/>
      <c r="G214" s="48"/>
      <c r="H214" s="49" t="str">
        <f>IF(ISERROR(VLOOKUP(#REF!,#REF!,6,FALSE)),"",IF(VLOOKUP(#REF!,#REF!,6,FALSE)=0,"",VLOOKUP(#REF!,#REF!,6,FALSE)))</f>
        <v/>
      </c>
      <c r="I214" s="49" t="str">
        <f t="shared" si="17"/>
        <v/>
      </c>
      <c r="J214" s="134"/>
      <c r="K214" s="134"/>
      <c r="L214" s="37"/>
      <c r="M214" s="37"/>
      <c r="N214" s="37"/>
      <c r="O214" s="37"/>
      <c r="P214" s="37"/>
      <c r="Q214" s="37"/>
      <c r="R214" s="37"/>
      <c r="S214" s="37"/>
      <c r="T214" s="77"/>
      <c r="U214" s="37"/>
      <c r="V214" s="37"/>
      <c r="W214" s="82"/>
      <c r="X214" s="86"/>
      <c r="Y214" s="82"/>
      <c r="Z214" s="56"/>
      <c r="AA214" s="58">
        <v>1</v>
      </c>
      <c r="AB214" s="58" t="str">
        <f>VLOOKUP(AA214,detail_maturity_score,3,FALSE)</f>
        <v/>
      </c>
    </row>
    <row r="215" spans="1:28" s="54" customFormat="1" ht="30" customHeight="1" x14ac:dyDescent="0.2">
      <c r="A215" s="27">
        <v>469</v>
      </c>
      <c r="B215" s="28" t="str">
        <f t="shared" si="18"/>
        <v>2.4</v>
      </c>
      <c r="C215" s="29">
        <f t="shared" si="19"/>
        <v>2</v>
      </c>
      <c r="D215" s="3"/>
      <c r="E215" s="4"/>
      <c r="F215" s="4"/>
      <c r="G215" s="43"/>
      <c r="H215" s="69" t="str">
        <f>IF(ISERROR(VLOOKUP(#REF!,#REF!,6,FALSE)),"",IF(VLOOKUP(#REF!,#REF!,6,FALSE)=0,"",VLOOKUP(#REF!,#REF!,6,FALSE)))</f>
        <v/>
      </c>
      <c r="I215" s="69" t="str">
        <f t="shared" si="17"/>
        <v/>
      </c>
      <c r="J215" s="49"/>
      <c r="K215" s="49"/>
      <c r="L215" s="49"/>
      <c r="M215" s="48"/>
      <c r="N215" s="48"/>
      <c r="O215" s="48"/>
      <c r="P215" s="48"/>
      <c r="Q215" s="48"/>
      <c r="R215" s="48"/>
      <c r="S215" s="48"/>
      <c r="T215" s="48"/>
      <c r="U215" s="48"/>
      <c r="V215" s="48"/>
      <c r="W215" s="79"/>
      <c r="X215" s="79"/>
      <c r="Y215" s="83"/>
    </row>
    <row r="216" spans="1:28" s="53" customFormat="1" ht="18.75" customHeight="1" x14ac:dyDescent="0.2">
      <c r="A216" s="27">
        <v>470</v>
      </c>
      <c r="B216" s="29" t="str">
        <f t="shared" si="18"/>
        <v/>
      </c>
      <c r="C216" s="29">
        <f t="shared" si="19"/>
        <v>3</v>
      </c>
      <c r="D216" s="3"/>
      <c r="E216" s="4"/>
      <c r="F216" s="4"/>
      <c r="G216" s="31"/>
      <c r="H216" s="67" t="str">
        <f>IF(ISERROR(VLOOKUP(#REF!,#REF!,6,FALSE)),"",IF(VLOOKUP(#REF!,#REF!,6,FALSE)=0,"",VLOOKUP(#REF!,#REF!,6,FALSE)))</f>
        <v/>
      </c>
      <c r="I216" s="67" t="str">
        <f t="shared" si="17"/>
        <v/>
      </c>
      <c r="J216" s="132"/>
      <c r="K216" s="132"/>
      <c r="L216" s="43"/>
      <c r="M216" s="43"/>
      <c r="N216" s="43"/>
      <c r="O216" s="43"/>
      <c r="P216" s="43"/>
      <c r="Q216" s="43"/>
      <c r="R216" s="43"/>
      <c r="S216" s="43"/>
      <c r="T216" s="78"/>
      <c r="U216" s="43"/>
      <c r="V216" s="43"/>
      <c r="W216" s="80"/>
      <c r="X216" s="80"/>
      <c r="Y216" s="80"/>
      <c r="AA216" s="59"/>
      <c r="AB216" s="59"/>
    </row>
    <row r="217" spans="1:28" s="55" customFormat="1" ht="16" x14ac:dyDescent="0.2">
      <c r="A217" s="27">
        <v>471</v>
      </c>
      <c r="B217" s="28" t="str">
        <f t="shared" si="18"/>
        <v>2.4.01</v>
      </c>
      <c r="C217" s="29">
        <f t="shared" si="19"/>
        <v>5</v>
      </c>
      <c r="D217" s="3"/>
      <c r="E217" s="4"/>
      <c r="F217" s="4"/>
      <c r="G217" s="31"/>
      <c r="H217" s="67" t="str">
        <f>IF(ISERROR(VLOOKUP(#REF!,#REF!,6,FALSE)),"",IF(VLOOKUP(#REF!,#REF!,6,FALSE)=0,"",VLOOKUP(#REF!,#REF!,6,FALSE)))</f>
        <v/>
      </c>
      <c r="I217" s="67" t="str">
        <f t="shared" si="17"/>
        <v/>
      </c>
      <c r="J217" s="133"/>
      <c r="K217" s="133"/>
      <c r="L217" s="29"/>
      <c r="M217" s="29"/>
      <c r="N217" s="29"/>
      <c r="O217" s="29"/>
      <c r="P217" s="29"/>
      <c r="Q217" s="29"/>
      <c r="R217" s="29"/>
      <c r="S217" s="29"/>
      <c r="T217" s="57"/>
      <c r="U217" s="29"/>
      <c r="V217" s="29"/>
      <c r="W217" s="81"/>
      <c r="X217" s="85"/>
      <c r="Y217" s="81"/>
      <c r="AA217" s="59">
        <v>1</v>
      </c>
      <c r="AB217" s="59" t="str">
        <f>VLOOKUP(AA217,detail_maturity_score,3,FALSE)</f>
        <v/>
      </c>
    </row>
    <row r="218" spans="1:28" s="55" customFormat="1" x14ac:dyDescent="0.2">
      <c r="A218" s="27">
        <v>472</v>
      </c>
      <c r="B218" s="28" t="str">
        <f t="shared" si="18"/>
        <v>2.4.02</v>
      </c>
      <c r="C218" s="29">
        <f t="shared" si="19"/>
        <v>4</v>
      </c>
      <c r="D218" s="3"/>
      <c r="E218" s="4"/>
      <c r="F218" s="4"/>
      <c r="G218" s="31"/>
      <c r="H218" s="67" t="str">
        <f>IF(ISERROR(VLOOKUP(#REF!,#REF!,6,FALSE)),"",IF(VLOOKUP(#REF!,#REF!,6,FALSE)=0,"",VLOOKUP(#REF!,#REF!,6,FALSE)))</f>
        <v/>
      </c>
      <c r="I218" s="67" t="str">
        <f t="shared" si="17"/>
        <v/>
      </c>
      <c r="J218" s="133"/>
      <c r="K218" s="133"/>
      <c r="L218" s="29"/>
      <c r="M218" s="29"/>
      <c r="N218" s="29"/>
      <c r="O218" s="29"/>
      <c r="P218" s="29"/>
      <c r="Q218" s="29"/>
      <c r="R218" s="29"/>
      <c r="S218" s="29"/>
      <c r="T218" s="57"/>
      <c r="U218" s="29"/>
      <c r="V218" s="29"/>
      <c r="W218" s="81"/>
      <c r="X218" s="85"/>
      <c r="Y218" s="81"/>
      <c r="AA218" s="59"/>
      <c r="AB218" s="59"/>
    </row>
    <row r="219" spans="1:28" s="55" customFormat="1" ht="30" customHeight="1" x14ac:dyDescent="0.2">
      <c r="A219" s="27">
        <v>473</v>
      </c>
      <c r="B219" s="28" t="str">
        <f t="shared" si="18"/>
        <v>2.4.02a</v>
      </c>
      <c r="C219" s="29">
        <f t="shared" si="19"/>
        <v>6</v>
      </c>
      <c r="D219" s="3"/>
      <c r="E219" s="4"/>
      <c r="F219" s="4"/>
      <c r="G219" s="31"/>
      <c r="H219" s="67" t="str">
        <f>IF(ISERROR(VLOOKUP(#REF!,#REF!,6,FALSE)),"",IF(VLOOKUP(#REF!,#REF!,6,FALSE)=0,"",VLOOKUP(#REF!,#REF!,6,FALSE)))</f>
        <v/>
      </c>
      <c r="I219" s="67" t="str">
        <f t="shared" si="17"/>
        <v/>
      </c>
      <c r="J219" s="133"/>
      <c r="K219" s="133"/>
      <c r="L219" s="29"/>
      <c r="M219" s="29"/>
      <c r="N219" s="29"/>
      <c r="O219" s="29"/>
      <c r="P219" s="29"/>
      <c r="Q219" s="29"/>
      <c r="R219" s="29"/>
      <c r="S219" s="29"/>
      <c r="T219" s="57"/>
      <c r="U219" s="29"/>
      <c r="V219" s="29"/>
      <c r="W219" s="81"/>
      <c r="X219" s="85"/>
      <c r="Y219" s="81"/>
      <c r="AA219" s="59">
        <v>1</v>
      </c>
      <c r="AB219" s="59" t="str">
        <f t="shared" ref="AB219:AB226" si="21">VLOOKUP(AA219,detail_maturity_score,3,FALSE)</f>
        <v/>
      </c>
    </row>
    <row r="220" spans="1:28" s="55" customFormat="1" ht="30" customHeight="1" x14ac:dyDescent="0.2">
      <c r="A220" s="27">
        <v>474</v>
      </c>
      <c r="B220" s="28" t="str">
        <f t="shared" si="18"/>
        <v>2.4.02b</v>
      </c>
      <c r="C220" s="29">
        <f t="shared" si="19"/>
        <v>6</v>
      </c>
      <c r="D220" s="3"/>
      <c r="E220" s="4"/>
      <c r="F220" s="4"/>
      <c r="G220" s="31"/>
      <c r="H220" s="67" t="str">
        <f>IF(ISERROR(VLOOKUP(#REF!,#REF!,6,FALSE)),"",IF(VLOOKUP(#REF!,#REF!,6,FALSE)=0,"",VLOOKUP(#REF!,#REF!,6,FALSE)))</f>
        <v/>
      </c>
      <c r="I220" s="67" t="str">
        <f t="shared" si="17"/>
        <v/>
      </c>
      <c r="J220" s="133"/>
      <c r="K220" s="133"/>
      <c r="L220" s="29"/>
      <c r="M220" s="29"/>
      <c r="N220" s="29"/>
      <c r="O220" s="29"/>
      <c r="P220" s="29"/>
      <c r="Q220" s="29"/>
      <c r="R220" s="29"/>
      <c r="S220" s="29"/>
      <c r="T220" s="57"/>
      <c r="U220" s="29"/>
      <c r="V220" s="29"/>
      <c r="W220" s="81"/>
      <c r="X220" s="85"/>
      <c r="Y220" s="81"/>
      <c r="AA220" s="59">
        <v>1</v>
      </c>
      <c r="AB220" s="59" t="str">
        <f t="shared" si="21"/>
        <v/>
      </c>
    </row>
    <row r="221" spans="1:28" s="55" customFormat="1" ht="30" customHeight="1" x14ac:dyDescent="0.2">
      <c r="A221" s="27">
        <v>475</v>
      </c>
      <c r="B221" s="28" t="str">
        <f t="shared" si="18"/>
        <v>2.4.02c</v>
      </c>
      <c r="C221" s="29">
        <f t="shared" si="19"/>
        <v>6</v>
      </c>
      <c r="D221" s="3"/>
      <c r="E221" s="4"/>
      <c r="F221" s="4"/>
      <c r="G221" s="31"/>
      <c r="H221" s="67" t="str">
        <f>IF(ISERROR(VLOOKUP(#REF!,#REF!,6,FALSE)),"",IF(VLOOKUP(#REF!,#REF!,6,FALSE)=0,"",VLOOKUP(#REF!,#REF!,6,FALSE)))</f>
        <v/>
      </c>
      <c r="I221" s="67" t="str">
        <f t="shared" si="17"/>
        <v/>
      </c>
      <c r="J221" s="133"/>
      <c r="K221" s="133"/>
      <c r="L221" s="29"/>
      <c r="M221" s="29"/>
      <c r="N221" s="29"/>
      <c r="O221" s="29"/>
      <c r="P221" s="29"/>
      <c r="Q221" s="29"/>
      <c r="R221" s="29"/>
      <c r="S221" s="29"/>
      <c r="T221" s="57"/>
      <c r="U221" s="29"/>
      <c r="V221" s="29"/>
      <c r="W221" s="81"/>
      <c r="X221" s="85"/>
      <c r="Y221" s="81"/>
      <c r="AA221" s="59">
        <v>1</v>
      </c>
      <c r="AB221" s="59" t="str">
        <f t="shared" si="21"/>
        <v/>
      </c>
    </row>
    <row r="222" spans="1:28" s="55" customFormat="1" ht="30" customHeight="1" x14ac:dyDescent="0.2">
      <c r="A222" s="27">
        <v>476</v>
      </c>
      <c r="B222" s="28" t="str">
        <f t="shared" si="18"/>
        <v>2.4.02d</v>
      </c>
      <c r="C222" s="29">
        <f t="shared" si="19"/>
        <v>6</v>
      </c>
      <c r="D222" s="3"/>
      <c r="E222" s="4"/>
      <c r="F222" s="4"/>
      <c r="G222" s="31"/>
      <c r="H222" s="67" t="str">
        <f>IF(ISERROR(VLOOKUP(#REF!,#REF!,6,FALSE)),"",IF(VLOOKUP(#REF!,#REF!,6,FALSE)=0,"",VLOOKUP(#REF!,#REF!,6,FALSE)))</f>
        <v/>
      </c>
      <c r="I222" s="67" t="str">
        <f t="shared" si="17"/>
        <v/>
      </c>
      <c r="J222" s="133"/>
      <c r="K222" s="133"/>
      <c r="L222" s="29"/>
      <c r="M222" s="29"/>
      <c r="N222" s="29"/>
      <c r="O222" s="29"/>
      <c r="P222" s="29"/>
      <c r="Q222" s="29"/>
      <c r="R222" s="29"/>
      <c r="S222" s="29"/>
      <c r="T222" s="57"/>
      <c r="U222" s="29"/>
      <c r="V222" s="29"/>
      <c r="W222" s="81"/>
      <c r="X222" s="85"/>
      <c r="Y222" s="81"/>
      <c r="AA222" s="59">
        <v>1</v>
      </c>
      <c r="AB222" s="59" t="str">
        <f t="shared" si="21"/>
        <v/>
      </c>
    </row>
    <row r="223" spans="1:28" s="55" customFormat="1" ht="30" customHeight="1" x14ac:dyDescent="0.2">
      <c r="A223" s="27">
        <v>477</v>
      </c>
      <c r="B223" s="28" t="str">
        <f t="shared" si="18"/>
        <v>2.4.02e</v>
      </c>
      <c r="C223" s="29">
        <f t="shared" si="19"/>
        <v>6</v>
      </c>
      <c r="D223" s="3"/>
      <c r="E223" s="4"/>
      <c r="F223" s="4"/>
      <c r="G223" s="31"/>
      <c r="H223" s="67" t="str">
        <f>IF(ISERROR(VLOOKUP(#REF!,#REF!,6,FALSE)),"",IF(VLOOKUP(#REF!,#REF!,6,FALSE)=0,"",VLOOKUP(#REF!,#REF!,6,FALSE)))</f>
        <v/>
      </c>
      <c r="I223" s="67" t="str">
        <f t="shared" si="17"/>
        <v/>
      </c>
      <c r="J223" s="133"/>
      <c r="K223" s="133"/>
      <c r="L223" s="29"/>
      <c r="M223" s="29"/>
      <c r="N223" s="29"/>
      <c r="O223" s="29"/>
      <c r="P223" s="29"/>
      <c r="Q223" s="29"/>
      <c r="R223" s="29"/>
      <c r="S223" s="29"/>
      <c r="T223" s="57"/>
      <c r="U223" s="29"/>
      <c r="V223" s="29"/>
      <c r="W223" s="81"/>
      <c r="X223" s="85"/>
      <c r="Y223" s="81"/>
      <c r="AA223" s="59">
        <v>1</v>
      </c>
      <c r="AB223" s="59" t="str">
        <f t="shared" si="21"/>
        <v/>
      </c>
    </row>
    <row r="224" spans="1:28" s="55" customFormat="1" ht="16" x14ac:dyDescent="0.2">
      <c r="A224" s="27">
        <v>478</v>
      </c>
      <c r="B224" s="28" t="str">
        <f t="shared" si="18"/>
        <v>2.4.02f</v>
      </c>
      <c r="C224" s="29">
        <f t="shared" si="19"/>
        <v>6</v>
      </c>
      <c r="D224" s="3"/>
      <c r="E224" s="4"/>
      <c r="F224" s="4"/>
      <c r="G224" s="31"/>
      <c r="H224" s="67" t="str">
        <f>IF(ISERROR(VLOOKUP(#REF!,#REF!,6,FALSE)),"",IF(VLOOKUP(#REF!,#REF!,6,FALSE)=0,"",VLOOKUP(#REF!,#REF!,6,FALSE)))</f>
        <v/>
      </c>
      <c r="I224" s="67" t="str">
        <f t="shared" si="17"/>
        <v/>
      </c>
      <c r="J224" s="133"/>
      <c r="K224" s="133"/>
      <c r="L224" s="29"/>
      <c r="M224" s="29"/>
      <c r="N224" s="29"/>
      <c r="O224" s="29"/>
      <c r="P224" s="29"/>
      <c r="Q224" s="29"/>
      <c r="R224" s="29"/>
      <c r="S224" s="29"/>
      <c r="T224" s="57"/>
      <c r="U224" s="29"/>
      <c r="V224" s="29"/>
      <c r="W224" s="81"/>
      <c r="X224" s="85"/>
      <c r="Y224" s="81"/>
      <c r="AA224" s="59">
        <v>1</v>
      </c>
      <c r="AB224" s="59" t="str">
        <f t="shared" si="21"/>
        <v/>
      </c>
    </row>
    <row r="225" spans="1:28" s="55" customFormat="1" ht="16" x14ac:dyDescent="0.2">
      <c r="A225" s="27">
        <v>479</v>
      </c>
      <c r="B225" s="28" t="str">
        <f t="shared" si="18"/>
        <v>2.4.02g</v>
      </c>
      <c r="C225" s="29">
        <f t="shared" si="19"/>
        <v>6</v>
      </c>
      <c r="D225" s="3"/>
      <c r="E225" s="4"/>
      <c r="F225" s="4"/>
      <c r="G225" s="31"/>
      <c r="H225" s="67" t="str">
        <f>IF(ISERROR(VLOOKUP(#REF!,#REF!,6,FALSE)),"",IF(VLOOKUP(#REF!,#REF!,6,FALSE)=0,"",VLOOKUP(#REF!,#REF!,6,FALSE)))</f>
        <v/>
      </c>
      <c r="I225" s="67" t="str">
        <f t="shared" si="17"/>
        <v/>
      </c>
      <c r="J225" s="133"/>
      <c r="K225" s="133"/>
      <c r="L225" s="29"/>
      <c r="M225" s="29"/>
      <c r="N225" s="29"/>
      <c r="O225" s="29"/>
      <c r="P225" s="29"/>
      <c r="Q225" s="29"/>
      <c r="R225" s="29"/>
      <c r="S225" s="29"/>
      <c r="T225" s="57"/>
      <c r="U225" s="29"/>
      <c r="V225" s="29"/>
      <c r="W225" s="81"/>
      <c r="X225" s="85"/>
      <c r="Y225" s="81"/>
      <c r="AA225" s="59">
        <v>1</v>
      </c>
      <c r="AB225" s="59" t="str">
        <f t="shared" si="21"/>
        <v/>
      </c>
    </row>
    <row r="226" spans="1:28" s="55" customFormat="1" ht="30" customHeight="1" x14ac:dyDescent="0.2">
      <c r="A226" s="27">
        <v>480</v>
      </c>
      <c r="B226" s="28" t="str">
        <f t="shared" si="18"/>
        <v>2.4.02h</v>
      </c>
      <c r="C226" s="29">
        <f t="shared" si="19"/>
        <v>6</v>
      </c>
      <c r="D226" s="3"/>
      <c r="E226" s="4"/>
      <c r="F226" s="4"/>
      <c r="G226" s="31"/>
      <c r="H226" s="67" t="str">
        <f>IF(ISERROR(VLOOKUP(#REF!,#REF!,6,FALSE)),"",IF(VLOOKUP(#REF!,#REF!,6,FALSE)=0,"",VLOOKUP(#REF!,#REF!,6,FALSE)))</f>
        <v/>
      </c>
      <c r="I226" s="67" t="str">
        <f t="shared" si="17"/>
        <v/>
      </c>
      <c r="J226" s="133"/>
      <c r="K226" s="133"/>
      <c r="L226" s="29"/>
      <c r="M226" s="29"/>
      <c r="N226" s="29"/>
      <c r="O226" s="29"/>
      <c r="P226" s="29"/>
      <c r="Q226" s="29"/>
      <c r="R226" s="29"/>
      <c r="S226" s="29"/>
      <c r="T226" s="57"/>
      <c r="U226" s="29"/>
      <c r="V226" s="29"/>
      <c r="W226" s="81"/>
      <c r="X226" s="85"/>
      <c r="Y226" s="81"/>
      <c r="AA226" s="59">
        <v>1</v>
      </c>
      <c r="AB226" s="59" t="str">
        <f t="shared" si="21"/>
        <v/>
      </c>
    </row>
    <row r="227" spans="1:28" s="55" customFormat="1" x14ac:dyDescent="0.2">
      <c r="A227" s="27">
        <v>481</v>
      </c>
      <c r="B227" s="28" t="str">
        <f t="shared" si="18"/>
        <v>2.4.03</v>
      </c>
      <c r="C227" s="29">
        <f t="shared" si="19"/>
        <v>4</v>
      </c>
      <c r="D227" s="3"/>
      <c r="E227" s="4"/>
      <c r="F227" s="4"/>
      <c r="G227" s="31"/>
      <c r="H227" s="67" t="str">
        <f>IF(ISERROR(VLOOKUP(#REF!,#REF!,6,FALSE)),"",IF(VLOOKUP(#REF!,#REF!,6,FALSE)=0,"",VLOOKUP(#REF!,#REF!,6,FALSE)))</f>
        <v/>
      </c>
      <c r="I227" s="67" t="str">
        <f t="shared" si="17"/>
        <v/>
      </c>
      <c r="J227" s="133"/>
      <c r="K227" s="133"/>
      <c r="L227" s="29"/>
      <c r="M227" s="29"/>
      <c r="N227" s="29"/>
      <c r="O227" s="29"/>
      <c r="P227" s="29"/>
      <c r="Q227" s="29"/>
      <c r="R227" s="29"/>
      <c r="S227" s="29"/>
      <c r="T227" s="57"/>
      <c r="U227" s="29"/>
      <c r="V227" s="29"/>
      <c r="W227" s="81"/>
      <c r="X227" s="85"/>
      <c r="Y227" s="81"/>
      <c r="AA227" s="59"/>
      <c r="AB227" s="59"/>
    </row>
    <row r="228" spans="1:28" s="55" customFormat="1" ht="30" customHeight="1" x14ac:dyDescent="0.2">
      <c r="A228" s="27">
        <v>482</v>
      </c>
      <c r="B228" s="28" t="str">
        <f t="shared" si="18"/>
        <v>2.4.03a</v>
      </c>
      <c r="C228" s="29">
        <f t="shared" si="19"/>
        <v>6</v>
      </c>
      <c r="D228" s="3"/>
      <c r="E228" s="4"/>
      <c r="F228" s="4"/>
      <c r="G228" s="31"/>
      <c r="H228" s="67" t="str">
        <f>IF(ISERROR(VLOOKUP(#REF!,#REF!,6,FALSE)),"",IF(VLOOKUP(#REF!,#REF!,6,FALSE)=0,"",VLOOKUP(#REF!,#REF!,6,FALSE)))</f>
        <v/>
      </c>
      <c r="I228" s="67" t="str">
        <f t="shared" si="17"/>
        <v/>
      </c>
      <c r="J228" s="133"/>
      <c r="K228" s="133"/>
      <c r="L228" s="29"/>
      <c r="M228" s="29"/>
      <c r="N228" s="29"/>
      <c r="O228" s="29"/>
      <c r="P228" s="29"/>
      <c r="Q228" s="29"/>
      <c r="R228" s="29"/>
      <c r="S228" s="29"/>
      <c r="T228" s="57"/>
      <c r="U228" s="29"/>
      <c r="V228" s="29"/>
      <c r="W228" s="81"/>
      <c r="X228" s="85"/>
      <c r="Y228" s="81"/>
      <c r="AA228" s="59">
        <v>1</v>
      </c>
      <c r="AB228" s="59" t="str">
        <f t="shared" ref="AB228:AB233" si="22">VLOOKUP(AA228,detail_maturity_score,3,FALSE)</f>
        <v/>
      </c>
    </row>
    <row r="229" spans="1:28" s="55" customFormat="1" ht="16" x14ac:dyDescent="0.2">
      <c r="A229" s="27">
        <v>483</v>
      </c>
      <c r="B229" s="28" t="str">
        <f t="shared" si="18"/>
        <v>2.4.03b</v>
      </c>
      <c r="C229" s="29">
        <f t="shared" si="19"/>
        <v>6</v>
      </c>
      <c r="D229" s="3"/>
      <c r="E229" s="4"/>
      <c r="F229" s="4"/>
      <c r="G229" s="31"/>
      <c r="H229" s="67" t="str">
        <f>IF(ISERROR(VLOOKUP(#REF!,#REF!,6,FALSE)),"",IF(VLOOKUP(#REF!,#REF!,6,FALSE)=0,"",VLOOKUP(#REF!,#REF!,6,FALSE)))</f>
        <v/>
      </c>
      <c r="I229" s="67" t="str">
        <f t="shared" si="17"/>
        <v/>
      </c>
      <c r="J229" s="133"/>
      <c r="K229" s="133"/>
      <c r="L229" s="29"/>
      <c r="M229" s="29"/>
      <c r="N229" s="29"/>
      <c r="O229" s="29"/>
      <c r="P229" s="29"/>
      <c r="Q229" s="29"/>
      <c r="R229" s="29"/>
      <c r="S229" s="29"/>
      <c r="T229" s="57"/>
      <c r="U229" s="29"/>
      <c r="V229" s="29"/>
      <c r="W229" s="81"/>
      <c r="X229" s="85"/>
      <c r="Y229" s="81"/>
      <c r="AA229" s="59">
        <v>1</v>
      </c>
      <c r="AB229" s="59" t="str">
        <f t="shared" si="22"/>
        <v/>
      </c>
    </row>
    <row r="230" spans="1:28" s="55" customFormat="1" ht="30" customHeight="1" x14ac:dyDescent="0.2">
      <c r="A230" s="27">
        <v>484</v>
      </c>
      <c r="B230" s="28" t="str">
        <f t="shared" si="18"/>
        <v>2.4.03c</v>
      </c>
      <c r="C230" s="29">
        <f t="shared" si="19"/>
        <v>6</v>
      </c>
      <c r="D230" s="3"/>
      <c r="E230" s="4"/>
      <c r="F230" s="4"/>
      <c r="G230" s="31"/>
      <c r="H230" s="67" t="str">
        <f>IF(ISERROR(VLOOKUP(#REF!,#REF!,6,FALSE)),"",IF(VLOOKUP(#REF!,#REF!,6,FALSE)=0,"",VLOOKUP(#REF!,#REF!,6,FALSE)))</f>
        <v/>
      </c>
      <c r="I230" s="67" t="str">
        <f t="shared" si="17"/>
        <v/>
      </c>
      <c r="J230" s="133"/>
      <c r="K230" s="133"/>
      <c r="L230" s="29"/>
      <c r="M230" s="29"/>
      <c r="N230" s="29"/>
      <c r="O230" s="29"/>
      <c r="P230" s="29"/>
      <c r="Q230" s="29"/>
      <c r="R230" s="29"/>
      <c r="S230" s="29"/>
      <c r="T230" s="57"/>
      <c r="U230" s="29"/>
      <c r="V230" s="29"/>
      <c r="W230" s="81"/>
      <c r="X230" s="85"/>
      <c r="Y230" s="81"/>
      <c r="AA230" s="59">
        <v>1</v>
      </c>
      <c r="AB230" s="59" t="str">
        <f t="shared" si="22"/>
        <v/>
      </c>
    </row>
    <row r="231" spans="1:28" s="55" customFormat="1" ht="16" x14ac:dyDescent="0.2">
      <c r="A231" s="27">
        <v>485</v>
      </c>
      <c r="B231" s="28" t="str">
        <f t="shared" si="18"/>
        <v>2.4.03d</v>
      </c>
      <c r="C231" s="29">
        <f t="shared" si="19"/>
        <v>6</v>
      </c>
      <c r="D231" s="3"/>
      <c r="E231" s="4"/>
      <c r="F231" s="4"/>
      <c r="G231" s="31"/>
      <c r="H231" s="67" t="str">
        <f>IF(ISERROR(VLOOKUP(#REF!,#REF!,6,FALSE)),"",IF(VLOOKUP(#REF!,#REF!,6,FALSE)=0,"",VLOOKUP(#REF!,#REF!,6,FALSE)))</f>
        <v/>
      </c>
      <c r="I231" s="67" t="str">
        <f t="shared" si="17"/>
        <v/>
      </c>
      <c r="J231" s="133"/>
      <c r="K231" s="133"/>
      <c r="L231" s="29"/>
      <c r="M231" s="29"/>
      <c r="N231" s="29"/>
      <c r="O231" s="29"/>
      <c r="P231" s="29"/>
      <c r="Q231" s="29"/>
      <c r="R231" s="29"/>
      <c r="S231" s="29"/>
      <c r="T231" s="57"/>
      <c r="U231" s="29"/>
      <c r="V231" s="29"/>
      <c r="W231" s="81"/>
      <c r="X231" s="85"/>
      <c r="Y231" s="81"/>
      <c r="AA231" s="59">
        <v>1</v>
      </c>
      <c r="AB231" s="59" t="str">
        <f t="shared" si="22"/>
        <v/>
      </c>
    </row>
    <row r="232" spans="1:28" s="55" customFormat="1" ht="30" customHeight="1" x14ac:dyDescent="0.2">
      <c r="A232" s="27">
        <v>486</v>
      </c>
      <c r="B232" s="28" t="str">
        <f t="shared" si="18"/>
        <v>2.4.03e</v>
      </c>
      <c r="C232" s="29">
        <f t="shared" si="19"/>
        <v>6</v>
      </c>
      <c r="D232" s="3"/>
      <c r="E232" s="4"/>
      <c r="F232" s="4"/>
      <c r="G232" s="31"/>
      <c r="H232" s="67" t="str">
        <f>IF(ISERROR(VLOOKUP(#REF!,#REF!,6,FALSE)),"",IF(VLOOKUP(#REF!,#REF!,6,FALSE)=0,"",VLOOKUP(#REF!,#REF!,6,FALSE)))</f>
        <v/>
      </c>
      <c r="I232" s="67" t="str">
        <f t="shared" si="17"/>
        <v/>
      </c>
      <c r="J232" s="133"/>
      <c r="K232" s="133"/>
      <c r="L232" s="29"/>
      <c r="M232" s="29"/>
      <c r="N232" s="29"/>
      <c r="O232" s="29"/>
      <c r="P232" s="29"/>
      <c r="Q232" s="29"/>
      <c r="R232" s="29"/>
      <c r="S232" s="29"/>
      <c r="T232" s="57"/>
      <c r="U232" s="29"/>
      <c r="V232" s="29"/>
      <c r="W232" s="81"/>
      <c r="X232" s="85"/>
      <c r="Y232" s="81"/>
      <c r="AA232" s="59">
        <v>1</v>
      </c>
      <c r="AB232" s="59" t="str">
        <f t="shared" si="22"/>
        <v/>
      </c>
    </row>
    <row r="233" spans="1:28" s="55" customFormat="1" ht="16" x14ac:dyDescent="0.2">
      <c r="A233" s="27">
        <v>487</v>
      </c>
      <c r="B233" s="28" t="str">
        <f t="shared" si="18"/>
        <v>2.4.03f</v>
      </c>
      <c r="C233" s="29">
        <f t="shared" si="19"/>
        <v>6</v>
      </c>
      <c r="D233" s="3"/>
      <c r="E233" s="4"/>
      <c r="F233" s="4"/>
      <c r="G233" s="29"/>
      <c r="H233" s="67" t="str">
        <f>IF(ISERROR(VLOOKUP(#REF!,#REF!,6,FALSE)),"",IF(VLOOKUP(#REF!,#REF!,6,FALSE)=0,"",VLOOKUP(#REF!,#REF!,6,FALSE)))</f>
        <v/>
      </c>
      <c r="I233" s="67" t="str">
        <f t="shared" si="17"/>
        <v/>
      </c>
      <c r="J233" s="133"/>
      <c r="K233" s="133"/>
      <c r="L233" s="29"/>
      <c r="M233" s="29"/>
      <c r="N233" s="29"/>
      <c r="O233" s="29"/>
      <c r="P233" s="29"/>
      <c r="Q233" s="29"/>
      <c r="R233" s="29"/>
      <c r="S233" s="29"/>
      <c r="T233" s="57"/>
      <c r="U233" s="29"/>
      <c r="V233" s="29"/>
      <c r="W233" s="81"/>
      <c r="X233" s="85"/>
      <c r="Y233" s="81"/>
      <c r="AA233" s="59">
        <v>1</v>
      </c>
      <c r="AB233" s="59" t="str">
        <f t="shared" si="22"/>
        <v/>
      </c>
    </row>
    <row r="234" spans="1:28" s="55" customFormat="1" ht="18.75" customHeight="1" x14ac:dyDescent="0.2">
      <c r="A234" s="27">
        <v>488</v>
      </c>
      <c r="B234" s="29" t="str">
        <f t="shared" si="18"/>
        <v/>
      </c>
      <c r="C234" s="29">
        <f t="shared" si="19"/>
        <v>3</v>
      </c>
      <c r="D234" s="3"/>
      <c r="E234" s="4"/>
      <c r="F234" s="4"/>
      <c r="G234" s="31"/>
      <c r="H234" s="67" t="str">
        <f>IF(ISERROR(VLOOKUP(#REF!,#REF!,6,FALSE)),"",IF(VLOOKUP(#REF!,#REF!,6,FALSE)=0,"",VLOOKUP(#REF!,#REF!,6,FALSE)))</f>
        <v/>
      </c>
      <c r="I234" s="67" t="str">
        <f t="shared" ref="I234:I266" si="23">IF(ISERROR(VLOOKUP(AA235,detail_maturity_score,3,FALSE)*VLOOKUP(H234,weighting_scores,2,FALSE)),"",VLOOKUP(AA235,detail_maturity_score,3,FALSE)*VLOOKUP(H234,weighting_scores,2,FALSE))</f>
        <v/>
      </c>
      <c r="J234" s="133"/>
      <c r="K234" s="133"/>
      <c r="L234" s="29"/>
      <c r="M234" s="29"/>
      <c r="N234" s="29"/>
      <c r="O234" s="29"/>
      <c r="P234" s="29"/>
      <c r="Q234" s="29"/>
      <c r="R234" s="29"/>
      <c r="S234" s="29"/>
      <c r="T234" s="57"/>
      <c r="U234" s="29"/>
      <c r="V234" s="29"/>
      <c r="W234" s="81"/>
      <c r="X234" s="81"/>
      <c r="Y234" s="81"/>
      <c r="AA234" s="59"/>
      <c r="AB234" s="59"/>
    </row>
    <row r="235" spans="1:28" s="55" customFormat="1" ht="16" x14ac:dyDescent="0.2">
      <c r="A235" s="27">
        <v>489</v>
      </c>
      <c r="B235" s="28" t="str">
        <f t="shared" si="18"/>
        <v>2.4.04</v>
      </c>
      <c r="C235" s="29">
        <f t="shared" si="19"/>
        <v>5</v>
      </c>
      <c r="D235" s="3"/>
      <c r="E235" s="4"/>
      <c r="F235" s="4"/>
      <c r="G235" s="31"/>
      <c r="H235" s="67" t="str">
        <f>IF(ISERROR(VLOOKUP(#REF!,#REF!,6,FALSE)),"",IF(VLOOKUP(#REF!,#REF!,6,FALSE)=0,"",VLOOKUP(#REF!,#REF!,6,FALSE)))</f>
        <v/>
      </c>
      <c r="I235" s="67" t="str">
        <f t="shared" si="23"/>
        <v/>
      </c>
      <c r="J235" s="133"/>
      <c r="K235" s="133"/>
      <c r="L235" s="29"/>
      <c r="M235" s="29"/>
      <c r="N235" s="29"/>
      <c r="O235" s="29"/>
      <c r="P235" s="29"/>
      <c r="Q235" s="29"/>
      <c r="R235" s="29"/>
      <c r="S235" s="29"/>
      <c r="T235" s="57"/>
      <c r="U235" s="29"/>
      <c r="V235" s="29"/>
      <c r="W235" s="81"/>
      <c r="X235" s="85"/>
      <c r="Y235" s="81"/>
      <c r="AA235" s="59">
        <v>1</v>
      </c>
      <c r="AB235" s="59" t="str">
        <f>VLOOKUP(AA235,detail_maturity_score,3,FALSE)</f>
        <v/>
      </c>
    </row>
    <row r="236" spans="1:28" s="55" customFormat="1" x14ac:dyDescent="0.2">
      <c r="A236" s="27">
        <v>490</v>
      </c>
      <c r="B236" s="28" t="str">
        <f t="shared" si="18"/>
        <v>2.4.05</v>
      </c>
      <c r="C236" s="29">
        <f t="shared" si="19"/>
        <v>4</v>
      </c>
      <c r="D236" s="3"/>
      <c r="E236" s="4"/>
      <c r="F236" s="4"/>
      <c r="G236" s="31"/>
      <c r="H236" s="67" t="str">
        <f>IF(ISERROR(VLOOKUP(#REF!,#REF!,6,FALSE)),"",IF(VLOOKUP(#REF!,#REF!,6,FALSE)=0,"",VLOOKUP(#REF!,#REF!,6,FALSE)))</f>
        <v/>
      </c>
      <c r="I236" s="67" t="str">
        <f t="shared" si="23"/>
        <v/>
      </c>
      <c r="J236" s="133"/>
      <c r="K236" s="133"/>
      <c r="L236" s="29"/>
      <c r="M236" s="29"/>
      <c r="N236" s="29"/>
      <c r="O236" s="29"/>
      <c r="P236" s="29"/>
      <c r="Q236" s="29"/>
      <c r="R236" s="29"/>
      <c r="S236" s="29"/>
      <c r="T236" s="57"/>
      <c r="U236" s="29"/>
      <c r="V236" s="29"/>
      <c r="W236" s="81"/>
      <c r="X236" s="85"/>
      <c r="Y236" s="81"/>
      <c r="AA236" s="59"/>
      <c r="AB236" s="59"/>
    </row>
    <row r="237" spans="1:28" s="55" customFormat="1" ht="30" customHeight="1" x14ac:dyDescent="0.2">
      <c r="A237" s="27">
        <v>491</v>
      </c>
      <c r="B237" s="28" t="str">
        <f t="shared" si="18"/>
        <v>2.4.05a</v>
      </c>
      <c r="C237" s="29">
        <f t="shared" si="19"/>
        <v>6</v>
      </c>
      <c r="D237" s="3"/>
      <c r="E237" s="4"/>
      <c r="F237" s="4"/>
      <c r="G237" s="31"/>
      <c r="H237" s="67" t="str">
        <f>IF(ISERROR(VLOOKUP(#REF!,#REF!,6,FALSE)),"",IF(VLOOKUP(#REF!,#REF!,6,FALSE)=0,"",VLOOKUP(#REF!,#REF!,6,FALSE)))</f>
        <v/>
      </c>
      <c r="I237" s="67" t="str">
        <f t="shared" si="23"/>
        <v/>
      </c>
      <c r="J237" s="133"/>
      <c r="K237" s="133"/>
      <c r="L237" s="29"/>
      <c r="M237" s="29"/>
      <c r="N237" s="29"/>
      <c r="O237" s="29"/>
      <c r="P237" s="29"/>
      <c r="Q237" s="29"/>
      <c r="R237" s="29"/>
      <c r="S237" s="29"/>
      <c r="T237" s="57"/>
      <c r="U237" s="29"/>
      <c r="V237" s="29"/>
      <c r="W237" s="81"/>
      <c r="X237" s="85"/>
      <c r="Y237" s="81"/>
      <c r="AA237" s="59">
        <v>1</v>
      </c>
      <c r="AB237" s="59" t="str">
        <f>VLOOKUP(AA237,detail_maturity_score,3,FALSE)</f>
        <v/>
      </c>
    </row>
    <row r="238" spans="1:28" s="55" customFormat="1" ht="16" x14ac:dyDescent="0.2">
      <c r="A238" s="27">
        <v>492</v>
      </c>
      <c r="B238" s="28" t="str">
        <f t="shared" si="18"/>
        <v>2.4.05b</v>
      </c>
      <c r="C238" s="29">
        <f t="shared" si="19"/>
        <v>6</v>
      </c>
      <c r="D238" s="3"/>
      <c r="E238" s="4"/>
      <c r="F238" s="4"/>
      <c r="G238" s="31"/>
      <c r="H238" s="67" t="str">
        <f>IF(ISERROR(VLOOKUP(#REF!,#REF!,6,FALSE)),"",IF(VLOOKUP(#REF!,#REF!,6,FALSE)=0,"",VLOOKUP(#REF!,#REF!,6,FALSE)))</f>
        <v/>
      </c>
      <c r="I238" s="67" t="str">
        <f t="shared" si="23"/>
        <v/>
      </c>
      <c r="J238" s="133"/>
      <c r="K238" s="133"/>
      <c r="L238" s="29"/>
      <c r="M238" s="29"/>
      <c r="N238" s="29"/>
      <c r="O238" s="29"/>
      <c r="P238" s="29"/>
      <c r="Q238" s="29"/>
      <c r="R238" s="29"/>
      <c r="S238" s="29"/>
      <c r="T238" s="57"/>
      <c r="U238" s="29"/>
      <c r="V238" s="29"/>
      <c r="W238" s="81"/>
      <c r="X238" s="85"/>
      <c r="Y238" s="81"/>
      <c r="AA238" s="59">
        <v>1</v>
      </c>
      <c r="AB238" s="59" t="str">
        <f>VLOOKUP(AA238,detail_maturity_score,3,FALSE)</f>
        <v/>
      </c>
    </row>
    <row r="239" spans="1:28" s="55" customFormat="1" ht="30" customHeight="1" x14ac:dyDescent="0.2">
      <c r="A239" s="27">
        <v>493</v>
      </c>
      <c r="B239" s="28" t="str">
        <f t="shared" si="18"/>
        <v>2.4.05c</v>
      </c>
      <c r="C239" s="29">
        <f t="shared" si="19"/>
        <v>6</v>
      </c>
      <c r="D239" s="3"/>
      <c r="E239" s="4"/>
      <c r="F239" s="4"/>
      <c r="G239" s="31"/>
      <c r="H239" s="67" t="str">
        <f>IF(ISERROR(VLOOKUP(#REF!,#REF!,6,FALSE)),"",IF(VLOOKUP(#REF!,#REF!,6,FALSE)=0,"",VLOOKUP(#REF!,#REF!,6,FALSE)))</f>
        <v/>
      </c>
      <c r="I239" s="67" t="str">
        <f t="shared" si="23"/>
        <v/>
      </c>
      <c r="J239" s="133"/>
      <c r="K239" s="133"/>
      <c r="L239" s="29"/>
      <c r="M239" s="29"/>
      <c r="N239" s="29"/>
      <c r="O239" s="29"/>
      <c r="P239" s="29"/>
      <c r="Q239" s="29"/>
      <c r="R239" s="29"/>
      <c r="S239" s="29"/>
      <c r="T239" s="57"/>
      <c r="U239" s="29"/>
      <c r="V239" s="29"/>
      <c r="W239" s="81"/>
      <c r="X239" s="85"/>
      <c r="Y239" s="81"/>
      <c r="AA239" s="59">
        <v>1</v>
      </c>
      <c r="AB239" s="59" t="str">
        <f>VLOOKUP(AA239,detail_maturity_score,3,FALSE)</f>
        <v/>
      </c>
    </row>
    <row r="240" spans="1:28" s="55" customFormat="1" ht="30" customHeight="1" x14ac:dyDescent="0.2">
      <c r="A240" s="27">
        <v>494</v>
      </c>
      <c r="B240" s="28" t="str">
        <f t="shared" si="18"/>
        <v>2.4.06</v>
      </c>
      <c r="C240" s="29">
        <f t="shared" si="19"/>
        <v>4</v>
      </c>
      <c r="D240" s="3"/>
      <c r="E240" s="4"/>
      <c r="F240" s="4"/>
      <c r="G240" s="31"/>
      <c r="H240" s="67" t="str">
        <f>IF(ISERROR(VLOOKUP(#REF!,#REF!,6,FALSE)),"",IF(VLOOKUP(#REF!,#REF!,6,FALSE)=0,"",VLOOKUP(#REF!,#REF!,6,FALSE)))</f>
        <v/>
      </c>
      <c r="I240" s="67" t="str">
        <f t="shared" si="23"/>
        <v/>
      </c>
      <c r="J240" s="133"/>
      <c r="K240" s="133"/>
      <c r="L240" s="29"/>
      <c r="M240" s="29"/>
      <c r="N240" s="29"/>
      <c r="O240" s="29"/>
      <c r="P240" s="29"/>
      <c r="Q240" s="29"/>
      <c r="R240" s="29"/>
      <c r="S240" s="29"/>
      <c r="T240" s="57"/>
      <c r="U240" s="29"/>
      <c r="V240" s="29"/>
      <c r="W240" s="81"/>
      <c r="X240" s="85"/>
      <c r="Y240" s="81"/>
      <c r="AA240" s="59"/>
      <c r="AB240" s="59"/>
    </row>
    <row r="241" spans="1:28" s="55" customFormat="1" ht="30" customHeight="1" x14ac:dyDescent="0.2">
      <c r="A241" s="27">
        <v>495</v>
      </c>
      <c r="B241" s="28" t="str">
        <f t="shared" si="18"/>
        <v>2.4.06a</v>
      </c>
      <c r="C241" s="29">
        <f t="shared" si="19"/>
        <v>6</v>
      </c>
      <c r="D241" s="3"/>
      <c r="E241" s="4"/>
      <c r="F241" s="4"/>
      <c r="G241" s="31"/>
      <c r="H241" s="67" t="str">
        <f>IF(ISERROR(VLOOKUP(#REF!,#REF!,6,FALSE)),"",IF(VLOOKUP(#REF!,#REF!,6,FALSE)=0,"",VLOOKUP(#REF!,#REF!,6,FALSE)))</f>
        <v/>
      </c>
      <c r="I241" s="67" t="str">
        <f t="shared" si="23"/>
        <v/>
      </c>
      <c r="J241" s="133"/>
      <c r="K241" s="133"/>
      <c r="L241" s="29"/>
      <c r="M241" s="29"/>
      <c r="N241" s="29"/>
      <c r="O241" s="29"/>
      <c r="P241" s="29"/>
      <c r="Q241" s="29"/>
      <c r="R241" s="29"/>
      <c r="S241" s="29"/>
      <c r="T241" s="57"/>
      <c r="U241" s="29"/>
      <c r="V241" s="29"/>
      <c r="W241" s="81"/>
      <c r="X241" s="85"/>
      <c r="Y241" s="81"/>
      <c r="AA241" s="59">
        <v>1</v>
      </c>
      <c r="AB241" s="59" t="str">
        <f>VLOOKUP(AA241,detail_maturity_score,3,FALSE)</f>
        <v/>
      </c>
    </row>
    <row r="242" spans="1:28" s="55" customFormat="1" ht="30" customHeight="1" x14ac:dyDescent="0.2">
      <c r="A242" s="27">
        <v>496</v>
      </c>
      <c r="B242" s="28" t="str">
        <f t="shared" si="18"/>
        <v>2.4.06b</v>
      </c>
      <c r="C242" s="29">
        <f t="shared" si="19"/>
        <v>6</v>
      </c>
      <c r="D242" s="3"/>
      <c r="E242" s="4"/>
      <c r="F242" s="4"/>
      <c r="G242" s="31"/>
      <c r="H242" s="67" t="str">
        <f>IF(ISERROR(VLOOKUP(#REF!,#REF!,6,FALSE)),"",IF(VLOOKUP(#REF!,#REF!,6,FALSE)=0,"",VLOOKUP(#REF!,#REF!,6,FALSE)))</f>
        <v/>
      </c>
      <c r="I242" s="67" t="str">
        <f t="shared" si="23"/>
        <v/>
      </c>
      <c r="J242" s="133"/>
      <c r="K242" s="133"/>
      <c r="L242" s="29"/>
      <c r="M242" s="29"/>
      <c r="N242" s="29"/>
      <c r="O242" s="29"/>
      <c r="P242" s="29"/>
      <c r="Q242" s="29"/>
      <c r="R242" s="29"/>
      <c r="S242" s="29"/>
      <c r="T242" s="57"/>
      <c r="U242" s="29"/>
      <c r="V242" s="29"/>
      <c r="W242" s="81"/>
      <c r="X242" s="85"/>
      <c r="Y242" s="81"/>
      <c r="AA242" s="59">
        <v>1</v>
      </c>
      <c r="AB242" s="59" t="str">
        <f>VLOOKUP(AA242,detail_maturity_score,3,FALSE)</f>
        <v/>
      </c>
    </row>
    <row r="243" spans="1:28" s="55" customFormat="1" ht="30" customHeight="1" x14ac:dyDescent="0.2">
      <c r="A243" s="27">
        <v>497</v>
      </c>
      <c r="B243" s="28" t="str">
        <f t="shared" si="18"/>
        <v>2.4.06c</v>
      </c>
      <c r="C243" s="29">
        <f t="shared" si="19"/>
        <v>6</v>
      </c>
      <c r="D243" s="3"/>
      <c r="E243" s="4"/>
      <c r="F243" s="4"/>
      <c r="G243" s="31"/>
      <c r="H243" s="67" t="str">
        <f>IF(ISERROR(VLOOKUP(#REF!,#REF!,6,FALSE)),"",IF(VLOOKUP(#REF!,#REF!,6,FALSE)=0,"",VLOOKUP(#REF!,#REF!,6,FALSE)))</f>
        <v/>
      </c>
      <c r="I243" s="67" t="str">
        <f t="shared" si="23"/>
        <v/>
      </c>
      <c r="J243" s="133"/>
      <c r="K243" s="133"/>
      <c r="L243" s="29"/>
      <c r="M243" s="29"/>
      <c r="N243" s="29"/>
      <c r="O243" s="29"/>
      <c r="P243" s="29"/>
      <c r="Q243" s="29"/>
      <c r="R243" s="29"/>
      <c r="S243" s="29"/>
      <c r="T243" s="57"/>
      <c r="U243" s="29"/>
      <c r="V243" s="29"/>
      <c r="W243" s="81"/>
      <c r="X243" s="85"/>
      <c r="Y243" s="81"/>
      <c r="AA243" s="59">
        <v>1</v>
      </c>
      <c r="AB243" s="59" t="str">
        <f>VLOOKUP(AA243,detail_maturity_score,3,FALSE)</f>
        <v/>
      </c>
    </row>
    <row r="244" spans="1:28" s="55" customFormat="1" ht="30" customHeight="1" x14ac:dyDescent="0.2">
      <c r="A244" s="27">
        <v>498</v>
      </c>
      <c r="B244" s="28" t="str">
        <f t="shared" si="18"/>
        <v>2.4.06d</v>
      </c>
      <c r="C244" s="29">
        <f t="shared" si="19"/>
        <v>6</v>
      </c>
      <c r="D244" s="3"/>
      <c r="E244" s="4"/>
      <c r="F244" s="4"/>
      <c r="G244" s="31"/>
      <c r="H244" s="67" t="str">
        <f>IF(ISERROR(VLOOKUP(#REF!,#REF!,6,FALSE)),"",IF(VLOOKUP(#REF!,#REF!,6,FALSE)=0,"",VLOOKUP(#REF!,#REF!,6,FALSE)))</f>
        <v/>
      </c>
      <c r="I244" s="67" t="str">
        <f t="shared" si="23"/>
        <v/>
      </c>
      <c r="J244" s="133"/>
      <c r="K244" s="133"/>
      <c r="L244" s="29"/>
      <c r="M244" s="29"/>
      <c r="N244" s="29"/>
      <c r="O244" s="29"/>
      <c r="P244" s="29"/>
      <c r="Q244" s="29"/>
      <c r="R244" s="29"/>
      <c r="S244" s="29"/>
      <c r="T244" s="57"/>
      <c r="U244" s="29"/>
      <c r="V244" s="29"/>
      <c r="W244" s="81"/>
      <c r="X244" s="85"/>
      <c r="Y244" s="81"/>
      <c r="AA244" s="59">
        <v>1</v>
      </c>
      <c r="AB244" s="59" t="str">
        <f>VLOOKUP(AA244,detail_maturity_score,3,FALSE)</f>
        <v/>
      </c>
    </row>
    <row r="245" spans="1:28" s="55" customFormat="1" ht="16" x14ac:dyDescent="0.2">
      <c r="A245" s="27">
        <v>499</v>
      </c>
      <c r="B245" s="28" t="str">
        <f t="shared" si="18"/>
        <v>2.4.06e</v>
      </c>
      <c r="C245" s="29">
        <f t="shared" si="19"/>
        <v>6</v>
      </c>
      <c r="D245" s="3"/>
      <c r="E245" s="4"/>
      <c r="F245" s="4"/>
      <c r="G245" s="31"/>
      <c r="H245" s="67" t="str">
        <f>IF(ISERROR(VLOOKUP(#REF!,#REF!,6,FALSE)),"",IF(VLOOKUP(#REF!,#REF!,6,FALSE)=0,"",VLOOKUP(#REF!,#REF!,6,FALSE)))</f>
        <v/>
      </c>
      <c r="I245" s="67" t="str">
        <f t="shared" si="23"/>
        <v/>
      </c>
      <c r="J245" s="133"/>
      <c r="K245" s="133"/>
      <c r="L245" s="29"/>
      <c r="M245" s="29"/>
      <c r="N245" s="29"/>
      <c r="O245" s="29"/>
      <c r="P245" s="29"/>
      <c r="Q245" s="29"/>
      <c r="R245" s="29"/>
      <c r="S245" s="29"/>
      <c r="T245" s="57"/>
      <c r="U245" s="29"/>
      <c r="V245" s="29"/>
      <c r="W245" s="81"/>
      <c r="X245" s="85"/>
      <c r="Y245" s="81"/>
      <c r="AA245" s="59">
        <v>1</v>
      </c>
      <c r="AB245" s="59" t="str">
        <f>VLOOKUP(AA245,detail_maturity_score,3,FALSE)</f>
        <v/>
      </c>
    </row>
    <row r="246" spans="1:28" s="55" customFormat="1" ht="30" customHeight="1" x14ac:dyDescent="0.2">
      <c r="A246" s="27">
        <v>500</v>
      </c>
      <c r="B246" s="28" t="str">
        <f t="shared" si="18"/>
        <v>2.4.07</v>
      </c>
      <c r="C246" s="29">
        <f t="shared" si="19"/>
        <v>4</v>
      </c>
      <c r="D246" s="3"/>
      <c r="E246" s="4"/>
      <c r="F246" s="4"/>
      <c r="G246" s="31"/>
      <c r="H246" s="67" t="str">
        <f>IF(ISERROR(VLOOKUP(#REF!,#REF!,6,FALSE)),"",IF(VLOOKUP(#REF!,#REF!,6,FALSE)=0,"",VLOOKUP(#REF!,#REF!,6,FALSE)))</f>
        <v/>
      </c>
      <c r="I246" s="67" t="str">
        <f t="shared" si="23"/>
        <v/>
      </c>
      <c r="J246" s="133"/>
      <c r="K246" s="133"/>
      <c r="L246" s="29"/>
      <c r="M246" s="29"/>
      <c r="N246" s="29"/>
      <c r="O246" s="29"/>
      <c r="P246" s="29"/>
      <c r="Q246" s="29"/>
      <c r="R246" s="29"/>
      <c r="S246" s="29"/>
      <c r="T246" s="57"/>
      <c r="U246" s="29"/>
      <c r="V246" s="29"/>
      <c r="W246" s="81"/>
      <c r="X246" s="85"/>
      <c r="Y246" s="81"/>
      <c r="AA246" s="59"/>
      <c r="AB246" s="59"/>
    </row>
    <row r="247" spans="1:28" s="55" customFormat="1" ht="30" customHeight="1" x14ac:dyDescent="0.2">
      <c r="A247" s="27">
        <v>501</v>
      </c>
      <c r="B247" s="28" t="str">
        <f t="shared" si="18"/>
        <v>2.4.07a</v>
      </c>
      <c r="C247" s="29">
        <f t="shared" si="19"/>
        <v>6</v>
      </c>
      <c r="D247" s="3"/>
      <c r="E247" s="4"/>
      <c r="F247" s="4"/>
      <c r="G247" s="31"/>
      <c r="H247" s="67" t="str">
        <f>IF(ISERROR(VLOOKUP(#REF!,#REF!,6,FALSE)),"",IF(VLOOKUP(#REF!,#REF!,6,FALSE)=0,"",VLOOKUP(#REF!,#REF!,6,FALSE)))</f>
        <v/>
      </c>
      <c r="I247" s="67" t="str">
        <f t="shared" si="23"/>
        <v/>
      </c>
      <c r="J247" s="133"/>
      <c r="K247" s="133"/>
      <c r="L247" s="29"/>
      <c r="M247" s="29"/>
      <c r="N247" s="29"/>
      <c r="O247" s="29"/>
      <c r="P247" s="29"/>
      <c r="Q247" s="29"/>
      <c r="R247" s="29"/>
      <c r="S247" s="29"/>
      <c r="T247" s="57"/>
      <c r="U247" s="29"/>
      <c r="V247" s="29"/>
      <c r="W247" s="81"/>
      <c r="X247" s="85"/>
      <c r="Y247" s="81"/>
      <c r="AA247" s="59">
        <v>1</v>
      </c>
      <c r="AB247" s="59" t="str">
        <f t="shared" ref="AB247:AB253" si="24">VLOOKUP(AA247,detail_maturity_score,3,FALSE)</f>
        <v/>
      </c>
    </row>
    <row r="248" spans="1:28" s="55" customFormat="1" ht="16" x14ac:dyDescent="0.2">
      <c r="A248" s="27">
        <v>502</v>
      </c>
      <c r="B248" s="28" t="str">
        <f t="shared" si="18"/>
        <v>2.4.07b</v>
      </c>
      <c r="C248" s="29">
        <f t="shared" si="19"/>
        <v>6</v>
      </c>
      <c r="D248" s="3"/>
      <c r="E248" s="4"/>
      <c r="F248" s="4"/>
      <c r="G248" s="31"/>
      <c r="H248" s="67" t="str">
        <f>IF(ISERROR(VLOOKUP(#REF!,#REF!,6,FALSE)),"",IF(VLOOKUP(#REF!,#REF!,6,FALSE)=0,"",VLOOKUP(#REF!,#REF!,6,FALSE)))</f>
        <v/>
      </c>
      <c r="I248" s="67" t="str">
        <f t="shared" si="23"/>
        <v/>
      </c>
      <c r="J248" s="133"/>
      <c r="K248" s="133"/>
      <c r="L248" s="29"/>
      <c r="M248" s="29"/>
      <c r="N248" s="29"/>
      <c r="O248" s="29"/>
      <c r="P248" s="29"/>
      <c r="Q248" s="29"/>
      <c r="R248" s="29"/>
      <c r="S248" s="29"/>
      <c r="T248" s="57"/>
      <c r="U248" s="29"/>
      <c r="V248" s="29"/>
      <c r="W248" s="81"/>
      <c r="X248" s="85"/>
      <c r="Y248" s="81"/>
      <c r="AA248" s="59">
        <v>1</v>
      </c>
      <c r="AB248" s="59" t="str">
        <f t="shared" si="24"/>
        <v/>
      </c>
    </row>
    <row r="249" spans="1:28" s="55" customFormat="1" ht="30" customHeight="1" x14ac:dyDescent="0.2">
      <c r="A249" s="27">
        <v>503</v>
      </c>
      <c r="B249" s="28" t="str">
        <f t="shared" si="18"/>
        <v>2.4.07c</v>
      </c>
      <c r="C249" s="29">
        <f t="shared" si="19"/>
        <v>6</v>
      </c>
      <c r="D249" s="3"/>
      <c r="E249" s="4"/>
      <c r="F249" s="4"/>
      <c r="G249" s="31"/>
      <c r="H249" s="67" t="str">
        <f>IF(ISERROR(VLOOKUP(#REF!,#REF!,6,FALSE)),"",IF(VLOOKUP(#REF!,#REF!,6,FALSE)=0,"",VLOOKUP(#REF!,#REF!,6,FALSE)))</f>
        <v/>
      </c>
      <c r="I249" s="67" t="str">
        <f t="shared" si="23"/>
        <v/>
      </c>
      <c r="J249" s="133"/>
      <c r="K249" s="133"/>
      <c r="L249" s="29"/>
      <c r="M249" s="29"/>
      <c r="N249" s="29"/>
      <c r="O249" s="29"/>
      <c r="P249" s="29"/>
      <c r="Q249" s="29"/>
      <c r="R249" s="29"/>
      <c r="S249" s="29"/>
      <c r="T249" s="57"/>
      <c r="U249" s="29"/>
      <c r="V249" s="29"/>
      <c r="W249" s="81"/>
      <c r="X249" s="85"/>
      <c r="Y249" s="81"/>
      <c r="AA249" s="59">
        <v>1</v>
      </c>
      <c r="AB249" s="59" t="str">
        <f t="shared" si="24"/>
        <v/>
      </c>
    </row>
    <row r="250" spans="1:28" s="55" customFormat="1" ht="16" x14ac:dyDescent="0.2">
      <c r="A250" s="27">
        <v>504</v>
      </c>
      <c r="B250" s="28" t="str">
        <f t="shared" si="18"/>
        <v>2.4.07d</v>
      </c>
      <c r="C250" s="29">
        <f t="shared" si="19"/>
        <v>6</v>
      </c>
      <c r="D250" s="3"/>
      <c r="E250" s="4"/>
      <c r="F250" s="4"/>
      <c r="G250" s="31"/>
      <c r="H250" s="67" t="str">
        <f>IF(ISERROR(VLOOKUP(#REF!,#REF!,6,FALSE)),"",IF(VLOOKUP(#REF!,#REF!,6,FALSE)=0,"",VLOOKUP(#REF!,#REF!,6,FALSE)))</f>
        <v/>
      </c>
      <c r="I250" s="67" t="str">
        <f t="shared" si="23"/>
        <v/>
      </c>
      <c r="J250" s="133"/>
      <c r="K250" s="133"/>
      <c r="L250" s="29"/>
      <c r="M250" s="29"/>
      <c r="N250" s="29"/>
      <c r="O250" s="29"/>
      <c r="P250" s="29"/>
      <c r="Q250" s="29"/>
      <c r="R250" s="29"/>
      <c r="S250" s="29"/>
      <c r="T250" s="57"/>
      <c r="U250" s="29"/>
      <c r="V250" s="29"/>
      <c r="W250" s="81"/>
      <c r="X250" s="85"/>
      <c r="Y250" s="81"/>
      <c r="AA250" s="59">
        <v>1</v>
      </c>
      <c r="AB250" s="59" t="str">
        <f t="shared" si="24"/>
        <v/>
      </c>
    </row>
    <row r="251" spans="1:28" s="55" customFormat="1" ht="30" customHeight="1" x14ac:dyDescent="0.2">
      <c r="A251" s="27">
        <v>505</v>
      </c>
      <c r="B251" s="28" t="str">
        <f t="shared" si="18"/>
        <v>2.4.07e</v>
      </c>
      <c r="C251" s="29">
        <f t="shared" si="19"/>
        <v>6</v>
      </c>
      <c r="D251" s="3"/>
      <c r="E251" s="4"/>
      <c r="F251" s="4"/>
      <c r="G251" s="31"/>
      <c r="H251" s="67" t="str">
        <f>IF(ISERROR(VLOOKUP(#REF!,#REF!,6,FALSE)),"",IF(VLOOKUP(#REF!,#REF!,6,FALSE)=0,"",VLOOKUP(#REF!,#REF!,6,FALSE)))</f>
        <v/>
      </c>
      <c r="I251" s="67" t="str">
        <f t="shared" si="23"/>
        <v/>
      </c>
      <c r="J251" s="133"/>
      <c r="K251" s="133"/>
      <c r="L251" s="29"/>
      <c r="M251" s="29"/>
      <c r="N251" s="29"/>
      <c r="O251" s="29"/>
      <c r="P251" s="29"/>
      <c r="Q251" s="29"/>
      <c r="R251" s="29"/>
      <c r="S251" s="29"/>
      <c r="T251" s="57"/>
      <c r="U251" s="29"/>
      <c r="V251" s="29"/>
      <c r="W251" s="81"/>
      <c r="X251" s="85"/>
      <c r="Y251" s="81"/>
      <c r="AA251" s="59">
        <v>1</v>
      </c>
      <c r="AB251" s="59" t="str">
        <f t="shared" si="24"/>
        <v/>
      </c>
    </row>
    <row r="252" spans="1:28" s="55" customFormat="1" ht="30" customHeight="1" x14ac:dyDescent="0.2">
      <c r="A252" s="27">
        <v>506</v>
      </c>
      <c r="B252" s="28" t="str">
        <f t="shared" si="18"/>
        <v>2.4.07f</v>
      </c>
      <c r="C252" s="29">
        <f t="shared" si="19"/>
        <v>6</v>
      </c>
      <c r="D252" s="3"/>
      <c r="E252" s="4"/>
      <c r="F252" s="4"/>
      <c r="G252" s="31"/>
      <c r="H252" s="67" t="str">
        <f>IF(ISERROR(VLOOKUP(#REF!,#REF!,6,FALSE)),"",IF(VLOOKUP(#REF!,#REF!,6,FALSE)=0,"",VLOOKUP(#REF!,#REF!,6,FALSE)))</f>
        <v/>
      </c>
      <c r="I252" s="67" t="str">
        <f t="shared" si="23"/>
        <v/>
      </c>
      <c r="J252" s="133"/>
      <c r="K252" s="133"/>
      <c r="L252" s="29"/>
      <c r="M252" s="29"/>
      <c r="N252" s="29"/>
      <c r="O252" s="29"/>
      <c r="P252" s="29"/>
      <c r="Q252" s="29"/>
      <c r="R252" s="29"/>
      <c r="S252" s="29"/>
      <c r="T252" s="57"/>
      <c r="U252" s="29"/>
      <c r="V252" s="29"/>
      <c r="W252" s="81"/>
      <c r="X252" s="85"/>
      <c r="Y252" s="81"/>
      <c r="AA252" s="59">
        <v>1</v>
      </c>
      <c r="AB252" s="59" t="str">
        <f t="shared" si="24"/>
        <v/>
      </c>
    </row>
    <row r="253" spans="1:28" s="55" customFormat="1" ht="16" x14ac:dyDescent="0.2">
      <c r="A253" s="27">
        <v>507</v>
      </c>
      <c r="B253" s="28" t="str">
        <f t="shared" si="18"/>
        <v>2.4.07g</v>
      </c>
      <c r="C253" s="29">
        <f t="shared" si="19"/>
        <v>6</v>
      </c>
      <c r="D253" s="3"/>
      <c r="E253" s="4"/>
      <c r="F253" s="4"/>
      <c r="G253" s="31"/>
      <c r="H253" s="67" t="str">
        <f>IF(ISERROR(VLOOKUP(#REF!,#REF!,6,FALSE)),"",IF(VLOOKUP(#REF!,#REF!,6,FALSE)=0,"",VLOOKUP(#REF!,#REF!,6,FALSE)))</f>
        <v/>
      </c>
      <c r="I253" s="67" t="str">
        <f t="shared" si="23"/>
        <v/>
      </c>
      <c r="J253" s="133"/>
      <c r="K253" s="133"/>
      <c r="L253" s="29"/>
      <c r="M253" s="29"/>
      <c r="N253" s="29"/>
      <c r="O253" s="29"/>
      <c r="P253" s="29"/>
      <c r="Q253" s="29"/>
      <c r="R253" s="29"/>
      <c r="S253" s="29"/>
      <c r="T253" s="57"/>
      <c r="U253" s="29"/>
      <c r="V253" s="29"/>
      <c r="W253" s="81"/>
      <c r="X253" s="85"/>
      <c r="Y253" s="81"/>
      <c r="AA253" s="59">
        <v>1</v>
      </c>
      <c r="AB253" s="59" t="str">
        <f t="shared" si="24"/>
        <v/>
      </c>
    </row>
    <row r="254" spans="1:28" s="55" customFormat="1" ht="30" customHeight="1" x14ac:dyDescent="0.2">
      <c r="A254" s="27">
        <v>508</v>
      </c>
      <c r="B254" s="28" t="str">
        <f t="shared" si="18"/>
        <v>2.4.08</v>
      </c>
      <c r="C254" s="29">
        <f t="shared" si="19"/>
        <v>4</v>
      </c>
      <c r="D254" s="3"/>
      <c r="E254" s="4"/>
      <c r="F254" s="4"/>
      <c r="G254" s="31"/>
      <c r="H254" s="67" t="str">
        <f>IF(ISERROR(VLOOKUP(#REF!,#REF!,6,FALSE)),"",IF(VLOOKUP(#REF!,#REF!,6,FALSE)=0,"",VLOOKUP(#REF!,#REF!,6,FALSE)))</f>
        <v/>
      </c>
      <c r="I254" s="67" t="str">
        <f t="shared" si="23"/>
        <v/>
      </c>
      <c r="J254" s="133"/>
      <c r="K254" s="133"/>
      <c r="L254" s="29"/>
      <c r="M254" s="29"/>
      <c r="N254" s="29"/>
      <c r="O254" s="29"/>
      <c r="P254" s="29"/>
      <c r="Q254" s="29"/>
      <c r="R254" s="29"/>
      <c r="S254" s="29"/>
      <c r="T254" s="57"/>
      <c r="U254" s="29"/>
      <c r="V254" s="29"/>
      <c r="W254" s="81"/>
      <c r="X254" s="85"/>
      <c r="Y254" s="81"/>
      <c r="AA254" s="59"/>
      <c r="AB254" s="59"/>
    </row>
    <row r="255" spans="1:28" s="55" customFormat="1" ht="30" customHeight="1" x14ac:dyDescent="0.2">
      <c r="A255" s="27">
        <v>509</v>
      </c>
      <c r="B255" s="28" t="str">
        <f t="shared" si="18"/>
        <v>2.4.08a</v>
      </c>
      <c r="C255" s="29">
        <f t="shared" si="19"/>
        <v>6</v>
      </c>
      <c r="D255" s="3"/>
      <c r="E255" s="4"/>
      <c r="F255" s="4"/>
      <c r="G255" s="31"/>
      <c r="H255" s="67" t="str">
        <f>IF(ISERROR(VLOOKUP(#REF!,#REF!,6,FALSE)),"",IF(VLOOKUP(#REF!,#REF!,6,FALSE)=0,"",VLOOKUP(#REF!,#REF!,6,FALSE)))</f>
        <v/>
      </c>
      <c r="I255" s="67" t="str">
        <f t="shared" si="23"/>
        <v/>
      </c>
      <c r="J255" s="133"/>
      <c r="K255" s="133"/>
      <c r="L255" s="29"/>
      <c r="M255" s="29"/>
      <c r="N255" s="29"/>
      <c r="O255" s="29"/>
      <c r="P255" s="29"/>
      <c r="Q255" s="29"/>
      <c r="R255" s="29"/>
      <c r="S255" s="29"/>
      <c r="T255" s="57"/>
      <c r="U255" s="29"/>
      <c r="V255" s="29"/>
      <c r="W255" s="81"/>
      <c r="X255" s="85"/>
      <c r="Y255" s="81"/>
      <c r="AA255" s="59">
        <v>1</v>
      </c>
      <c r="AB255" s="59" t="str">
        <f>VLOOKUP(AA255,detail_maturity_score,3,FALSE)</f>
        <v/>
      </c>
    </row>
    <row r="256" spans="1:28" s="55" customFormat="1" ht="30" customHeight="1" x14ac:dyDescent="0.2">
      <c r="A256" s="27">
        <v>510</v>
      </c>
      <c r="B256" s="28" t="str">
        <f t="shared" si="18"/>
        <v>2.4.08b</v>
      </c>
      <c r="C256" s="29">
        <f t="shared" si="19"/>
        <v>6</v>
      </c>
      <c r="D256" s="3"/>
      <c r="E256" s="4"/>
      <c r="F256" s="4"/>
      <c r="G256" s="31"/>
      <c r="H256" s="67" t="str">
        <f>IF(ISERROR(VLOOKUP(#REF!,#REF!,6,FALSE)),"",IF(VLOOKUP(#REF!,#REF!,6,FALSE)=0,"",VLOOKUP(#REF!,#REF!,6,FALSE)))</f>
        <v/>
      </c>
      <c r="I256" s="67" t="str">
        <f t="shared" si="23"/>
        <v/>
      </c>
      <c r="J256" s="133"/>
      <c r="K256" s="133"/>
      <c r="L256" s="29"/>
      <c r="M256" s="29"/>
      <c r="N256" s="29"/>
      <c r="O256" s="29"/>
      <c r="P256" s="29"/>
      <c r="Q256" s="29"/>
      <c r="R256" s="29"/>
      <c r="S256" s="29"/>
      <c r="T256" s="57"/>
      <c r="U256" s="29"/>
      <c r="V256" s="29"/>
      <c r="W256" s="81"/>
      <c r="X256" s="85"/>
      <c r="Y256" s="81"/>
      <c r="AA256" s="59">
        <v>1</v>
      </c>
      <c r="AB256" s="59" t="str">
        <f>VLOOKUP(AA256,detail_maturity_score,3,FALSE)</f>
        <v/>
      </c>
    </row>
    <row r="257" spans="1:28" s="55" customFormat="1" ht="16" x14ac:dyDescent="0.2">
      <c r="A257" s="27">
        <v>511</v>
      </c>
      <c r="B257" s="28" t="str">
        <f t="shared" si="18"/>
        <v>2.4.08c</v>
      </c>
      <c r="C257" s="29">
        <f t="shared" si="19"/>
        <v>6</v>
      </c>
      <c r="D257" s="3"/>
      <c r="E257" s="4"/>
      <c r="F257" s="4"/>
      <c r="G257" s="29"/>
      <c r="H257" s="67" t="str">
        <f>IF(ISERROR(VLOOKUP(#REF!,#REF!,6,FALSE)),"",IF(VLOOKUP(#REF!,#REF!,6,FALSE)=0,"",VLOOKUP(#REF!,#REF!,6,FALSE)))</f>
        <v/>
      </c>
      <c r="I257" s="67" t="str">
        <f t="shared" si="23"/>
        <v/>
      </c>
      <c r="J257" s="133"/>
      <c r="K257" s="133"/>
      <c r="L257" s="29"/>
      <c r="M257" s="29"/>
      <c r="N257" s="29"/>
      <c r="O257" s="29"/>
      <c r="P257" s="29"/>
      <c r="Q257" s="29"/>
      <c r="R257" s="29"/>
      <c r="S257" s="29"/>
      <c r="T257" s="57"/>
      <c r="U257" s="29"/>
      <c r="V257" s="29"/>
      <c r="W257" s="81"/>
      <c r="X257" s="85"/>
      <c r="Y257" s="81"/>
      <c r="AA257" s="59">
        <v>1</v>
      </c>
      <c r="AB257" s="59" t="str">
        <f>VLOOKUP(AA257,detail_maturity_score,3,FALSE)</f>
        <v/>
      </c>
    </row>
    <row r="258" spans="1:28" s="55" customFormat="1" ht="18.75" customHeight="1" x14ac:dyDescent="0.2">
      <c r="A258" s="27">
        <v>512</v>
      </c>
      <c r="B258" s="29" t="str">
        <f t="shared" si="18"/>
        <v/>
      </c>
      <c r="C258" s="29">
        <f t="shared" si="19"/>
        <v>3</v>
      </c>
      <c r="D258" s="3"/>
      <c r="E258" s="4"/>
      <c r="F258" s="4"/>
      <c r="G258" s="31"/>
      <c r="H258" s="67" t="str">
        <f>IF(ISERROR(VLOOKUP(#REF!,#REF!,6,FALSE)),"",IF(VLOOKUP(#REF!,#REF!,6,FALSE)=0,"",VLOOKUP(#REF!,#REF!,6,FALSE)))</f>
        <v/>
      </c>
      <c r="I258" s="67" t="str">
        <f t="shared" si="23"/>
        <v/>
      </c>
      <c r="J258" s="133"/>
      <c r="K258" s="133"/>
      <c r="L258" s="29"/>
      <c r="M258" s="29"/>
      <c r="N258" s="29"/>
      <c r="O258" s="29"/>
      <c r="P258" s="29"/>
      <c r="Q258" s="29"/>
      <c r="R258" s="29"/>
      <c r="S258" s="29"/>
      <c r="T258" s="57"/>
      <c r="U258" s="29"/>
      <c r="V258" s="29"/>
      <c r="W258" s="81"/>
      <c r="X258" s="81"/>
      <c r="Y258" s="81"/>
      <c r="AA258" s="59"/>
      <c r="AB258" s="59"/>
    </row>
    <row r="259" spans="1:28" s="55" customFormat="1" ht="30" customHeight="1" x14ac:dyDescent="0.2">
      <c r="A259" s="27">
        <v>513</v>
      </c>
      <c r="B259" s="28" t="str">
        <f t="shared" si="18"/>
        <v>2.4.09</v>
      </c>
      <c r="C259" s="29">
        <f t="shared" si="19"/>
        <v>4</v>
      </c>
      <c r="D259" s="3"/>
      <c r="E259" s="4"/>
      <c r="F259" s="4"/>
      <c r="G259" s="31"/>
      <c r="H259" s="67" t="str">
        <f>IF(ISERROR(VLOOKUP(#REF!,#REF!,6,FALSE)),"",IF(VLOOKUP(#REF!,#REF!,6,FALSE)=0,"",VLOOKUP(#REF!,#REF!,6,FALSE)))</f>
        <v/>
      </c>
      <c r="I259" s="67" t="str">
        <f t="shared" si="23"/>
        <v/>
      </c>
      <c r="J259" s="133"/>
      <c r="K259" s="133"/>
      <c r="L259" s="29"/>
      <c r="M259" s="29"/>
      <c r="N259" s="29"/>
      <c r="O259" s="29"/>
      <c r="P259" s="29"/>
      <c r="Q259" s="29"/>
      <c r="R259" s="29"/>
      <c r="S259" s="29"/>
      <c r="T259" s="57"/>
      <c r="U259" s="29"/>
      <c r="V259" s="29"/>
      <c r="W259" s="81"/>
      <c r="X259" s="85"/>
      <c r="Y259" s="81"/>
      <c r="AA259" s="59"/>
      <c r="AB259" s="59"/>
    </row>
    <row r="260" spans="1:28" s="55" customFormat="1" ht="16" x14ac:dyDescent="0.2">
      <c r="A260" s="27">
        <v>514</v>
      </c>
      <c r="B260" s="28" t="str">
        <f t="shared" si="18"/>
        <v>2.4.09a</v>
      </c>
      <c r="C260" s="29">
        <f t="shared" si="19"/>
        <v>6</v>
      </c>
      <c r="D260" s="3"/>
      <c r="E260" s="4"/>
      <c r="F260" s="4"/>
      <c r="G260" s="31"/>
      <c r="H260" s="67" t="str">
        <f>IF(ISERROR(VLOOKUP(#REF!,#REF!,6,FALSE)),"",IF(VLOOKUP(#REF!,#REF!,6,FALSE)=0,"",VLOOKUP(#REF!,#REF!,6,FALSE)))</f>
        <v/>
      </c>
      <c r="I260" s="67" t="str">
        <f t="shared" si="23"/>
        <v/>
      </c>
      <c r="J260" s="133"/>
      <c r="K260" s="133"/>
      <c r="L260" s="29"/>
      <c r="M260" s="29"/>
      <c r="N260" s="29"/>
      <c r="O260" s="29"/>
      <c r="P260" s="29"/>
      <c r="Q260" s="29"/>
      <c r="R260" s="29"/>
      <c r="S260" s="29"/>
      <c r="T260" s="57"/>
      <c r="U260" s="29"/>
      <c r="V260" s="29"/>
      <c r="W260" s="81"/>
      <c r="X260" s="85"/>
      <c r="Y260" s="81"/>
      <c r="AA260" s="59">
        <v>1</v>
      </c>
      <c r="AB260" s="59" t="str">
        <f>VLOOKUP(AA260,detail_maturity_score,3,FALSE)</f>
        <v/>
      </c>
    </row>
    <row r="261" spans="1:28" s="55" customFormat="1" ht="30" customHeight="1" x14ac:dyDescent="0.2">
      <c r="A261" s="27">
        <v>515</v>
      </c>
      <c r="B261" s="28" t="str">
        <f t="shared" si="18"/>
        <v>2.4.09b</v>
      </c>
      <c r="C261" s="29">
        <f t="shared" si="19"/>
        <v>6</v>
      </c>
      <c r="D261" s="3"/>
      <c r="E261" s="4"/>
      <c r="F261" s="4"/>
      <c r="G261" s="31"/>
      <c r="H261" s="67" t="str">
        <f>IF(ISERROR(VLOOKUP(#REF!,#REF!,6,FALSE)),"",IF(VLOOKUP(#REF!,#REF!,6,FALSE)=0,"",VLOOKUP(#REF!,#REF!,6,FALSE)))</f>
        <v/>
      </c>
      <c r="I261" s="67" t="str">
        <f t="shared" si="23"/>
        <v/>
      </c>
      <c r="J261" s="133"/>
      <c r="K261" s="133"/>
      <c r="L261" s="29"/>
      <c r="M261" s="29"/>
      <c r="N261" s="29"/>
      <c r="O261" s="29"/>
      <c r="P261" s="29"/>
      <c r="Q261" s="29"/>
      <c r="R261" s="29"/>
      <c r="S261" s="29"/>
      <c r="T261" s="57"/>
      <c r="U261" s="29"/>
      <c r="V261" s="29"/>
      <c r="W261" s="81"/>
      <c r="X261" s="85"/>
      <c r="Y261" s="81"/>
      <c r="AA261" s="59">
        <v>1</v>
      </c>
      <c r="AB261" s="59" t="str">
        <f>VLOOKUP(AA261,detail_maturity_score,3,FALSE)</f>
        <v/>
      </c>
    </row>
    <row r="262" spans="1:28" s="55" customFormat="1" ht="30" customHeight="1" x14ac:dyDescent="0.2">
      <c r="A262" s="27">
        <v>516</v>
      </c>
      <c r="B262" s="28" t="str">
        <f t="shared" si="18"/>
        <v>2.4.10</v>
      </c>
      <c r="C262" s="29">
        <f t="shared" si="19"/>
        <v>4</v>
      </c>
      <c r="D262" s="3"/>
      <c r="E262" s="4"/>
      <c r="F262" s="4"/>
      <c r="G262" s="31"/>
      <c r="H262" s="67" t="str">
        <f>IF(ISERROR(VLOOKUP(#REF!,#REF!,6,FALSE)),"",IF(VLOOKUP(#REF!,#REF!,6,FALSE)=0,"",VLOOKUP(#REF!,#REF!,6,FALSE)))</f>
        <v/>
      </c>
      <c r="I262" s="67" t="str">
        <f t="shared" si="23"/>
        <v/>
      </c>
      <c r="J262" s="133"/>
      <c r="K262" s="133"/>
      <c r="L262" s="29"/>
      <c r="M262" s="29"/>
      <c r="N262" s="29"/>
      <c r="O262" s="29"/>
      <c r="P262" s="29"/>
      <c r="Q262" s="29"/>
      <c r="R262" s="29"/>
      <c r="S262" s="29"/>
      <c r="T262" s="57"/>
      <c r="U262" s="29"/>
      <c r="V262" s="29"/>
      <c r="W262" s="81"/>
      <c r="X262" s="85"/>
      <c r="Y262" s="81"/>
      <c r="AA262" s="59"/>
      <c r="AB262" s="59"/>
    </row>
    <row r="263" spans="1:28" s="55" customFormat="1" ht="16" x14ac:dyDescent="0.2">
      <c r="A263" s="27">
        <v>517</v>
      </c>
      <c r="B263" s="28" t="str">
        <f t="shared" si="18"/>
        <v>2.4.10a</v>
      </c>
      <c r="C263" s="29">
        <f t="shared" si="19"/>
        <v>6</v>
      </c>
      <c r="D263" s="3"/>
      <c r="E263" s="4"/>
      <c r="F263" s="4"/>
      <c r="G263" s="31"/>
      <c r="H263" s="67" t="str">
        <f>IF(ISERROR(VLOOKUP(#REF!,#REF!,6,FALSE)),"",IF(VLOOKUP(#REF!,#REF!,6,FALSE)=0,"",VLOOKUP(#REF!,#REF!,6,FALSE)))</f>
        <v/>
      </c>
      <c r="I263" s="67" t="str">
        <f t="shared" si="23"/>
        <v/>
      </c>
      <c r="J263" s="133"/>
      <c r="K263" s="133"/>
      <c r="L263" s="29"/>
      <c r="M263" s="29"/>
      <c r="N263" s="29"/>
      <c r="O263" s="29"/>
      <c r="P263" s="29"/>
      <c r="Q263" s="29"/>
      <c r="R263" s="29"/>
      <c r="S263" s="29"/>
      <c r="T263" s="57"/>
      <c r="U263" s="29"/>
      <c r="V263" s="29"/>
      <c r="W263" s="81"/>
      <c r="X263" s="85"/>
      <c r="Y263" s="81"/>
      <c r="AA263" s="59">
        <v>1</v>
      </c>
      <c r="AB263" s="59" t="str">
        <f>VLOOKUP(AA263,detail_maturity_score,3,FALSE)</f>
        <v/>
      </c>
    </row>
    <row r="264" spans="1:28" s="55" customFormat="1" ht="30" customHeight="1" x14ac:dyDescent="0.2">
      <c r="A264" s="27">
        <v>518</v>
      </c>
      <c r="B264" s="28" t="str">
        <f t="shared" ref="B264:B267" si="25">VLOOKUP(A264,contentref,2,FALSE)</f>
        <v>2.4.10b</v>
      </c>
      <c r="C264" s="29">
        <f t="shared" si="19"/>
        <v>6</v>
      </c>
      <c r="D264" s="3"/>
      <c r="E264" s="4"/>
      <c r="F264" s="4"/>
      <c r="G264" s="31"/>
      <c r="H264" s="67" t="str">
        <f>IF(ISERROR(VLOOKUP(#REF!,#REF!,6,FALSE)),"",IF(VLOOKUP(#REF!,#REF!,6,FALSE)=0,"",VLOOKUP(#REF!,#REF!,6,FALSE)))</f>
        <v/>
      </c>
      <c r="I264" s="67" t="str">
        <f t="shared" si="23"/>
        <v/>
      </c>
      <c r="J264" s="133"/>
      <c r="K264" s="133"/>
      <c r="L264" s="29"/>
      <c r="M264" s="29"/>
      <c r="N264" s="29"/>
      <c r="O264" s="29"/>
      <c r="P264" s="29"/>
      <c r="Q264" s="29"/>
      <c r="R264" s="29"/>
      <c r="S264" s="29"/>
      <c r="T264" s="57"/>
      <c r="U264" s="29"/>
      <c r="V264" s="29"/>
      <c r="W264" s="81"/>
      <c r="X264" s="85"/>
      <c r="Y264" s="81"/>
      <c r="AA264" s="59">
        <v>1</v>
      </c>
      <c r="AB264" s="59" t="str">
        <f>VLOOKUP(AA264,detail_maturity_score,3,FALSE)</f>
        <v/>
      </c>
    </row>
    <row r="265" spans="1:28" s="55" customFormat="1" x14ac:dyDescent="0.2">
      <c r="A265" s="27">
        <v>519</v>
      </c>
      <c r="B265" s="28" t="str">
        <f t="shared" si="25"/>
        <v>2.4.11</v>
      </c>
      <c r="C265" s="29">
        <f t="shared" si="19"/>
        <v>4</v>
      </c>
      <c r="D265" s="3"/>
      <c r="E265" s="4"/>
      <c r="F265" s="4"/>
      <c r="G265" s="31"/>
      <c r="H265" s="67" t="str">
        <f>IF(ISERROR(VLOOKUP(#REF!,#REF!,6,FALSE)),"",IF(VLOOKUP(#REF!,#REF!,6,FALSE)=0,"",VLOOKUP(#REF!,#REF!,6,FALSE)))</f>
        <v/>
      </c>
      <c r="I265" s="67" t="str">
        <f t="shared" si="23"/>
        <v/>
      </c>
      <c r="J265" s="133"/>
      <c r="K265" s="133"/>
      <c r="L265" s="29"/>
      <c r="M265" s="29"/>
      <c r="N265" s="29"/>
      <c r="O265" s="29"/>
      <c r="P265" s="29"/>
      <c r="Q265" s="29"/>
      <c r="R265" s="29"/>
      <c r="S265" s="29"/>
      <c r="T265" s="57"/>
      <c r="U265" s="29"/>
      <c r="V265" s="29"/>
      <c r="W265" s="81"/>
      <c r="X265" s="85"/>
      <c r="Y265" s="81"/>
      <c r="AA265" s="59"/>
      <c r="AB265" s="59"/>
    </row>
    <row r="266" spans="1:28" s="55" customFormat="1" ht="30" customHeight="1" x14ac:dyDescent="0.2">
      <c r="A266" s="27">
        <v>520</v>
      </c>
      <c r="B266" s="28" t="str">
        <f t="shared" si="25"/>
        <v>2.4.11a</v>
      </c>
      <c r="C266" s="29">
        <f t="shared" si="19"/>
        <v>6</v>
      </c>
      <c r="D266" s="3"/>
      <c r="E266" s="4"/>
      <c r="F266" s="4"/>
      <c r="G266" s="31"/>
      <c r="H266" s="67" t="str">
        <f>IF(ISERROR(VLOOKUP(#REF!,#REF!,6,FALSE)),"",IF(VLOOKUP(#REF!,#REF!,6,FALSE)=0,"",VLOOKUP(#REF!,#REF!,6,FALSE)))</f>
        <v/>
      </c>
      <c r="I266" s="67" t="str">
        <f t="shared" si="23"/>
        <v/>
      </c>
      <c r="J266" s="133"/>
      <c r="K266" s="133"/>
      <c r="L266" s="29"/>
      <c r="M266" s="29"/>
      <c r="N266" s="29"/>
      <c r="O266" s="29"/>
      <c r="P266" s="29"/>
      <c r="Q266" s="29"/>
      <c r="R266" s="29"/>
      <c r="S266" s="29"/>
      <c r="T266" s="57"/>
      <c r="U266" s="29"/>
      <c r="V266" s="29"/>
      <c r="W266" s="81"/>
      <c r="X266" s="85"/>
      <c r="Y266" s="81"/>
      <c r="AA266" s="59">
        <v>1</v>
      </c>
      <c r="AB266" s="59" t="str">
        <f>VLOOKUP(AA266,detail_maturity_score,3,FALSE)</f>
        <v/>
      </c>
    </row>
    <row r="267" spans="1:28" s="55" customFormat="1" ht="30" customHeight="1" x14ac:dyDescent="0.2">
      <c r="A267" s="27">
        <v>521</v>
      </c>
      <c r="B267" s="28" t="str">
        <f t="shared" si="25"/>
        <v>2.4.11b</v>
      </c>
      <c r="C267" s="29">
        <f t="shared" si="19"/>
        <v>6</v>
      </c>
      <c r="D267" s="3"/>
      <c r="E267" s="4"/>
      <c r="F267" s="4"/>
      <c r="G267" s="4"/>
      <c r="H267" s="4"/>
      <c r="I267" s="4"/>
      <c r="J267" s="133"/>
      <c r="K267" s="133"/>
      <c r="L267" s="29"/>
      <c r="M267" s="29"/>
      <c r="N267" s="29"/>
      <c r="O267" s="29"/>
      <c r="P267" s="29"/>
      <c r="Q267" s="29"/>
      <c r="R267" s="29"/>
      <c r="S267" s="29"/>
      <c r="T267" s="57"/>
      <c r="U267" s="29"/>
      <c r="V267" s="29"/>
      <c r="W267" s="81"/>
      <c r="X267" s="85"/>
      <c r="Y267" s="81"/>
      <c r="AA267" s="59">
        <v>1</v>
      </c>
      <c r="AB267" s="59" t="str">
        <f>VLOOKUP(AA267,detail_maturity_score,3,FALSE)</f>
        <v/>
      </c>
    </row>
  </sheetData>
  <sheetProtection selectLockedCells="1"/>
  <mergeCells count="1">
    <mergeCell ref="F2:F5"/>
  </mergeCells>
  <dataValidations count="1">
    <dataValidation type="list" allowBlank="1" showInputMessage="1" showErrorMessage="1" promptTitle="Select" sqref="G9:G39" xr:uid="{4F8C2B50-E2CD-4D0A-B03B-10EE9490E6B5}">
      <formula1>"Select,Not Implemented,Requirement Gathering,Inital Development Phase,Testing Phase,Fully Developed"</formula1>
    </dataValidation>
  </dataValidations>
  <pageMargins left="0.7" right="0.7" top="0.75" bottom="0.75" header="0.3" footer="0.3"/>
  <pageSetup paperSize="9" scale="59" fitToHeight="0" orientation="landscape" horizontalDpi="4294967293"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E87727"/>
    <pageSetUpPr autoPageBreaks="0" fitToPage="1"/>
  </sheetPr>
  <dimension ref="A2:AB130"/>
  <sheetViews>
    <sheetView showGridLines="0" showRowColHeaders="0" topLeftCell="J1" zoomScaleNormal="100" workbookViewId="0">
      <pane ySplit="7" topLeftCell="A41" activePane="bottomLeft" state="frozen"/>
      <selection pane="bottomLeft" activeCell="F9" sqref="F9"/>
    </sheetView>
  </sheetViews>
  <sheetFormatPr baseColWidth="10" defaultColWidth="9.1640625" defaultRowHeight="15" x14ac:dyDescent="0.2"/>
  <cols>
    <col min="1" max="1" width="9.33203125" style="4" hidden="1" customWidth="1"/>
    <col min="2" max="3" width="8.83203125" style="4" hidden="1" customWidth="1"/>
    <col min="4" max="4" width="6.33203125" style="4" customWidth="1"/>
    <col min="5" max="5" width="15.5" style="4" customWidth="1"/>
    <col min="6" max="6" width="67.5" style="4" customWidth="1"/>
    <col min="7" max="7" width="20.33203125" style="4" customWidth="1"/>
    <col min="8" max="9" width="16.1640625" style="4" customWidth="1"/>
    <col min="10" max="11" width="41.6640625" style="4" customWidth="1"/>
    <col min="12" max="23" width="9.1640625" style="4" customWidth="1"/>
    <col min="24" max="26" width="9.1640625" style="66" customWidth="1"/>
    <col min="27" max="28" width="9.1640625" style="61" hidden="1" customWidth="1"/>
    <col min="29" max="16384" width="9.1640625" style="4"/>
  </cols>
  <sheetData>
    <row r="2" spans="1:28" s="7" customFormat="1" ht="15" customHeight="1" x14ac:dyDescent="0.2">
      <c r="A2" s="4"/>
      <c r="B2" s="4"/>
      <c r="C2" s="4"/>
      <c r="D2" s="4"/>
      <c r="E2" s="4"/>
      <c r="F2" s="152" t="s">
        <v>789</v>
      </c>
      <c r="G2" s="144"/>
      <c r="H2" s="144"/>
      <c r="I2" s="144"/>
      <c r="J2" s="144"/>
      <c r="K2" s="144"/>
      <c r="L2" s="144"/>
      <c r="M2" s="144"/>
      <c r="N2" s="144"/>
      <c r="O2" s="144"/>
      <c r="P2" s="144"/>
      <c r="Q2" s="144"/>
      <c r="R2" s="144"/>
      <c r="S2" s="144"/>
      <c r="T2" s="144"/>
      <c r="U2" s="144"/>
      <c r="V2" s="144"/>
      <c r="X2" s="66"/>
      <c r="Y2" s="66"/>
      <c r="Z2" s="66"/>
      <c r="AA2" s="61"/>
      <c r="AB2" s="61"/>
    </row>
    <row r="3" spans="1:28" s="7" customFormat="1" ht="15" customHeight="1" x14ac:dyDescent="0.2">
      <c r="A3" s="4"/>
      <c r="B3" s="4"/>
      <c r="C3" s="4"/>
      <c r="D3" s="4"/>
      <c r="E3" s="4"/>
      <c r="F3" s="152"/>
      <c r="G3" s="144"/>
      <c r="H3" s="144"/>
      <c r="I3" s="144"/>
      <c r="J3" s="144"/>
      <c r="K3" s="144"/>
      <c r="L3" s="144"/>
      <c r="M3" s="144"/>
      <c r="N3" s="144"/>
      <c r="O3" s="144"/>
      <c r="P3" s="144"/>
      <c r="Q3" s="144"/>
      <c r="R3" s="144"/>
      <c r="S3" s="144"/>
      <c r="T3" s="144"/>
      <c r="U3" s="144"/>
      <c r="V3" s="144"/>
      <c r="X3" s="66"/>
      <c r="Y3" s="66"/>
      <c r="Z3" s="66"/>
      <c r="AA3" s="61"/>
      <c r="AB3" s="61"/>
    </row>
    <row r="4" spans="1:28" s="7" customFormat="1" ht="15" customHeight="1" x14ac:dyDescent="0.2">
      <c r="A4" s="4"/>
      <c r="B4" s="4"/>
      <c r="C4" s="4"/>
      <c r="D4" s="4"/>
      <c r="E4" s="4"/>
      <c r="F4" s="152"/>
      <c r="G4" s="144"/>
      <c r="H4" s="144"/>
      <c r="I4" s="144"/>
      <c r="J4" s="144"/>
      <c r="K4" s="144"/>
      <c r="L4" s="144"/>
      <c r="M4" s="144"/>
      <c r="N4" s="144"/>
      <c r="O4" s="144"/>
      <c r="P4" s="144"/>
      <c r="Q4" s="144"/>
      <c r="R4" s="144"/>
      <c r="S4" s="144"/>
      <c r="T4" s="144"/>
      <c r="U4" s="144"/>
      <c r="V4" s="144"/>
      <c r="X4" s="66"/>
      <c r="Y4" s="66"/>
      <c r="Z4" s="66"/>
      <c r="AA4" s="61"/>
      <c r="AB4" s="61"/>
    </row>
    <row r="5" spans="1:28" s="7" customFormat="1" ht="15" customHeight="1" x14ac:dyDescent="0.2">
      <c r="A5" s="4"/>
      <c r="B5" s="4"/>
      <c r="C5" s="4"/>
      <c r="D5" s="4"/>
      <c r="E5" s="4"/>
      <c r="F5" s="152"/>
      <c r="G5" s="144"/>
      <c r="H5" s="144"/>
      <c r="I5" s="144"/>
      <c r="J5" s="144"/>
      <c r="K5" s="144"/>
      <c r="L5" s="144"/>
      <c r="M5" s="144"/>
      <c r="N5" s="144"/>
      <c r="O5" s="144"/>
      <c r="P5" s="144"/>
      <c r="Q5" s="144"/>
      <c r="R5" s="144"/>
      <c r="S5" s="144"/>
      <c r="T5" s="144"/>
      <c r="U5" s="144"/>
      <c r="V5" s="144"/>
      <c r="X5" s="66"/>
      <c r="Y5" s="66"/>
      <c r="Z5" s="66"/>
      <c r="AA5" s="61"/>
      <c r="AB5" s="61"/>
    </row>
    <row r="6" spans="1:28" ht="11.25" customHeight="1" x14ac:dyDescent="0.2"/>
    <row r="7" spans="1:28" ht="36" customHeight="1" x14ac:dyDescent="0.25">
      <c r="F7" s="8"/>
      <c r="G7" s="9" t="s">
        <v>732</v>
      </c>
      <c r="H7" s="9" t="s">
        <v>733</v>
      </c>
      <c r="I7" s="10" t="s">
        <v>734</v>
      </c>
      <c r="V7" s="66"/>
      <c r="W7" s="66"/>
      <c r="Y7" s="61"/>
      <c r="Z7" s="61"/>
      <c r="AA7" s="4"/>
      <c r="AB7" s="4"/>
    </row>
    <row r="8" spans="1:28" s="54" customFormat="1" ht="30" customHeight="1" x14ac:dyDescent="0.2">
      <c r="A8" s="32">
        <v>523</v>
      </c>
      <c r="B8" s="33" t="str">
        <f t="shared" ref="B8:B39" si="0">VLOOKUP(A8,contentref,2,FALSE)</f>
        <v>3.1</v>
      </c>
      <c r="C8" s="3">
        <f t="shared" ref="C8:C39" si="1">VLOOKUP(A8,contentref,15,FALSE)</f>
        <v>2</v>
      </c>
      <c r="D8" s="3"/>
      <c r="E8" s="26" t="s">
        <v>758</v>
      </c>
      <c r="F8" s="50" t="s">
        <v>759</v>
      </c>
      <c r="G8" s="51"/>
      <c r="H8" s="52" t="str">
        <f>IF(ISERROR(VLOOKUP(E8,#REF!,6,FALSE)),"",IF(VLOOKUP(E8,#REF!,6,FALSE)=0,"",VLOOKUP(E8,#REF!,6,FALSE)))</f>
        <v/>
      </c>
      <c r="I8" s="52" t="str">
        <f t="shared" ref="I8:I19" si="2">IF(ISERROR(VLOOKUP(AA8,detail_maturity_score,3,FALSE)*VLOOKUP(H8,weighting_scores,2,FALSE)),"",VLOOKUP(AA8,detail_maturity_score,3,FALSE)*VLOOKUP(H8,weighting_scores,2,FALSE))</f>
        <v/>
      </c>
      <c r="J8" s="52"/>
      <c r="K8" s="52"/>
      <c r="L8" s="52"/>
      <c r="M8" s="51"/>
      <c r="N8" s="51"/>
      <c r="O8" s="51"/>
      <c r="P8" s="51"/>
      <c r="Q8" s="51"/>
      <c r="R8" s="51"/>
      <c r="S8" s="51"/>
      <c r="T8" s="51"/>
      <c r="U8" s="51"/>
      <c r="V8" s="51"/>
      <c r="W8" s="79"/>
      <c r="X8" s="79"/>
      <c r="Y8" s="83"/>
      <c r="AA8" s="70"/>
      <c r="AB8" s="70"/>
    </row>
    <row r="9" spans="1:28" s="53" customFormat="1" ht="32" x14ac:dyDescent="0.2">
      <c r="A9" s="41">
        <v>524</v>
      </c>
      <c r="B9" s="33" t="str">
        <f t="shared" si="0"/>
        <v>3.1.01</v>
      </c>
      <c r="C9" s="3">
        <f t="shared" si="1"/>
        <v>5</v>
      </c>
      <c r="D9" s="3"/>
      <c r="E9" s="122">
        <v>1</v>
      </c>
      <c r="F9" s="45" t="s">
        <v>790</v>
      </c>
      <c r="G9" s="45" t="s">
        <v>738</v>
      </c>
      <c r="H9" s="69">
        <v>1</v>
      </c>
      <c r="I9" s="69" t="str">
        <f t="shared" si="2"/>
        <v/>
      </c>
      <c r="J9" s="132"/>
      <c r="K9" s="132"/>
      <c r="L9" s="43"/>
      <c r="M9" s="43"/>
      <c r="N9" s="43"/>
      <c r="O9" s="43"/>
      <c r="P9" s="43"/>
      <c r="Q9" s="43"/>
      <c r="R9" s="43"/>
      <c r="S9" s="43"/>
      <c r="T9" s="78"/>
      <c r="U9" s="43"/>
      <c r="V9" s="43"/>
      <c r="W9" s="80"/>
      <c r="X9" s="84"/>
      <c r="Y9" s="80"/>
      <c r="AA9" s="71">
        <v>1</v>
      </c>
      <c r="AB9" s="71" t="str">
        <f t="shared" ref="AB9:AB19" si="3">VLOOKUP(AA9,detail_maturity_score,3,FALSE)</f>
        <v/>
      </c>
    </row>
    <row r="10" spans="1:28" s="55" customFormat="1" ht="30" customHeight="1" x14ac:dyDescent="0.2">
      <c r="A10" s="27">
        <v>525</v>
      </c>
      <c r="B10" s="33" t="str">
        <f t="shared" si="0"/>
        <v>3.1.02</v>
      </c>
      <c r="C10" s="3">
        <f t="shared" si="1"/>
        <v>5</v>
      </c>
      <c r="D10" s="3"/>
      <c r="E10" s="121">
        <v>2</v>
      </c>
      <c r="F10" s="31" t="s">
        <v>791</v>
      </c>
      <c r="G10" s="45" t="s">
        <v>740</v>
      </c>
      <c r="H10" s="69">
        <v>1</v>
      </c>
      <c r="I10" s="67" t="str">
        <f t="shared" si="2"/>
        <v/>
      </c>
      <c r="J10" s="133"/>
      <c r="K10" s="133"/>
      <c r="L10" s="29"/>
      <c r="M10" s="29"/>
      <c r="N10" s="29"/>
      <c r="O10" s="29"/>
      <c r="P10" s="29"/>
      <c r="Q10" s="29"/>
      <c r="R10" s="29"/>
      <c r="S10" s="29"/>
      <c r="T10" s="57"/>
      <c r="U10" s="29"/>
      <c r="V10" s="29"/>
      <c r="W10" s="81"/>
      <c r="X10" s="85"/>
      <c r="Y10" s="81"/>
      <c r="AA10" s="72">
        <v>1</v>
      </c>
      <c r="AB10" s="72" t="str">
        <f t="shared" si="3"/>
        <v/>
      </c>
    </row>
    <row r="11" spans="1:28" s="55" customFormat="1" ht="30" customHeight="1" x14ac:dyDescent="0.2">
      <c r="A11" s="27">
        <v>526</v>
      </c>
      <c r="B11" s="33" t="str">
        <f t="shared" si="0"/>
        <v>3.1.03</v>
      </c>
      <c r="C11" s="3">
        <f t="shared" si="1"/>
        <v>5</v>
      </c>
      <c r="D11" s="3"/>
      <c r="E11" s="121">
        <v>3</v>
      </c>
      <c r="F11" s="31" t="s">
        <v>792</v>
      </c>
      <c r="G11" s="45" t="s">
        <v>740</v>
      </c>
      <c r="H11" s="67">
        <v>1</v>
      </c>
      <c r="I11" s="67" t="str">
        <f t="shared" si="2"/>
        <v/>
      </c>
      <c r="J11" s="133"/>
      <c r="K11" s="133"/>
      <c r="L11" s="29"/>
      <c r="M11" s="29"/>
      <c r="N11" s="29"/>
      <c r="O11" s="29"/>
      <c r="P11" s="29"/>
      <c r="Q11" s="29"/>
      <c r="R11" s="29"/>
      <c r="S11" s="29"/>
      <c r="T11" s="57"/>
      <c r="U11" s="29"/>
      <c r="V11" s="29"/>
      <c r="W11" s="81"/>
      <c r="X11" s="85"/>
      <c r="Y11" s="81"/>
      <c r="AA11" s="72">
        <v>1</v>
      </c>
      <c r="AB11" s="72" t="str">
        <f t="shared" si="3"/>
        <v/>
      </c>
    </row>
    <row r="12" spans="1:28" s="55" customFormat="1" ht="32" x14ac:dyDescent="0.2">
      <c r="A12" s="27">
        <v>527</v>
      </c>
      <c r="B12" s="33" t="str">
        <f t="shared" si="0"/>
        <v>3.1.04</v>
      </c>
      <c r="C12" s="3">
        <f t="shared" si="1"/>
        <v>5</v>
      </c>
      <c r="D12" s="3"/>
      <c r="E12" s="121">
        <v>4</v>
      </c>
      <c r="F12" s="31" t="s">
        <v>793</v>
      </c>
      <c r="G12" s="45" t="s">
        <v>794</v>
      </c>
      <c r="H12" s="67">
        <v>2</v>
      </c>
      <c r="I12" s="67" t="str">
        <f t="shared" si="2"/>
        <v/>
      </c>
      <c r="J12" s="133"/>
      <c r="K12" s="133"/>
      <c r="L12" s="29"/>
      <c r="M12" s="29"/>
      <c r="N12" s="29"/>
      <c r="O12" s="29"/>
      <c r="P12" s="29"/>
      <c r="Q12" s="29"/>
      <c r="R12" s="29"/>
      <c r="S12" s="29"/>
      <c r="T12" s="57"/>
      <c r="U12" s="29"/>
      <c r="V12" s="29"/>
      <c r="W12" s="81"/>
      <c r="X12" s="85"/>
      <c r="Y12" s="81"/>
      <c r="AA12" s="72">
        <v>1</v>
      </c>
      <c r="AB12" s="72" t="str">
        <f t="shared" si="3"/>
        <v/>
      </c>
    </row>
    <row r="13" spans="1:28" s="55" customFormat="1" ht="30" customHeight="1" x14ac:dyDescent="0.2">
      <c r="A13" s="27">
        <v>528</v>
      </c>
      <c r="B13" s="33" t="str">
        <f t="shared" si="0"/>
        <v>3.1.05</v>
      </c>
      <c r="C13" s="3">
        <f t="shared" si="1"/>
        <v>5</v>
      </c>
      <c r="D13" s="3"/>
      <c r="E13" s="121">
        <v>5</v>
      </c>
      <c r="F13" s="31" t="s">
        <v>795</v>
      </c>
      <c r="G13" s="45" t="s">
        <v>740</v>
      </c>
      <c r="H13" s="67">
        <v>1</v>
      </c>
      <c r="I13" s="67" t="str">
        <f t="shared" si="2"/>
        <v/>
      </c>
      <c r="J13" s="133"/>
      <c r="K13" s="133"/>
      <c r="L13" s="29"/>
      <c r="M13" s="29"/>
      <c r="N13" s="29"/>
      <c r="O13" s="29"/>
      <c r="P13" s="29"/>
      <c r="Q13" s="29"/>
      <c r="R13" s="29"/>
      <c r="S13" s="29"/>
      <c r="T13" s="57"/>
      <c r="U13" s="29"/>
      <c r="V13" s="29"/>
      <c r="W13" s="81"/>
      <c r="X13" s="85"/>
      <c r="Y13" s="81"/>
      <c r="AA13" s="72">
        <v>1</v>
      </c>
      <c r="AB13" s="72" t="str">
        <f t="shared" si="3"/>
        <v/>
      </c>
    </row>
    <row r="14" spans="1:28" s="55" customFormat="1" ht="32" x14ac:dyDescent="0.2">
      <c r="A14" s="27">
        <v>529</v>
      </c>
      <c r="B14" s="28" t="str">
        <f t="shared" si="0"/>
        <v>3.1.06</v>
      </c>
      <c r="C14" s="29">
        <f t="shared" si="1"/>
        <v>5</v>
      </c>
      <c r="D14" s="3"/>
      <c r="E14" s="121">
        <v>6</v>
      </c>
      <c r="F14" s="31" t="s">
        <v>796</v>
      </c>
      <c r="G14" s="45" t="s">
        <v>797</v>
      </c>
      <c r="H14" s="67">
        <v>2</v>
      </c>
      <c r="I14" s="67" t="str">
        <f t="shared" si="2"/>
        <v/>
      </c>
      <c r="J14" s="133"/>
      <c r="K14" s="133"/>
      <c r="L14" s="29"/>
      <c r="M14" s="29"/>
      <c r="N14" s="29"/>
      <c r="O14" s="29"/>
      <c r="P14" s="29"/>
      <c r="Q14" s="29"/>
      <c r="R14" s="29"/>
      <c r="S14" s="29"/>
      <c r="T14" s="57"/>
      <c r="U14" s="29"/>
      <c r="V14" s="29"/>
      <c r="W14" s="81"/>
      <c r="X14" s="85"/>
      <c r="Y14" s="81"/>
      <c r="AA14" s="72">
        <v>1</v>
      </c>
      <c r="AB14" s="72" t="str">
        <f t="shared" si="3"/>
        <v/>
      </c>
    </row>
    <row r="15" spans="1:28" s="55" customFormat="1" ht="32" x14ac:dyDescent="0.2">
      <c r="A15" s="27">
        <v>530</v>
      </c>
      <c r="B15" s="28" t="str">
        <f t="shared" si="0"/>
        <v>3.1.07</v>
      </c>
      <c r="C15" s="29">
        <f t="shared" si="1"/>
        <v>5</v>
      </c>
      <c r="D15" s="3"/>
      <c r="E15" s="121">
        <v>7</v>
      </c>
      <c r="F15" s="31" t="s">
        <v>798</v>
      </c>
      <c r="G15" s="45" t="s">
        <v>740</v>
      </c>
      <c r="H15" s="67">
        <v>1</v>
      </c>
      <c r="I15" s="67" t="str">
        <f t="shared" si="2"/>
        <v/>
      </c>
      <c r="J15" s="133"/>
      <c r="K15" s="133"/>
      <c r="L15" s="29"/>
      <c r="M15" s="29"/>
      <c r="N15" s="29"/>
      <c r="O15" s="29"/>
      <c r="P15" s="29"/>
      <c r="Q15" s="29"/>
      <c r="R15" s="29"/>
      <c r="S15" s="29"/>
      <c r="T15" s="57"/>
      <c r="U15" s="29"/>
      <c r="V15" s="29"/>
      <c r="W15" s="81"/>
      <c r="X15" s="85"/>
      <c r="Y15" s="81"/>
      <c r="AA15" s="72">
        <v>1</v>
      </c>
      <c r="AB15" s="72" t="str">
        <f t="shared" si="3"/>
        <v/>
      </c>
    </row>
    <row r="16" spans="1:28" s="55" customFormat="1" ht="16" x14ac:dyDescent="0.2">
      <c r="A16" s="27">
        <v>531</v>
      </c>
      <c r="B16" s="28" t="str">
        <f t="shared" si="0"/>
        <v>3.1.08</v>
      </c>
      <c r="C16" s="29">
        <f t="shared" si="1"/>
        <v>5</v>
      </c>
      <c r="D16" s="3"/>
      <c r="E16" s="121">
        <v>8</v>
      </c>
      <c r="F16" s="31" t="s">
        <v>799</v>
      </c>
      <c r="G16" s="45" t="s">
        <v>738</v>
      </c>
      <c r="H16" s="67">
        <v>1</v>
      </c>
      <c r="I16" s="67" t="str">
        <f t="shared" si="2"/>
        <v/>
      </c>
      <c r="J16" s="133"/>
      <c r="K16" s="133"/>
      <c r="L16" s="29"/>
      <c r="M16" s="29"/>
      <c r="N16" s="29"/>
      <c r="O16" s="29"/>
      <c r="P16" s="29"/>
      <c r="Q16" s="29"/>
      <c r="R16" s="29"/>
      <c r="S16" s="29"/>
      <c r="T16" s="57"/>
      <c r="U16" s="29"/>
      <c r="V16" s="29"/>
      <c r="W16" s="81"/>
      <c r="X16" s="85"/>
      <c r="Y16" s="81"/>
      <c r="AA16" s="72">
        <v>1</v>
      </c>
      <c r="AB16" s="72" t="str">
        <f t="shared" si="3"/>
        <v/>
      </c>
    </row>
    <row r="17" spans="1:28" s="55" customFormat="1" ht="32" x14ac:dyDescent="0.2">
      <c r="A17" s="27">
        <v>532</v>
      </c>
      <c r="B17" s="28" t="str">
        <f t="shared" si="0"/>
        <v>3.1.09</v>
      </c>
      <c r="C17" s="29">
        <f t="shared" si="1"/>
        <v>5</v>
      </c>
      <c r="D17" s="3"/>
      <c r="E17" s="121">
        <v>9</v>
      </c>
      <c r="F17" s="31" t="s">
        <v>800</v>
      </c>
      <c r="G17" s="45" t="s">
        <v>794</v>
      </c>
      <c r="H17" s="67">
        <v>1</v>
      </c>
      <c r="I17" s="67" t="str">
        <f t="shared" si="2"/>
        <v/>
      </c>
      <c r="J17" s="133"/>
      <c r="K17" s="133"/>
      <c r="L17" s="29"/>
      <c r="M17" s="29"/>
      <c r="N17" s="29"/>
      <c r="O17" s="29"/>
      <c r="P17" s="29"/>
      <c r="Q17" s="29"/>
      <c r="R17" s="29"/>
      <c r="S17" s="29"/>
      <c r="T17" s="57"/>
      <c r="U17" s="29"/>
      <c r="V17" s="29"/>
      <c r="W17" s="81"/>
      <c r="X17" s="85"/>
      <c r="Y17" s="81"/>
      <c r="AA17" s="72">
        <v>1</v>
      </c>
      <c r="AB17" s="72" t="str">
        <f t="shared" si="3"/>
        <v/>
      </c>
    </row>
    <row r="18" spans="1:28" s="55" customFormat="1" ht="32" x14ac:dyDescent="0.2">
      <c r="A18" s="27">
        <v>533</v>
      </c>
      <c r="B18" s="28" t="str">
        <f t="shared" si="0"/>
        <v>3.1.10</v>
      </c>
      <c r="C18" s="29">
        <f t="shared" si="1"/>
        <v>5</v>
      </c>
      <c r="D18" s="3"/>
      <c r="E18" s="121">
        <v>10</v>
      </c>
      <c r="F18" s="31" t="s">
        <v>801</v>
      </c>
      <c r="G18" s="45" t="s">
        <v>738</v>
      </c>
      <c r="H18" s="67">
        <v>1</v>
      </c>
      <c r="I18" s="67" t="str">
        <f t="shared" si="2"/>
        <v/>
      </c>
      <c r="J18" s="133"/>
      <c r="K18" s="133"/>
      <c r="L18" s="29"/>
      <c r="M18" s="29"/>
      <c r="N18" s="29"/>
      <c r="O18" s="29"/>
      <c r="P18" s="29"/>
      <c r="Q18" s="29"/>
      <c r="R18" s="29"/>
      <c r="S18" s="29"/>
      <c r="T18" s="57"/>
      <c r="U18" s="29"/>
      <c r="V18" s="29"/>
      <c r="W18" s="81"/>
      <c r="X18" s="85"/>
      <c r="Y18" s="81"/>
      <c r="AA18" s="72">
        <v>1</v>
      </c>
      <c r="AB18" s="72" t="str">
        <f t="shared" si="3"/>
        <v/>
      </c>
    </row>
    <row r="19" spans="1:28" s="56" customFormat="1" ht="16" x14ac:dyDescent="0.2">
      <c r="A19" s="27">
        <v>534</v>
      </c>
      <c r="B19" s="28" t="str">
        <f t="shared" si="0"/>
        <v>3.1.11</v>
      </c>
      <c r="C19" s="29">
        <f t="shared" si="1"/>
        <v>5</v>
      </c>
      <c r="D19" s="3"/>
      <c r="E19" s="126">
        <v>11</v>
      </c>
      <c r="F19" s="40" t="s">
        <v>802</v>
      </c>
      <c r="G19" s="45" t="s">
        <v>740</v>
      </c>
      <c r="H19" s="68">
        <v>1</v>
      </c>
      <c r="I19" s="68" t="str">
        <f t="shared" si="2"/>
        <v/>
      </c>
      <c r="J19" s="134"/>
      <c r="K19" s="134"/>
      <c r="L19" s="37"/>
      <c r="M19" s="37"/>
      <c r="N19" s="37"/>
      <c r="O19" s="37"/>
      <c r="P19" s="37"/>
      <c r="Q19" s="37"/>
      <c r="R19" s="37"/>
      <c r="S19" s="37"/>
      <c r="T19" s="77"/>
      <c r="U19" s="37"/>
      <c r="V19" s="37"/>
      <c r="W19" s="82"/>
      <c r="X19" s="86"/>
      <c r="Y19" s="82"/>
      <c r="AA19" s="73">
        <v>1</v>
      </c>
      <c r="AB19" s="73" t="str">
        <f t="shared" si="3"/>
        <v/>
      </c>
    </row>
    <row r="20" spans="1:28" s="55" customFormat="1" ht="30" customHeight="1" x14ac:dyDescent="0.2">
      <c r="A20" s="27">
        <v>535</v>
      </c>
      <c r="B20" s="28" t="str">
        <f t="shared" si="0"/>
        <v>3.2</v>
      </c>
      <c r="C20" s="29">
        <f t="shared" si="1"/>
        <v>2</v>
      </c>
      <c r="D20" s="3"/>
      <c r="E20" s="122">
        <v>12</v>
      </c>
      <c r="F20" s="45" t="s">
        <v>803</v>
      </c>
      <c r="G20" s="45" t="s">
        <v>738</v>
      </c>
      <c r="H20" s="69">
        <v>1</v>
      </c>
      <c r="I20" s="69" t="str">
        <f t="shared" ref="I20:I34" si="4">IF(ISERROR(VLOOKUP(AA21,detail_maturity_score,3,FALSE)*VLOOKUP(H20,weighting_scores,2,FALSE)),"",VLOOKUP(AA21,detail_maturity_score,3,FALSE)*VLOOKUP(H20,weighting_scores,2,FALSE))</f>
        <v/>
      </c>
      <c r="J20" s="132"/>
      <c r="K20" s="132"/>
      <c r="L20" s="52"/>
      <c r="M20" s="51"/>
      <c r="N20" s="51"/>
      <c r="O20" s="51"/>
      <c r="P20" s="51"/>
      <c r="Q20" s="51"/>
      <c r="R20" s="51"/>
      <c r="S20" s="51"/>
      <c r="T20" s="51"/>
      <c r="U20" s="51"/>
      <c r="V20" s="51"/>
      <c r="W20" s="79"/>
      <c r="X20" s="79"/>
      <c r="Y20" s="83"/>
      <c r="Z20" s="54"/>
      <c r="AA20" s="70"/>
      <c r="AB20" s="70"/>
    </row>
    <row r="21" spans="1:28" s="53" customFormat="1" ht="32" x14ac:dyDescent="0.2">
      <c r="A21" s="27">
        <v>536</v>
      </c>
      <c r="B21" s="28" t="str">
        <f t="shared" si="0"/>
        <v>3.2.01</v>
      </c>
      <c r="C21" s="29">
        <f t="shared" si="1"/>
        <v>5</v>
      </c>
      <c r="D21" s="3"/>
      <c r="E21" s="121">
        <v>13</v>
      </c>
      <c r="F21" s="31" t="s">
        <v>804</v>
      </c>
      <c r="G21" s="45" t="s">
        <v>740</v>
      </c>
      <c r="H21" s="67">
        <v>1</v>
      </c>
      <c r="I21" s="67" t="str">
        <f t="shared" si="4"/>
        <v/>
      </c>
      <c r="J21" s="133"/>
      <c r="K21" s="133"/>
      <c r="L21" s="43"/>
      <c r="M21" s="43"/>
      <c r="N21" s="43"/>
      <c r="O21" s="43"/>
      <c r="P21" s="43"/>
      <c r="Q21" s="43"/>
      <c r="R21" s="43"/>
      <c r="S21" s="43"/>
      <c r="T21" s="78"/>
      <c r="U21" s="43"/>
      <c r="V21" s="43"/>
      <c r="W21" s="80"/>
      <c r="X21" s="84"/>
      <c r="Y21" s="80"/>
      <c r="AA21" s="71">
        <v>1</v>
      </c>
      <c r="AB21" s="71" t="str">
        <f>VLOOKUP(AA21,detail_maturity_score,3,FALSE)</f>
        <v/>
      </c>
    </row>
    <row r="22" spans="1:28" s="55" customFormat="1" ht="30" customHeight="1" x14ac:dyDescent="0.2">
      <c r="A22" s="27">
        <v>537</v>
      </c>
      <c r="B22" s="28" t="str">
        <f t="shared" si="0"/>
        <v>3.2.02</v>
      </c>
      <c r="C22" s="29">
        <f t="shared" si="1"/>
        <v>4</v>
      </c>
      <c r="D22" s="3"/>
      <c r="E22" s="121">
        <v>14</v>
      </c>
      <c r="F22" s="36" t="s">
        <v>805</v>
      </c>
      <c r="G22" s="45" t="s">
        <v>738</v>
      </c>
      <c r="H22" s="67">
        <v>1</v>
      </c>
      <c r="I22" s="67" t="str">
        <f t="shared" si="4"/>
        <v/>
      </c>
      <c r="J22" s="133"/>
      <c r="K22" s="133"/>
      <c r="L22" s="29"/>
      <c r="M22" s="29"/>
      <c r="N22" s="29"/>
      <c r="O22" s="29"/>
      <c r="P22" s="29"/>
      <c r="Q22" s="29"/>
      <c r="R22" s="29"/>
      <c r="S22" s="29"/>
      <c r="T22" s="57"/>
      <c r="U22" s="29"/>
      <c r="V22" s="29"/>
      <c r="W22" s="81"/>
      <c r="X22" s="85"/>
      <c r="Y22" s="81"/>
      <c r="AA22" s="72"/>
      <c r="AB22" s="72"/>
    </row>
    <row r="23" spans="1:28" s="55" customFormat="1" ht="32" x14ac:dyDescent="0.2">
      <c r="A23" s="27">
        <v>538</v>
      </c>
      <c r="B23" s="28" t="str">
        <f t="shared" si="0"/>
        <v>3.2.02a</v>
      </c>
      <c r="C23" s="29">
        <f t="shared" si="1"/>
        <v>6</v>
      </c>
      <c r="D23" s="3"/>
      <c r="E23" s="121">
        <v>15</v>
      </c>
      <c r="F23" s="36" t="s">
        <v>806</v>
      </c>
      <c r="G23" s="45" t="s">
        <v>794</v>
      </c>
      <c r="H23" s="67">
        <v>2</v>
      </c>
      <c r="I23" s="67" t="str">
        <f t="shared" si="4"/>
        <v/>
      </c>
      <c r="J23" s="133"/>
      <c r="K23" s="133"/>
      <c r="L23" s="29"/>
      <c r="M23" s="29"/>
      <c r="N23" s="29"/>
      <c r="O23" s="29"/>
      <c r="P23" s="29"/>
      <c r="Q23" s="29"/>
      <c r="R23" s="29"/>
      <c r="S23" s="29"/>
      <c r="T23" s="57"/>
      <c r="U23" s="29"/>
      <c r="V23" s="29"/>
      <c r="W23" s="81"/>
      <c r="X23" s="85"/>
      <c r="Y23" s="81"/>
      <c r="AA23" s="72">
        <v>1</v>
      </c>
      <c r="AB23" s="72" t="str">
        <f t="shared" ref="AB23:AB29" si="5">VLOOKUP(AA23,detail_maturity_score,3,FALSE)</f>
        <v/>
      </c>
    </row>
    <row r="24" spans="1:28" s="55" customFormat="1" ht="30" customHeight="1" x14ac:dyDescent="0.2">
      <c r="A24" s="27">
        <v>539</v>
      </c>
      <c r="B24" s="28" t="str">
        <f t="shared" si="0"/>
        <v>3.2.02b</v>
      </c>
      <c r="C24" s="29">
        <f t="shared" si="1"/>
        <v>6</v>
      </c>
      <c r="D24" s="3"/>
      <c r="E24" s="121">
        <v>16</v>
      </c>
      <c r="F24" s="36" t="s">
        <v>807</v>
      </c>
      <c r="G24" s="45" t="s">
        <v>740</v>
      </c>
      <c r="H24" s="67">
        <v>1</v>
      </c>
      <c r="I24" s="67" t="str">
        <f t="shared" si="4"/>
        <v/>
      </c>
      <c r="J24" s="133"/>
      <c r="K24" s="133"/>
      <c r="L24" s="29"/>
      <c r="M24" s="29"/>
      <c r="N24" s="29"/>
      <c r="O24" s="29"/>
      <c r="P24" s="29"/>
      <c r="Q24" s="29"/>
      <c r="R24" s="29"/>
      <c r="S24" s="29"/>
      <c r="T24" s="57"/>
      <c r="U24" s="29"/>
      <c r="V24" s="29"/>
      <c r="W24" s="81"/>
      <c r="X24" s="85"/>
      <c r="Y24" s="81"/>
      <c r="AA24" s="72">
        <v>1</v>
      </c>
      <c r="AB24" s="72" t="str">
        <f t="shared" si="5"/>
        <v/>
      </c>
    </row>
    <row r="25" spans="1:28" s="55" customFormat="1" ht="32" x14ac:dyDescent="0.2">
      <c r="A25" s="27">
        <v>540</v>
      </c>
      <c r="B25" s="28" t="str">
        <f t="shared" si="0"/>
        <v>3.2.02c</v>
      </c>
      <c r="C25" s="29">
        <f t="shared" si="1"/>
        <v>6</v>
      </c>
      <c r="D25" s="3"/>
      <c r="E25" s="121">
        <v>17</v>
      </c>
      <c r="F25" s="36" t="s">
        <v>808</v>
      </c>
      <c r="G25" s="45" t="s">
        <v>738</v>
      </c>
      <c r="H25" s="67">
        <v>1</v>
      </c>
      <c r="I25" s="67" t="str">
        <f t="shared" si="4"/>
        <v/>
      </c>
      <c r="J25" s="133"/>
      <c r="K25" s="133"/>
      <c r="L25" s="29"/>
      <c r="M25" s="29"/>
      <c r="N25" s="29"/>
      <c r="O25" s="29"/>
      <c r="P25" s="29"/>
      <c r="Q25" s="29"/>
      <c r="R25" s="29"/>
      <c r="S25" s="29"/>
      <c r="T25" s="57"/>
      <c r="U25" s="29"/>
      <c r="V25" s="29"/>
      <c r="W25" s="81"/>
      <c r="X25" s="85"/>
      <c r="Y25" s="81"/>
      <c r="AA25" s="72">
        <v>1</v>
      </c>
      <c r="AB25" s="72" t="str">
        <f t="shared" si="5"/>
        <v/>
      </c>
    </row>
    <row r="26" spans="1:28" s="55" customFormat="1" ht="30" customHeight="1" x14ac:dyDescent="0.2">
      <c r="A26" s="27">
        <v>541</v>
      </c>
      <c r="B26" s="28" t="str">
        <f t="shared" si="0"/>
        <v>3.2.02d</v>
      </c>
      <c r="C26" s="29">
        <f t="shared" si="1"/>
        <v>6</v>
      </c>
      <c r="D26" s="3"/>
      <c r="E26" s="121">
        <v>18</v>
      </c>
      <c r="F26" s="36" t="s">
        <v>809</v>
      </c>
      <c r="G26" s="45" t="s">
        <v>810</v>
      </c>
      <c r="H26" s="67">
        <v>4</v>
      </c>
      <c r="I26" s="67" t="str">
        <f t="shared" si="4"/>
        <v/>
      </c>
      <c r="J26" s="133"/>
      <c r="K26" s="133"/>
      <c r="L26" s="29"/>
      <c r="M26" s="29"/>
      <c r="N26" s="29"/>
      <c r="O26" s="29"/>
      <c r="P26" s="29"/>
      <c r="Q26" s="29"/>
      <c r="R26" s="29"/>
      <c r="S26" s="29"/>
      <c r="T26" s="57"/>
      <c r="U26" s="29"/>
      <c r="V26" s="29"/>
      <c r="W26" s="81"/>
      <c r="X26" s="85"/>
      <c r="Y26" s="81"/>
      <c r="AA26" s="72">
        <v>1</v>
      </c>
      <c r="AB26" s="72" t="str">
        <f t="shared" si="5"/>
        <v/>
      </c>
    </row>
    <row r="27" spans="1:28" s="55" customFormat="1" ht="30" customHeight="1" x14ac:dyDescent="0.2">
      <c r="A27" s="27">
        <v>542</v>
      </c>
      <c r="B27" s="28" t="str">
        <f t="shared" si="0"/>
        <v>3.2.02e</v>
      </c>
      <c r="C27" s="29">
        <f t="shared" si="1"/>
        <v>6</v>
      </c>
      <c r="D27" s="3"/>
      <c r="E27" s="121">
        <v>19</v>
      </c>
      <c r="F27" s="31" t="s">
        <v>811</v>
      </c>
      <c r="G27" s="45" t="s">
        <v>794</v>
      </c>
      <c r="H27" s="67">
        <v>2</v>
      </c>
      <c r="I27" s="67" t="str">
        <f t="shared" si="4"/>
        <v/>
      </c>
      <c r="J27" s="133"/>
      <c r="K27" s="133"/>
      <c r="L27" s="29"/>
      <c r="M27" s="29"/>
      <c r="N27" s="29"/>
      <c r="O27" s="29"/>
      <c r="P27" s="29"/>
      <c r="Q27" s="29"/>
      <c r="R27" s="29"/>
      <c r="S27" s="29"/>
      <c r="T27" s="57"/>
      <c r="U27" s="29"/>
      <c r="V27" s="29"/>
      <c r="W27" s="81"/>
      <c r="X27" s="85"/>
      <c r="Y27" s="81"/>
      <c r="AA27" s="72">
        <v>1</v>
      </c>
      <c r="AB27" s="72" t="str">
        <f t="shared" si="5"/>
        <v/>
      </c>
    </row>
    <row r="28" spans="1:28" s="55" customFormat="1" ht="16" x14ac:dyDescent="0.2">
      <c r="A28" s="27">
        <v>543</v>
      </c>
      <c r="B28" s="28" t="str">
        <f t="shared" si="0"/>
        <v>3.2.03</v>
      </c>
      <c r="C28" s="29">
        <f t="shared" si="1"/>
        <v>5</v>
      </c>
      <c r="D28" s="3"/>
      <c r="E28" s="121">
        <v>20</v>
      </c>
      <c r="F28" s="31" t="s">
        <v>812</v>
      </c>
      <c r="G28" s="45" t="s">
        <v>740</v>
      </c>
      <c r="H28" s="67">
        <v>1</v>
      </c>
      <c r="I28" s="67" t="str">
        <f t="shared" si="4"/>
        <v/>
      </c>
      <c r="J28" s="133"/>
      <c r="K28" s="133"/>
      <c r="L28" s="29"/>
      <c r="M28" s="29"/>
      <c r="N28" s="29"/>
      <c r="O28" s="29"/>
      <c r="P28" s="29"/>
      <c r="Q28" s="29"/>
      <c r="R28" s="29"/>
      <c r="S28" s="29"/>
      <c r="T28" s="57"/>
      <c r="U28" s="29"/>
      <c r="V28" s="29"/>
      <c r="W28" s="81"/>
      <c r="X28" s="85"/>
      <c r="Y28" s="81"/>
      <c r="AA28" s="72">
        <v>1</v>
      </c>
      <c r="AB28" s="72" t="str">
        <f t="shared" si="5"/>
        <v/>
      </c>
    </row>
    <row r="29" spans="1:28" s="55" customFormat="1" ht="16" x14ac:dyDescent="0.2">
      <c r="A29" s="27">
        <v>544</v>
      </c>
      <c r="B29" s="28" t="str">
        <f t="shared" si="0"/>
        <v>3.2.04</v>
      </c>
      <c r="C29" s="29">
        <f t="shared" si="1"/>
        <v>5</v>
      </c>
      <c r="D29" s="3"/>
      <c r="E29" s="121">
        <v>21</v>
      </c>
      <c r="F29" s="31" t="s">
        <v>813</v>
      </c>
      <c r="G29" s="45" t="s">
        <v>740</v>
      </c>
      <c r="H29" s="67">
        <v>1</v>
      </c>
      <c r="I29" s="67" t="str">
        <f t="shared" si="4"/>
        <v/>
      </c>
      <c r="J29" s="133"/>
      <c r="K29" s="133"/>
      <c r="L29" s="29"/>
      <c r="M29" s="29"/>
      <c r="N29" s="29"/>
      <c r="O29" s="29"/>
      <c r="P29" s="29"/>
      <c r="Q29" s="29"/>
      <c r="R29" s="29"/>
      <c r="S29" s="29"/>
      <c r="T29" s="57"/>
      <c r="U29" s="29"/>
      <c r="V29" s="29"/>
      <c r="W29" s="81"/>
      <c r="X29" s="85"/>
      <c r="Y29" s="81"/>
      <c r="AA29" s="72">
        <v>1</v>
      </c>
      <c r="AB29" s="72" t="str">
        <f t="shared" si="5"/>
        <v/>
      </c>
    </row>
    <row r="30" spans="1:28" s="55" customFormat="1" ht="30" customHeight="1" x14ac:dyDescent="0.2">
      <c r="A30" s="27">
        <v>545</v>
      </c>
      <c r="B30" s="28" t="str">
        <f t="shared" si="0"/>
        <v>3.2.05</v>
      </c>
      <c r="C30" s="29">
        <f t="shared" si="1"/>
        <v>4</v>
      </c>
      <c r="D30" s="3"/>
      <c r="E30" s="121">
        <v>22</v>
      </c>
      <c r="F30" s="36" t="s">
        <v>814</v>
      </c>
      <c r="G30" s="45" t="s">
        <v>738</v>
      </c>
      <c r="H30" s="67">
        <v>1</v>
      </c>
      <c r="I30" s="67" t="str">
        <f t="shared" si="4"/>
        <v/>
      </c>
      <c r="J30" s="133"/>
      <c r="K30" s="133"/>
      <c r="L30" s="29"/>
      <c r="M30" s="29"/>
      <c r="N30" s="29"/>
      <c r="O30" s="29"/>
      <c r="P30" s="29"/>
      <c r="Q30" s="29"/>
      <c r="R30" s="29"/>
      <c r="S30" s="29"/>
      <c r="T30" s="57"/>
      <c r="U30" s="29"/>
      <c r="V30" s="29"/>
      <c r="W30" s="81"/>
      <c r="X30" s="85"/>
      <c r="Y30" s="81"/>
      <c r="AA30" s="72"/>
      <c r="AB30" s="72"/>
    </row>
    <row r="31" spans="1:28" s="55" customFormat="1" ht="32" x14ac:dyDescent="0.2">
      <c r="A31" s="27">
        <v>546</v>
      </c>
      <c r="B31" s="28" t="str">
        <f t="shared" si="0"/>
        <v>3.2.05a</v>
      </c>
      <c r="C31" s="29">
        <f t="shared" si="1"/>
        <v>6</v>
      </c>
      <c r="D31" s="3"/>
      <c r="E31" s="121">
        <v>23</v>
      </c>
      <c r="F31" s="36" t="s">
        <v>815</v>
      </c>
      <c r="G31" s="45" t="s">
        <v>740</v>
      </c>
      <c r="H31" s="67">
        <v>1</v>
      </c>
      <c r="I31" s="67" t="str">
        <f t="shared" si="4"/>
        <v/>
      </c>
      <c r="J31" s="133"/>
      <c r="K31" s="133"/>
      <c r="L31" s="29"/>
      <c r="M31" s="29"/>
      <c r="N31" s="29"/>
      <c r="O31" s="29"/>
      <c r="P31" s="29"/>
      <c r="Q31" s="29"/>
      <c r="R31" s="29"/>
      <c r="S31" s="29"/>
      <c r="T31" s="57"/>
      <c r="U31" s="29"/>
      <c r="V31" s="29"/>
      <c r="W31" s="81"/>
      <c r="X31" s="85"/>
      <c r="Y31" s="81"/>
      <c r="AA31" s="72">
        <v>1</v>
      </c>
      <c r="AB31" s="72" t="str">
        <f>VLOOKUP(AA31,detail_maturity_score,3,FALSE)</f>
        <v/>
      </c>
    </row>
    <row r="32" spans="1:28" s="55" customFormat="1" ht="32" x14ac:dyDescent="0.2">
      <c r="A32" s="27">
        <v>547</v>
      </c>
      <c r="B32" s="28" t="str">
        <f t="shared" si="0"/>
        <v>3.2.05b</v>
      </c>
      <c r="C32" s="29">
        <f t="shared" si="1"/>
        <v>6</v>
      </c>
      <c r="D32" s="3"/>
      <c r="E32" s="121">
        <v>24</v>
      </c>
      <c r="F32" s="36" t="s">
        <v>816</v>
      </c>
      <c r="G32" s="45" t="s">
        <v>740</v>
      </c>
      <c r="H32" s="67">
        <v>1</v>
      </c>
      <c r="I32" s="67" t="str">
        <f t="shared" si="4"/>
        <v/>
      </c>
      <c r="J32" s="133"/>
      <c r="K32" s="133"/>
      <c r="L32" s="29"/>
      <c r="M32" s="29"/>
      <c r="N32" s="29"/>
      <c r="O32" s="29"/>
      <c r="P32" s="29"/>
      <c r="Q32" s="29"/>
      <c r="R32" s="29"/>
      <c r="S32" s="29"/>
      <c r="T32" s="57"/>
      <c r="U32" s="29"/>
      <c r="V32" s="29"/>
      <c r="W32" s="81"/>
      <c r="X32" s="85"/>
      <c r="Y32" s="81"/>
      <c r="AA32" s="72">
        <v>1</v>
      </c>
      <c r="AB32" s="72" t="str">
        <f>VLOOKUP(AA32,detail_maturity_score,3,FALSE)</f>
        <v/>
      </c>
    </row>
    <row r="33" spans="1:28" s="55" customFormat="1" ht="32" x14ac:dyDescent="0.2">
      <c r="A33" s="27">
        <v>548</v>
      </c>
      <c r="B33" s="28" t="str">
        <f t="shared" si="0"/>
        <v>3.2.05c</v>
      </c>
      <c r="C33" s="29">
        <f t="shared" si="1"/>
        <v>6</v>
      </c>
      <c r="D33" s="3"/>
      <c r="E33" s="121">
        <v>25</v>
      </c>
      <c r="F33" s="31" t="s">
        <v>817</v>
      </c>
      <c r="G33" s="45" t="s">
        <v>794</v>
      </c>
      <c r="H33" s="67">
        <v>2</v>
      </c>
      <c r="I33" s="67" t="str">
        <f t="shared" si="4"/>
        <v/>
      </c>
      <c r="J33" s="133"/>
      <c r="K33" s="133"/>
      <c r="L33" s="29"/>
      <c r="M33" s="29"/>
      <c r="N33" s="29"/>
      <c r="O33" s="29"/>
      <c r="P33" s="29"/>
      <c r="Q33" s="29"/>
      <c r="R33" s="29"/>
      <c r="S33" s="29"/>
      <c r="T33" s="57"/>
      <c r="U33" s="29"/>
      <c r="V33" s="29"/>
      <c r="W33" s="81"/>
      <c r="X33" s="85"/>
      <c r="Y33" s="81"/>
      <c r="AA33" s="72">
        <v>1</v>
      </c>
      <c r="AB33" s="72" t="str">
        <f>VLOOKUP(AA33,detail_maturity_score,3,FALSE)</f>
        <v/>
      </c>
    </row>
    <row r="34" spans="1:28" s="55" customFormat="1" ht="32" x14ac:dyDescent="0.2">
      <c r="A34" s="27">
        <v>549</v>
      </c>
      <c r="B34" s="28" t="str">
        <f t="shared" si="0"/>
        <v>3.2.06</v>
      </c>
      <c r="C34" s="29">
        <f t="shared" si="1"/>
        <v>5</v>
      </c>
      <c r="D34" s="3"/>
      <c r="E34" s="126">
        <v>26</v>
      </c>
      <c r="F34" s="40" t="s">
        <v>818</v>
      </c>
      <c r="G34" s="45" t="s">
        <v>794</v>
      </c>
      <c r="H34" s="68">
        <v>2</v>
      </c>
      <c r="I34" s="68" t="str">
        <f t="shared" si="4"/>
        <v/>
      </c>
      <c r="J34" s="134"/>
      <c r="K34" s="134"/>
      <c r="L34" s="29"/>
      <c r="M34" s="29"/>
      <c r="N34" s="29"/>
      <c r="O34" s="29"/>
      <c r="P34" s="29"/>
      <c r="Q34" s="29"/>
      <c r="R34" s="29"/>
      <c r="S34" s="29"/>
      <c r="T34" s="57"/>
      <c r="U34" s="29"/>
      <c r="V34" s="29"/>
      <c r="W34" s="81"/>
      <c r="X34" s="85"/>
      <c r="Y34" s="81"/>
      <c r="AA34" s="72">
        <v>1</v>
      </c>
      <c r="AB34" s="72" t="str">
        <f>VLOOKUP(AA34,detail_maturity_score,3,FALSE)</f>
        <v/>
      </c>
    </row>
    <row r="35" spans="1:28" s="55" customFormat="1" ht="32" x14ac:dyDescent="0.2">
      <c r="A35" s="27">
        <v>550</v>
      </c>
      <c r="B35" s="28" t="str">
        <f t="shared" si="0"/>
        <v>3.2.07</v>
      </c>
      <c r="C35" s="29">
        <f t="shared" si="1"/>
        <v>5</v>
      </c>
      <c r="D35" s="3"/>
      <c r="E35" s="121">
        <v>27</v>
      </c>
      <c r="F35" s="31" t="s">
        <v>819</v>
      </c>
      <c r="G35" s="45" t="s">
        <v>794</v>
      </c>
      <c r="H35" s="67">
        <v>2</v>
      </c>
      <c r="I35" s="67" t="str">
        <f t="shared" ref="I35:I50" si="6">IF(ISERROR(VLOOKUP(AA38,detail_maturity_score,3,FALSE)*VLOOKUP(H35,weighting_scores,2,FALSE)),"",VLOOKUP(AA38,detail_maturity_score,3,FALSE)*VLOOKUP(H35,weighting_scores,2,FALSE))</f>
        <v/>
      </c>
      <c r="J35" s="133"/>
      <c r="K35" s="136"/>
      <c r="L35" s="37"/>
      <c r="M35" s="37"/>
      <c r="N35" s="37"/>
      <c r="O35" s="37"/>
      <c r="P35" s="37"/>
      <c r="Q35" s="37"/>
      <c r="R35" s="37"/>
      <c r="S35" s="37"/>
      <c r="T35" s="77"/>
      <c r="U35" s="37"/>
      <c r="V35" s="37"/>
      <c r="W35" s="82"/>
      <c r="X35" s="86"/>
      <c r="Y35" s="82"/>
      <c r="Z35" s="56"/>
      <c r="AA35" s="72">
        <v>1</v>
      </c>
      <c r="AB35" s="73" t="str">
        <f>VLOOKUP(AA35,detail_maturity_score,3,FALSE)</f>
        <v/>
      </c>
    </row>
    <row r="36" spans="1:28" s="54" customFormat="1" ht="30" customHeight="1" x14ac:dyDescent="0.2">
      <c r="A36" s="27">
        <v>551</v>
      </c>
      <c r="B36" s="28" t="str">
        <f t="shared" si="0"/>
        <v>3.3</v>
      </c>
      <c r="C36" s="29">
        <f t="shared" si="1"/>
        <v>2</v>
      </c>
      <c r="D36" s="3"/>
      <c r="E36" s="121">
        <v>28</v>
      </c>
      <c r="F36" s="31" t="s">
        <v>820</v>
      </c>
      <c r="G36" s="45" t="s">
        <v>740</v>
      </c>
      <c r="H36" s="67">
        <v>1</v>
      </c>
      <c r="I36" s="67" t="str">
        <f t="shared" si="6"/>
        <v/>
      </c>
      <c r="J36" s="133"/>
      <c r="K36" s="132"/>
      <c r="L36" s="52"/>
      <c r="M36" s="51"/>
      <c r="N36" s="51"/>
      <c r="O36" s="51"/>
      <c r="P36" s="51"/>
      <c r="Q36" s="51"/>
      <c r="R36" s="51"/>
      <c r="S36" s="51"/>
      <c r="T36" s="51"/>
      <c r="U36" s="51"/>
      <c r="V36" s="51"/>
      <c r="W36" s="79"/>
      <c r="X36" s="79"/>
      <c r="Y36" s="83"/>
      <c r="AA36" s="72"/>
      <c r="AB36" s="70"/>
    </row>
    <row r="37" spans="1:28" s="55" customFormat="1" ht="32" x14ac:dyDescent="0.2">
      <c r="A37" s="27">
        <v>552</v>
      </c>
      <c r="B37" s="28" t="str">
        <f t="shared" si="0"/>
        <v>3.3.01</v>
      </c>
      <c r="C37" s="29">
        <f t="shared" si="1"/>
        <v>5</v>
      </c>
      <c r="D37" s="3"/>
      <c r="E37" s="121">
        <v>29</v>
      </c>
      <c r="F37" s="36" t="s">
        <v>821</v>
      </c>
      <c r="G37" s="45" t="s">
        <v>738</v>
      </c>
      <c r="H37" s="67">
        <v>1</v>
      </c>
      <c r="I37" s="67" t="str">
        <f t="shared" si="6"/>
        <v/>
      </c>
      <c r="J37" s="133"/>
      <c r="K37" s="133"/>
      <c r="L37" s="43"/>
      <c r="M37" s="43"/>
      <c r="N37" s="43"/>
      <c r="O37" s="43"/>
      <c r="P37" s="43"/>
      <c r="Q37" s="43"/>
      <c r="R37" s="43"/>
      <c r="S37" s="43"/>
      <c r="T37" s="78"/>
      <c r="U37" s="43"/>
      <c r="V37" s="43"/>
      <c r="W37" s="80"/>
      <c r="X37" s="84"/>
      <c r="Y37" s="80"/>
      <c r="Z37" s="53"/>
      <c r="AA37" s="72">
        <v>1</v>
      </c>
      <c r="AB37" s="71" t="str">
        <f>VLOOKUP(AA37,detail_maturity_score,3,FALSE)</f>
        <v/>
      </c>
    </row>
    <row r="38" spans="1:28" s="55" customFormat="1" ht="32" x14ac:dyDescent="0.2">
      <c r="A38" s="27">
        <v>553</v>
      </c>
      <c r="B38" s="28" t="str">
        <f t="shared" si="0"/>
        <v>3.3.02</v>
      </c>
      <c r="C38" s="29">
        <f t="shared" si="1"/>
        <v>5</v>
      </c>
      <c r="D38" s="3"/>
      <c r="E38" s="121">
        <v>30</v>
      </c>
      <c r="F38" s="36" t="s">
        <v>822</v>
      </c>
      <c r="G38" s="45" t="s">
        <v>740</v>
      </c>
      <c r="H38" s="67">
        <v>1</v>
      </c>
      <c r="I38" s="67" t="str">
        <f t="shared" si="6"/>
        <v/>
      </c>
      <c r="J38" s="133"/>
      <c r="K38" s="133"/>
      <c r="L38" s="29"/>
      <c r="M38" s="29"/>
      <c r="N38" s="29"/>
      <c r="O38" s="29"/>
      <c r="P38" s="29"/>
      <c r="Q38" s="29"/>
      <c r="R38" s="29"/>
      <c r="S38" s="29"/>
      <c r="T38" s="57"/>
      <c r="U38" s="29"/>
      <c r="V38" s="29"/>
      <c r="W38" s="81"/>
      <c r="X38" s="85"/>
      <c r="Y38" s="81"/>
      <c r="AA38" s="72">
        <v>1</v>
      </c>
      <c r="AB38" s="72" t="str">
        <f>VLOOKUP(AA38,detail_maturity_score,3,FALSE)</f>
        <v/>
      </c>
    </row>
    <row r="39" spans="1:28" s="55" customFormat="1" ht="32" x14ac:dyDescent="0.2">
      <c r="A39" s="27">
        <v>554</v>
      </c>
      <c r="B39" s="28" t="str">
        <f t="shared" si="0"/>
        <v>3.3.03</v>
      </c>
      <c r="C39" s="29">
        <f t="shared" si="1"/>
        <v>4</v>
      </c>
      <c r="D39" s="3"/>
      <c r="E39" s="121">
        <v>31</v>
      </c>
      <c r="F39" s="36" t="s">
        <v>823</v>
      </c>
      <c r="G39" s="45" t="s">
        <v>740</v>
      </c>
      <c r="H39" s="67">
        <v>1</v>
      </c>
      <c r="I39" s="67" t="str">
        <f t="shared" si="6"/>
        <v/>
      </c>
      <c r="J39" s="133"/>
      <c r="K39" s="133"/>
      <c r="L39" s="29"/>
      <c r="M39" s="29"/>
      <c r="N39" s="29"/>
      <c r="O39" s="29"/>
      <c r="P39" s="29"/>
      <c r="Q39" s="29"/>
      <c r="R39" s="29"/>
      <c r="S39" s="29"/>
      <c r="T39" s="57"/>
      <c r="U39" s="29"/>
      <c r="V39" s="29"/>
      <c r="W39" s="81"/>
      <c r="X39" s="85"/>
      <c r="Y39" s="81"/>
      <c r="AA39" s="72"/>
      <c r="AB39" s="72"/>
    </row>
    <row r="40" spans="1:28" s="55" customFormat="1" ht="32" x14ac:dyDescent="0.2">
      <c r="A40" s="27">
        <v>555</v>
      </c>
      <c r="B40" s="28" t="str">
        <f t="shared" ref="B40:B71" si="7">VLOOKUP(A40,contentref,2,FALSE)</f>
        <v>3.3.03a</v>
      </c>
      <c r="C40" s="29">
        <f t="shared" ref="C40:C71" si="8">VLOOKUP(A40,contentref,15,FALSE)</f>
        <v>6</v>
      </c>
      <c r="D40" s="3"/>
      <c r="E40" s="121">
        <v>32</v>
      </c>
      <c r="F40" s="36" t="s">
        <v>824</v>
      </c>
      <c r="G40" s="45" t="s">
        <v>794</v>
      </c>
      <c r="H40" s="67">
        <v>2</v>
      </c>
      <c r="I40" s="67" t="str">
        <f t="shared" si="6"/>
        <v/>
      </c>
      <c r="J40" s="133"/>
      <c r="K40" s="133"/>
      <c r="L40" s="29"/>
      <c r="M40" s="29"/>
      <c r="N40" s="29"/>
      <c r="O40" s="29"/>
      <c r="P40" s="29"/>
      <c r="Q40" s="29"/>
      <c r="R40" s="29"/>
      <c r="S40" s="29"/>
      <c r="T40" s="57"/>
      <c r="U40" s="29"/>
      <c r="V40" s="29"/>
      <c r="W40" s="81"/>
      <c r="X40" s="85"/>
      <c r="Y40" s="81"/>
      <c r="AA40" s="72">
        <v>1</v>
      </c>
      <c r="AB40" s="72" t="str">
        <f t="shared" ref="AB40:AB48" si="9">VLOOKUP(AA40,detail_maturity_score,3,FALSE)</f>
        <v/>
      </c>
    </row>
    <row r="41" spans="1:28" s="55" customFormat="1" ht="30" customHeight="1" x14ac:dyDescent="0.2">
      <c r="A41" s="27">
        <v>556</v>
      </c>
      <c r="B41" s="28" t="str">
        <f t="shared" si="7"/>
        <v>3.3.03b</v>
      </c>
      <c r="C41" s="29">
        <f t="shared" si="8"/>
        <v>6</v>
      </c>
      <c r="D41" s="3"/>
      <c r="E41" s="121">
        <v>33</v>
      </c>
      <c r="F41" s="36" t="s">
        <v>825</v>
      </c>
      <c r="G41" s="45" t="s">
        <v>740</v>
      </c>
      <c r="H41" s="67">
        <v>1</v>
      </c>
      <c r="I41" s="67" t="str">
        <f t="shared" si="6"/>
        <v/>
      </c>
      <c r="J41" s="133"/>
      <c r="K41" s="133"/>
      <c r="L41" s="29"/>
      <c r="M41" s="29"/>
      <c r="N41" s="29"/>
      <c r="O41" s="29"/>
      <c r="P41" s="29"/>
      <c r="Q41" s="29"/>
      <c r="R41" s="29"/>
      <c r="S41" s="29"/>
      <c r="T41" s="57"/>
      <c r="U41" s="29"/>
      <c r="V41" s="29"/>
      <c r="W41" s="81"/>
      <c r="X41" s="85"/>
      <c r="Y41" s="81"/>
      <c r="AA41" s="72">
        <v>1</v>
      </c>
      <c r="AB41" s="72" t="str">
        <f t="shared" si="9"/>
        <v/>
      </c>
    </row>
    <row r="42" spans="1:28" s="55" customFormat="1" ht="30" customHeight="1" x14ac:dyDescent="0.2">
      <c r="A42" s="27">
        <v>557</v>
      </c>
      <c r="B42" s="28" t="str">
        <f t="shared" si="7"/>
        <v>3.3.03c</v>
      </c>
      <c r="C42" s="29">
        <f t="shared" si="8"/>
        <v>6</v>
      </c>
      <c r="D42" s="3"/>
      <c r="E42" s="121">
        <v>34</v>
      </c>
      <c r="F42" s="36" t="s">
        <v>826</v>
      </c>
      <c r="G42" s="45" t="s">
        <v>738</v>
      </c>
      <c r="H42" s="67">
        <v>1</v>
      </c>
      <c r="I42" s="67" t="str">
        <f t="shared" si="6"/>
        <v/>
      </c>
      <c r="J42" s="133"/>
      <c r="K42" s="133"/>
      <c r="L42" s="29"/>
      <c r="M42" s="29"/>
      <c r="N42" s="29"/>
      <c r="O42" s="29"/>
      <c r="P42" s="29"/>
      <c r="Q42" s="29"/>
      <c r="R42" s="29"/>
      <c r="S42" s="29"/>
      <c r="T42" s="57"/>
      <c r="U42" s="29"/>
      <c r="V42" s="29"/>
      <c r="W42" s="81"/>
      <c r="X42" s="85"/>
      <c r="Y42" s="81"/>
      <c r="AA42" s="72">
        <v>1</v>
      </c>
      <c r="AB42" s="72" t="str">
        <f t="shared" si="9"/>
        <v/>
      </c>
    </row>
    <row r="43" spans="1:28" s="55" customFormat="1" ht="32" x14ac:dyDescent="0.2">
      <c r="A43" s="27">
        <v>558</v>
      </c>
      <c r="B43" s="28" t="str">
        <f t="shared" si="7"/>
        <v>3.3.03d</v>
      </c>
      <c r="C43" s="29">
        <f t="shared" si="8"/>
        <v>6</v>
      </c>
      <c r="D43" s="3"/>
      <c r="E43" s="121">
        <v>35</v>
      </c>
      <c r="F43" s="36" t="s">
        <v>827</v>
      </c>
      <c r="G43" s="45" t="s">
        <v>740</v>
      </c>
      <c r="H43" s="67">
        <v>1</v>
      </c>
      <c r="I43" s="67" t="str">
        <f t="shared" si="6"/>
        <v/>
      </c>
      <c r="J43" s="133"/>
      <c r="K43" s="133"/>
      <c r="L43" s="29"/>
      <c r="M43" s="29"/>
      <c r="N43" s="29"/>
      <c r="O43" s="29"/>
      <c r="P43" s="29"/>
      <c r="Q43" s="29"/>
      <c r="R43" s="29"/>
      <c r="S43" s="29"/>
      <c r="T43" s="57"/>
      <c r="U43" s="29"/>
      <c r="V43" s="29"/>
      <c r="W43" s="81"/>
      <c r="X43" s="85"/>
      <c r="Y43" s="81"/>
      <c r="AA43" s="72">
        <v>1</v>
      </c>
      <c r="AB43" s="72" t="str">
        <f t="shared" si="9"/>
        <v/>
      </c>
    </row>
    <row r="44" spans="1:28" s="55" customFormat="1" ht="32" x14ac:dyDescent="0.2">
      <c r="A44" s="27">
        <v>559</v>
      </c>
      <c r="B44" s="28" t="str">
        <f t="shared" si="7"/>
        <v>3.3.03e</v>
      </c>
      <c r="C44" s="29">
        <f t="shared" si="8"/>
        <v>6</v>
      </c>
      <c r="D44" s="3"/>
      <c r="E44" s="121">
        <v>36</v>
      </c>
      <c r="F44" s="36" t="s">
        <v>828</v>
      </c>
      <c r="G44" s="45" t="s">
        <v>752</v>
      </c>
      <c r="H44" s="67">
        <v>3</v>
      </c>
      <c r="I44" s="67" t="str">
        <f t="shared" si="6"/>
        <v/>
      </c>
      <c r="J44" s="133"/>
      <c r="K44" s="133"/>
      <c r="L44" s="29"/>
      <c r="M44" s="29"/>
      <c r="N44" s="29"/>
      <c r="O44" s="29"/>
      <c r="P44" s="29"/>
      <c r="Q44" s="29"/>
      <c r="R44" s="29"/>
      <c r="S44" s="29"/>
      <c r="T44" s="57"/>
      <c r="U44" s="29"/>
      <c r="V44" s="29"/>
      <c r="W44" s="81"/>
      <c r="X44" s="85"/>
      <c r="Y44" s="81"/>
      <c r="AA44" s="72">
        <v>1</v>
      </c>
      <c r="AB44" s="72" t="str">
        <f t="shared" si="9"/>
        <v/>
      </c>
    </row>
    <row r="45" spans="1:28" s="55" customFormat="1" ht="32" x14ac:dyDescent="0.2">
      <c r="A45" s="27">
        <v>560</v>
      </c>
      <c r="B45" s="28" t="str">
        <f t="shared" si="7"/>
        <v>3.3.03f</v>
      </c>
      <c r="C45" s="29">
        <f t="shared" si="8"/>
        <v>6</v>
      </c>
      <c r="D45" s="3"/>
      <c r="E45" s="121">
        <v>37</v>
      </c>
      <c r="F45" s="36" t="s">
        <v>829</v>
      </c>
      <c r="G45" s="45" t="s">
        <v>794</v>
      </c>
      <c r="H45" s="67">
        <v>2</v>
      </c>
      <c r="I45" s="67" t="str">
        <f t="shared" si="6"/>
        <v/>
      </c>
      <c r="J45" s="133"/>
      <c r="K45" s="133"/>
      <c r="L45" s="29"/>
      <c r="M45" s="29"/>
      <c r="N45" s="29"/>
      <c r="O45" s="29"/>
      <c r="P45" s="29"/>
      <c r="Q45" s="29"/>
      <c r="R45" s="29"/>
      <c r="S45" s="29"/>
      <c r="T45" s="57"/>
      <c r="U45" s="29"/>
      <c r="V45" s="29"/>
      <c r="W45" s="81"/>
      <c r="X45" s="85"/>
      <c r="Y45" s="81"/>
      <c r="AA45" s="72">
        <v>1</v>
      </c>
      <c r="AB45" s="72" t="str">
        <f t="shared" si="9"/>
        <v/>
      </c>
    </row>
    <row r="46" spans="1:28" s="55" customFormat="1" ht="30" customHeight="1" x14ac:dyDescent="0.2">
      <c r="A46" s="27">
        <v>561</v>
      </c>
      <c r="B46" s="28" t="str">
        <f t="shared" si="7"/>
        <v>3.3.03g</v>
      </c>
      <c r="C46" s="29">
        <f t="shared" si="8"/>
        <v>6</v>
      </c>
      <c r="D46" s="3"/>
      <c r="E46" s="121">
        <v>38</v>
      </c>
      <c r="F46" s="31" t="s">
        <v>830</v>
      </c>
      <c r="G46" s="45" t="s">
        <v>797</v>
      </c>
      <c r="H46" s="67">
        <v>2</v>
      </c>
      <c r="I46" s="67" t="str">
        <f t="shared" si="6"/>
        <v/>
      </c>
      <c r="J46" s="133"/>
      <c r="K46" s="133"/>
      <c r="L46" s="29"/>
      <c r="M46" s="29"/>
      <c r="N46" s="29"/>
      <c r="O46" s="29"/>
      <c r="P46" s="29"/>
      <c r="Q46" s="29"/>
      <c r="R46" s="29"/>
      <c r="S46" s="29"/>
      <c r="T46" s="57"/>
      <c r="U46" s="29"/>
      <c r="V46" s="29"/>
      <c r="W46" s="81"/>
      <c r="X46" s="85"/>
      <c r="Y46" s="81"/>
      <c r="AA46" s="72">
        <v>1</v>
      </c>
      <c r="AB46" s="72" t="str">
        <f t="shared" si="9"/>
        <v/>
      </c>
    </row>
    <row r="47" spans="1:28" s="55" customFormat="1" ht="30" customHeight="1" x14ac:dyDescent="0.2">
      <c r="A47" s="27">
        <v>562</v>
      </c>
      <c r="B47" s="28" t="str">
        <f t="shared" si="7"/>
        <v>3.3.03h</v>
      </c>
      <c r="C47" s="29">
        <f t="shared" si="8"/>
        <v>6</v>
      </c>
      <c r="D47" s="3"/>
      <c r="E47" s="121">
        <v>39</v>
      </c>
      <c r="F47" s="36" t="s">
        <v>831</v>
      </c>
      <c r="G47" s="45" t="s">
        <v>797</v>
      </c>
      <c r="H47" s="67">
        <v>2</v>
      </c>
      <c r="I47" s="67" t="str">
        <f t="shared" si="6"/>
        <v/>
      </c>
      <c r="J47" s="133"/>
      <c r="K47" s="133"/>
      <c r="L47" s="29"/>
      <c r="M47" s="29"/>
      <c r="N47" s="29"/>
      <c r="O47" s="29"/>
      <c r="P47" s="29"/>
      <c r="Q47" s="29"/>
      <c r="R47" s="29"/>
      <c r="S47" s="29"/>
      <c r="T47" s="57"/>
      <c r="U47" s="29"/>
      <c r="V47" s="29"/>
      <c r="W47" s="81"/>
      <c r="X47" s="85"/>
      <c r="Y47" s="81"/>
      <c r="AA47" s="72">
        <v>1</v>
      </c>
      <c r="AB47" s="72" t="str">
        <f t="shared" si="9"/>
        <v/>
      </c>
    </row>
    <row r="48" spans="1:28" s="55" customFormat="1" ht="30" customHeight="1" x14ac:dyDescent="0.2">
      <c r="A48" s="27">
        <v>563</v>
      </c>
      <c r="B48" s="28" t="str">
        <f t="shared" si="7"/>
        <v>3.3.03i</v>
      </c>
      <c r="C48" s="29">
        <f t="shared" si="8"/>
        <v>6</v>
      </c>
      <c r="D48" s="3"/>
      <c r="E48" s="121">
        <v>40</v>
      </c>
      <c r="F48" s="36" t="s">
        <v>832</v>
      </c>
      <c r="G48" s="45" t="s">
        <v>740</v>
      </c>
      <c r="H48" s="67">
        <v>1</v>
      </c>
      <c r="I48" s="67" t="str">
        <f t="shared" si="6"/>
        <v/>
      </c>
      <c r="J48" s="133"/>
      <c r="K48" s="133"/>
      <c r="L48" s="29"/>
      <c r="M48" s="29"/>
      <c r="N48" s="29"/>
      <c r="O48" s="29"/>
      <c r="P48" s="29"/>
      <c r="Q48" s="29"/>
      <c r="R48" s="29"/>
      <c r="S48" s="29"/>
      <c r="T48" s="57"/>
      <c r="U48" s="29"/>
      <c r="V48" s="29"/>
      <c r="W48" s="81"/>
      <c r="X48" s="85"/>
      <c r="Y48" s="81"/>
      <c r="AA48" s="72">
        <v>1</v>
      </c>
      <c r="AB48" s="72" t="str">
        <f t="shared" si="9"/>
        <v/>
      </c>
    </row>
    <row r="49" spans="1:28" s="55" customFormat="1" ht="32" x14ac:dyDescent="0.2">
      <c r="A49" s="27">
        <v>564</v>
      </c>
      <c r="B49" s="28" t="str">
        <f t="shared" si="7"/>
        <v>3.3.04</v>
      </c>
      <c r="C49" s="29">
        <f t="shared" si="8"/>
        <v>4</v>
      </c>
      <c r="D49" s="3"/>
      <c r="E49" s="121">
        <v>41</v>
      </c>
      <c r="F49" s="36" t="s">
        <v>833</v>
      </c>
      <c r="G49" s="45" t="s">
        <v>738</v>
      </c>
      <c r="H49" s="67">
        <v>1</v>
      </c>
      <c r="I49" s="67" t="str">
        <f t="shared" si="6"/>
        <v/>
      </c>
      <c r="J49" s="133"/>
      <c r="K49" s="133"/>
      <c r="L49" s="29"/>
      <c r="M49" s="29"/>
      <c r="N49" s="29"/>
      <c r="O49" s="29"/>
      <c r="P49" s="29"/>
      <c r="Q49" s="29"/>
      <c r="R49" s="29"/>
      <c r="S49" s="29"/>
      <c r="T49" s="57"/>
      <c r="U49" s="29"/>
      <c r="V49" s="29"/>
      <c r="W49" s="81"/>
      <c r="X49" s="85"/>
      <c r="Y49" s="81"/>
      <c r="AA49" s="72"/>
      <c r="AB49" s="72"/>
    </row>
    <row r="50" spans="1:28" s="55" customFormat="1" ht="16" x14ac:dyDescent="0.2">
      <c r="A50" s="27">
        <v>565</v>
      </c>
      <c r="B50" s="28" t="str">
        <f t="shared" si="7"/>
        <v>3.3.04a</v>
      </c>
      <c r="C50" s="29">
        <f t="shared" si="8"/>
        <v>6</v>
      </c>
      <c r="D50" s="3"/>
      <c r="E50" s="121">
        <v>42</v>
      </c>
      <c r="F50" s="36" t="s">
        <v>834</v>
      </c>
      <c r="G50" s="45" t="s">
        <v>738</v>
      </c>
      <c r="H50" s="67">
        <v>1</v>
      </c>
      <c r="I50" s="67" t="str">
        <f t="shared" si="6"/>
        <v/>
      </c>
      <c r="J50" s="133"/>
      <c r="K50" s="133"/>
      <c r="L50" s="29"/>
      <c r="M50" s="29"/>
      <c r="N50" s="29"/>
      <c r="O50" s="29"/>
      <c r="P50" s="29"/>
      <c r="Q50" s="29"/>
      <c r="R50" s="29"/>
      <c r="S50" s="29"/>
      <c r="T50" s="57"/>
      <c r="U50" s="29"/>
      <c r="V50" s="29"/>
      <c r="W50" s="81"/>
      <c r="X50" s="85"/>
      <c r="Y50" s="81"/>
      <c r="AA50" s="72">
        <v>1</v>
      </c>
      <c r="AB50" s="72" t="str">
        <f t="shared" ref="AB50:AB57" si="10">VLOOKUP(AA50,detail_maturity_score,3,FALSE)</f>
        <v/>
      </c>
    </row>
    <row r="51" spans="1:28" s="55" customFormat="1" ht="30" customHeight="1" x14ac:dyDescent="0.2">
      <c r="A51" s="27">
        <v>566</v>
      </c>
      <c r="B51" s="28" t="str">
        <f t="shared" si="7"/>
        <v>3.3.04b</v>
      </c>
      <c r="C51" s="29">
        <f t="shared" si="8"/>
        <v>6</v>
      </c>
      <c r="D51" s="3"/>
      <c r="E51" s="4"/>
      <c r="F51" s="4" t="s">
        <v>755</v>
      </c>
      <c r="G51" s="4"/>
      <c r="H51" s="4">
        <v>58</v>
      </c>
      <c r="I51" s="4"/>
      <c r="J51" s="4"/>
      <c r="K51" s="133"/>
      <c r="L51" s="29"/>
      <c r="M51" s="29"/>
      <c r="N51" s="29"/>
      <c r="O51" s="29"/>
      <c r="P51" s="29"/>
      <c r="Q51" s="29"/>
      <c r="R51" s="29"/>
      <c r="S51" s="29"/>
      <c r="T51" s="57"/>
      <c r="U51" s="29"/>
      <c r="V51" s="29"/>
      <c r="W51" s="81"/>
      <c r="X51" s="85"/>
      <c r="Y51" s="81"/>
      <c r="AA51" s="72">
        <v>1</v>
      </c>
      <c r="AB51" s="72" t="str">
        <f t="shared" si="10"/>
        <v/>
      </c>
    </row>
    <row r="52" spans="1:28" s="55" customFormat="1" ht="30" customHeight="1" x14ac:dyDescent="0.2">
      <c r="A52" s="27">
        <v>567</v>
      </c>
      <c r="B52" s="28" t="str">
        <f t="shared" si="7"/>
        <v>3.3.04c</v>
      </c>
      <c r="C52" s="29">
        <f t="shared" si="8"/>
        <v>6</v>
      </c>
      <c r="D52" s="3"/>
      <c r="E52" s="4"/>
      <c r="F52" s="4"/>
      <c r="G52" s="4"/>
      <c r="H52" s="4"/>
      <c r="I52" s="4"/>
      <c r="J52" s="4"/>
      <c r="K52" s="133"/>
      <c r="L52" s="29"/>
      <c r="M52" s="29"/>
      <c r="N52" s="29"/>
      <c r="O52" s="29"/>
      <c r="P52" s="29"/>
      <c r="Q52" s="29"/>
      <c r="R52" s="29"/>
      <c r="S52" s="29"/>
      <c r="T52" s="57"/>
      <c r="U52" s="29"/>
      <c r="V52" s="29"/>
      <c r="W52" s="81"/>
      <c r="X52" s="85"/>
      <c r="Y52" s="81"/>
      <c r="AA52" s="72">
        <v>1</v>
      </c>
      <c r="AB52" s="72" t="str">
        <f t="shared" si="10"/>
        <v/>
      </c>
    </row>
    <row r="53" spans="1:28" s="55" customFormat="1" x14ac:dyDescent="0.2">
      <c r="A53" s="27">
        <v>568</v>
      </c>
      <c r="B53" s="28" t="str">
        <f t="shared" si="7"/>
        <v>3.3.04d</v>
      </c>
      <c r="C53" s="29">
        <f t="shared" si="8"/>
        <v>6</v>
      </c>
      <c r="D53" s="3"/>
      <c r="E53" s="4"/>
      <c r="F53" s="4"/>
      <c r="G53" s="4"/>
      <c r="H53" s="4"/>
      <c r="I53" s="4"/>
      <c r="J53" s="4"/>
      <c r="K53" s="133"/>
      <c r="L53" s="29"/>
      <c r="M53" s="29"/>
      <c r="N53" s="29"/>
      <c r="O53" s="29"/>
      <c r="P53" s="29"/>
      <c r="Q53" s="29"/>
      <c r="R53" s="29"/>
      <c r="S53" s="29"/>
      <c r="T53" s="57"/>
      <c r="U53" s="29"/>
      <c r="V53" s="29"/>
      <c r="W53" s="81"/>
      <c r="X53" s="85"/>
      <c r="Y53" s="81"/>
      <c r="AA53" s="72">
        <v>1</v>
      </c>
      <c r="AB53" s="72" t="str">
        <f t="shared" si="10"/>
        <v/>
      </c>
    </row>
    <row r="54" spans="1:28" s="55" customFormat="1" ht="30" customHeight="1" x14ac:dyDescent="0.2">
      <c r="A54" s="27">
        <v>569</v>
      </c>
      <c r="B54" s="28" t="str">
        <f t="shared" si="7"/>
        <v>3.3.04e</v>
      </c>
      <c r="C54" s="29">
        <f t="shared" si="8"/>
        <v>6</v>
      </c>
      <c r="D54" s="3"/>
      <c r="E54" s="4"/>
      <c r="F54" s="4"/>
      <c r="G54" s="4"/>
      <c r="H54" s="4"/>
      <c r="I54" s="4"/>
      <c r="J54" s="4"/>
      <c r="K54" s="133"/>
      <c r="L54" s="29"/>
      <c r="M54" s="29"/>
      <c r="N54" s="29"/>
      <c r="O54" s="29"/>
      <c r="P54" s="29"/>
      <c r="Q54" s="29"/>
      <c r="R54" s="29"/>
      <c r="S54" s="29"/>
      <c r="T54" s="57"/>
      <c r="U54" s="29"/>
      <c r="V54" s="29"/>
      <c r="W54" s="81"/>
      <c r="X54" s="85"/>
      <c r="Y54" s="81"/>
      <c r="AA54" s="72">
        <v>1</v>
      </c>
      <c r="AB54" s="72" t="str">
        <f t="shared" si="10"/>
        <v/>
      </c>
    </row>
    <row r="55" spans="1:28" s="55" customFormat="1" ht="30" customHeight="1" x14ac:dyDescent="0.2">
      <c r="A55" s="27">
        <v>570</v>
      </c>
      <c r="B55" s="28" t="str">
        <f t="shared" si="7"/>
        <v>3.3.05</v>
      </c>
      <c r="C55" s="29">
        <f t="shared" si="8"/>
        <v>5</v>
      </c>
      <c r="D55" s="3"/>
      <c r="E55" s="4"/>
      <c r="F55" s="4"/>
      <c r="G55" s="4"/>
      <c r="H55" s="4"/>
      <c r="I55" s="4"/>
      <c r="J55" s="4"/>
      <c r="K55" s="133"/>
      <c r="L55" s="29"/>
      <c r="M55" s="29"/>
      <c r="N55" s="29"/>
      <c r="O55" s="29"/>
      <c r="P55" s="29"/>
      <c r="Q55" s="29"/>
      <c r="R55" s="29"/>
      <c r="S55" s="29"/>
      <c r="T55" s="57"/>
      <c r="U55" s="29"/>
      <c r="V55" s="29"/>
      <c r="W55" s="81"/>
      <c r="X55" s="85"/>
      <c r="Y55" s="81"/>
      <c r="AA55" s="72">
        <v>1</v>
      </c>
      <c r="AB55" s="72" t="str">
        <f t="shared" si="10"/>
        <v/>
      </c>
    </row>
    <row r="56" spans="1:28" s="55" customFormat="1" x14ac:dyDescent="0.2">
      <c r="A56" s="27">
        <v>571</v>
      </c>
      <c r="B56" s="28" t="str">
        <f t="shared" si="7"/>
        <v>3.3.06</v>
      </c>
      <c r="C56" s="29">
        <f t="shared" si="8"/>
        <v>5</v>
      </c>
      <c r="D56" s="3"/>
      <c r="E56" s="4"/>
      <c r="F56" s="4"/>
      <c r="G56" s="4"/>
      <c r="H56" s="4"/>
      <c r="I56" s="4"/>
      <c r="J56" s="4"/>
      <c r="K56" s="134"/>
      <c r="L56" s="29"/>
      <c r="M56" s="29"/>
      <c r="N56" s="29"/>
      <c r="O56" s="29"/>
      <c r="P56" s="29"/>
      <c r="Q56" s="29"/>
      <c r="R56" s="29"/>
      <c r="S56" s="29"/>
      <c r="T56" s="57"/>
      <c r="U56" s="29"/>
      <c r="V56" s="29"/>
      <c r="W56" s="81"/>
      <c r="X56" s="85"/>
      <c r="Y56" s="81"/>
      <c r="AA56" s="72">
        <v>1</v>
      </c>
      <c r="AB56" s="72" t="str">
        <f t="shared" si="10"/>
        <v/>
      </c>
    </row>
    <row r="57" spans="1:28" s="55" customFormat="1" ht="19" x14ac:dyDescent="0.2">
      <c r="A57" s="27">
        <v>572</v>
      </c>
      <c r="B57" s="28" t="str">
        <f t="shared" si="7"/>
        <v>3.3.07</v>
      </c>
      <c r="C57" s="29">
        <f t="shared" si="8"/>
        <v>5</v>
      </c>
      <c r="D57" s="3"/>
      <c r="E57" s="4"/>
      <c r="F57" s="4"/>
      <c r="G57" s="4"/>
      <c r="H57" s="4"/>
      <c r="I57" s="4"/>
      <c r="J57" s="4"/>
      <c r="K57" s="136"/>
      <c r="L57" s="37"/>
      <c r="M57" s="37"/>
      <c r="N57" s="37"/>
      <c r="O57" s="37"/>
      <c r="P57" s="37"/>
      <c r="Q57" s="37"/>
      <c r="R57" s="37"/>
      <c r="S57" s="37"/>
      <c r="T57" s="77"/>
      <c r="U57" s="37"/>
      <c r="V57" s="37"/>
      <c r="W57" s="82"/>
      <c r="X57" s="86"/>
      <c r="Y57" s="82"/>
      <c r="Z57" s="56"/>
      <c r="AA57" s="72">
        <v>1</v>
      </c>
      <c r="AB57" s="73" t="str">
        <f t="shared" si="10"/>
        <v/>
      </c>
    </row>
    <row r="58" spans="1:28" s="54" customFormat="1" ht="30" customHeight="1" x14ac:dyDescent="0.2">
      <c r="A58" s="27">
        <v>573</v>
      </c>
      <c r="B58" s="28" t="str">
        <f t="shared" si="7"/>
        <v>3.4</v>
      </c>
      <c r="C58" s="29">
        <f t="shared" si="8"/>
        <v>2</v>
      </c>
      <c r="D58" s="3"/>
      <c r="E58" s="4"/>
      <c r="F58" s="4"/>
      <c r="G58" s="4"/>
      <c r="H58" s="4"/>
      <c r="I58" s="4"/>
      <c r="J58" s="4"/>
      <c r="K58" s="132"/>
      <c r="L58" s="52"/>
      <c r="M58" s="51"/>
      <c r="N58" s="51"/>
      <c r="O58" s="51"/>
      <c r="P58" s="51"/>
      <c r="Q58" s="51"/>
      <c r="R58" s="51"/>
      <c r="S58" s="51"/>
      <c r="T58" s="51"/>
      <c r="U58" s="51"/>
      <c r="V58" s="51"/>
      <c r="W58" s="79"/>
      <c r="X58" s="79"/>
      <c r="Y58" s="83"/>
      <c r="AA58" s="72"/>
      <c r="AB58" s="70"/>
    </row>
    <row r="59" spans="1:28" s="55" customFormat="1" ht="30" customHeight="1" x14ac:dyDescent="0.2">
      <c r="A59" s="27">
        <v>574</v>
      </c>
      <c r="B59" s="28" t="str">
        <f t="shared" si="7"/>
        <v>3.4.01</v>
      </c>
      <c r="C59" s="29">
        <f t="shared" si="8"/>
        <v>5</v>
      </c>
      <c r="D59" s="3"/>
      <c r="E59" s="4"/>
      <c r="F59" s="4"/>
      <c r="G59" s="4"/>
      <c r="H59" s="4"/>
      <c r="I59" s="4"/>
      <c r="J59" s="4"/>
      <c r="K59" s="133"/>
      <c r="L59" s="43"/>
      <c r="M59" s="43"/>
      <c r="N59" s="43"/>
      <c r="O59" s="43"/>
      <c r="P59" s="43"/>
      <c r="Q59" s="43"/>
      <c r="R59" s="43"/>
      <c r="S59" s="43"/>
      <c r="T59" s="78"/>
      <c r="U59" s="43"/>
      <c r="V59" s="43"/>
      <c r="W59" s="80"/>
      <c r="X59" s="84"/>
      <c r="Y59" s="80"/>
      <c r="Z59" s="53"/>
      <c r="AA59" s="72">
        <v>1</v>
      </c>
      <c r="AB59" s="71" t="str">
        <f>VLOOKUP(AA59,detail_maturity_score,3,FALSE)</f>
        <v/>
      </c>
    </row>
    <row r="60" spans="1:28" s="55" customFormat="1" ht="30" customHeight="1" x14ac:dyDescent="0.2">
      <c r="A60" s="27">
        <v>575</v>
      </c>
      <c r="B60" s="28" t="str">
        <f t="shared" si="7"/>
        <v>3.4.02</v>
      </c>
      <c r="C60" s="29">
        <f t="shared" si="8"/>
        <v>4</v>
      </c>
      <c r="D60" s="3"/>
      <c r="E60" s="4"/>
      <c r="F60" s="4"/>
      <c r="G60" s="4"/>
      <c r="H60" s="4"/>
      <c r="I60" s="4"/>
      <c r="J60" s="4"/>
      <c r="K60" s="133"/>
      <c r="L60" s="29"/>
      <c r="M60" s="29"/>
      <c r="N60" s="29"/>
      <c r="O60" s="29"/>
      <c r="P60" s="29"/>
      <c r="Q60" s="29"/>
      <c r="R60" s="29"/>
      <c r="S60" s="29"/>
      <c r="T60" s="57"/>
      <c r="U60" s="29"/>
      <c r="V60" s="29"/>
      <c r="W60" s="81"/>
      <c r="X60" s="85"/>
      <c r="Y60" s="81"/>
      <c r="AA60" s="72"/>
      <c r="AB60" s="72"/>
    </row>
    <row r="61" spans="1:28" s="55" customFormat="1" ht="30" customHeight="1" x14ac:dyDescent="0.2">
      <c r="A61" s="27">
        <v>576</v>
      </c>
      <c r="B61" s="28" t="str">
        <f t="shared" si="7"/>
        <v>3.4.02a</v>
      </c>
      <c r="C61" s="29">
        <f t="shared" si="8"/>
        <v>6</v>
      </c>
      <c r="D61" s="3"/>
      <c r="E61" s="4"/>
      <c r="F61" s="4"/>
      <c r="G61" s="4"/>
      <c r="H61" s="4"/>
      <c r="I61" s="4"/>
      <c r="J61" s="4"/>
      <c r="K61" s="133"/>
      <c r="L61" s="29"/>
      <c r="M61" s="29"/>
      <c r="N61" s="29"/>
      <c r="O61" s="29"/>
      <c r="P61" s="29"/>
      <c r="Q61" s="29"/>
      <c r="R61" s="29"/>
      <c r="S61" s="29"/>
      <c r="T61" s="57"/>
      <c r="U61" s="29"/>
      <c r="V61" s="29"/>
      <c r="W61" s="81"/>
      <c r="X61" s="85"/>
      <c r="Y61" s="81"/>
      <c r="AA61" s="72">
        <v>1</v>
      </c>
      <c r="AB61" s="72" t="str">
        <f>VLOOKUP(AA61,detail_maturity_score,3,FALSE)</f>
        <v/>
      </c>
    </row>
    <row r="62" spans="1:28" s="55" customFormat="1" ht="30" customHeight="1" x14ac:dyDescent="0.2">
      <c r="A62" s="27">
        <v>577</v>
      </c>
      <c r="B62" s="28" t="str">
        <f t="shared" si="7"/>
        <v>3.4.02b</v>
      </c>
      <c r="C62" s="29">
        <f t="shared" si="8"/>
        <v>6</v>
      </c>
      <c r="D62" s="3"/>
      <c r="E62" s="4"/>
      <c r="F62" s="4"/>
      <c r="G62" s="4"/>
      <c r="H62" s="4"/>
      <c r="I62" s="4"/>
      <c r="J62" s="4"/>
      <c r="K62" s="133"/>
      <c r="L62" s="29"/>
      <c r="M62" s="29"/>
      <c r="N62" s="29"/>
      <c r="O62" s="29"/>
      <c r="P62" s="29"/>
      <c r="Q62" s="29"/>
      <c r="R62" s="29"/>
      <c r="S62" s="29"/>
      <c r="T62" s="57"/>
      <c r="U62" s="29"/>
      <c r="V62" s="29"/>
      <c r="W62" s="81"/>
      <c r="X62" s="85"/>
      <c r="Y62" s="81"/>
      <c r="AA62" s="72">
        <v>1</v>
      </c>
      <c r="AB62" s="72" t="str">
        <f>VLOOKUP(AA62,detail_maturity_score,3,FALSE)</f>
        <v/>
      </c>
    </row>
    <row r="63" spans="1:28" s="55" customFormat="1" ht="30" customHeight="1" x14ac:dyDescent="0.2">
      <c r="A63" s="27">
        <v>578</v>
      </c>
      <c r="B63" s="28" t="str">
        <f t="shared" si="7"/>
        <v>3.4.02c</v>
      </c>
      <c r="C63" s="29">
        <f t="shared" si="8"/>
        <v>6</v>
      </c>
      <c r="D63" s="3"/>
      <c r="E63" s="4"/>
      <c r="F63" s="4"/>
      <c r="G63" s="4"/>
      <c r="H63" s="4"/>
      <c r="I63" s="4"/>
      <c r="J63" s="4"/>
      <c r="K63" s="133"/>
      <c r="L63" s="29"/>
      <c r="M63" s="29"/>
      <c r="N63" s="29"/>
      <c r="O63" s="29"/>
      <c r="P63" s="29"/>
      <c r="Q63" s="29"/>
      <c r="R63" s="29"/>
      <c r="S63" s="29"/>
      <c r="T63" s="57"/>
      <c r="U63" s="29"/>
      <c r="V63" s="29"/>
      <c r="W63" s="81"/>
      <c r="X63" s="85"/>
      <c r="Y63" s="81"/>
      <c r="AA63" s="72">
        <v>1</v>
      </c>
      <c r="AB63" s="72" t="str">
        <f>VLOOKUP(AA63,detail_maturity_score,3,FALSE)</f>
        <v/>
      </c>
    </row>
    <row r="64" spans="1:28" s="55" customFormat="1" x14ac:dyDescent="0.2">
      <c r="A64" s="27">
        <v>579</v>
      </c>
      <c r="B64" s="28" t="str">
        <f t="shared" si="7"/>
        <v>3.4.02d</v>
      </c>
      <c r="C64" s="29">
        <f t="shared" si="8"/>
        <v>6</v>
      </c>
      <c r="D64" s="3"/>
      <c r="E64" s="4"/>
      <c r="F64" s="4"/>
      <c r="G64" s="4"/>
      <c r="H64" s="4"/>
      <c r="I64" s="4"/>
      <c r="J64" s="4"/>
      <c r="K64" s="133"/>
      <c r="L64" s="29"/>
      <c r="M64" s="29"/>
      <c r="N64" s="29"/>
      <c r="O64" s="29"/>
      <c r="P64" s="29"/>
      <c r="Q64" s="29"/>
      <c r="R64" s="29"/>
      <c r="S64" s="29"/>
      <c r="T64" s="57"/>
      <c r="U64" s="29"/>
      <c r="V64" s="29"/>
      <c r="W64" s="81"/>
      <c r="X64" s="85"/>
      <c r="Y64" s="81"/>
      <c r="AA64" s="72">
        <v>1</v>
      </c>
      <c r="AB64" s="72" t="str">
        <f>VLOOKUP(AA64,detail_maturity_score,3,FALSE)</f>
        <v/>
      </c>
    </row>
    <row r="65" spans="1:28" s="55" customFormat="1" ht="30" customHeight="1" x14ac:dyDescent="0.2">
      <c r="A65" s="27">
        <v>580</v>
      </c>
      <c r="B65" s="28" t="str">
        <f t="shared" si="7"/>
        <v>3.4.03</v>
      </c>
      <c r="C65" s="29">
        <f t="shared" si="8"/>
        <v>4</v>
      </c>
      <c r="D65" s="3"/>
      <c r="E65" s="4"/>
      <c r="F65" s="4"/>
      <c r="G65" s="4"/>
      <c r="H65" s="4"/>
      <c r="I65" s="4"/>
      <c r="J65" s="4"/>
      <c r="K65" s="133"/>
      <c r="L65" s="29"/>
      <c r="M65" s="29"/>
      <c r="N65" s="29"/>
      <c r="O65" s="29"/>
      <c r="P65" s="29"/>
      <c r="Q65" s="29"/>
      <c r="R65" s="29"/>
      <c r="S65" s="29"/>
      <c r="T65" s="57"/>
      <c r="U65" s="29"/>
      <c r="V65" s="29"/>
      <c r="W65" s="81"/>
      <c r="X65" s="85"/>
      <c r="Y65" s="81"/>
      <c r="AA65" s="72"/>
      <c r="AB65" s="72"/>
    </row>
    <row r="66" spans="1:28" s="55" customFormat="1" ht="30" customHeight="1" x14ac:dyDescent="0.2">
      <c r="A66" s="27">
        <v>581</v>
      </c>
      <c r="B66" s="28" t="str">
        <f t="shared" si="7"/>
        <v>3.4.03a</v>
      </c>
      <c r="C66" s="29">
        <f t="shared" si="8"/>
        <v>6</v>
      </c>
      <c r="D66" s="3"/>
      <c r="E66" s="4"/>
      <c r="F66" s="4"/>
      <c r="G66" s="4"/>
      <c r="H66" s="4"/>
      <c r="I66" s="4"/>
      <c r="J66" s="4"/>
      <c r="K66" s="133"/>
      <c r="L66" s="29"/>
      <c r="M66" s="29"/>
      <c r="N66" s="29"/>
      <c r="O66" s="29"/>
      <c r="P66" s="29"/>
      <c r="Q66" s="29"/>
      <c r="R66" s="29"/>
      <c r="S66" s="29"/>
      <c r="T66" s="57"/>
      <c r="U66" s="29"/>
      <c r="V66" s="29"/>
      <c r="W66" s="81"/>
      <c r="X66" s="85"/>
      <c r="Y66" s="81"/>
      <c r="AA66" s="72">
        <v>1</v>
      </c>
      <c r="AB66" s="72" t="str">
        <f>VLOOKUP(AA66,detail_maturity_score,3,FALSE)</f>
        <v/>
      </c>
    </row>
    <row r="67" spans="1:28" s="55" customFormat="1" ht="30" customHeight="1" x14ac:dyDescent="0.2">
      <c r="A67" s="27">
        <v>582</v>
      </c>
      <c r="B67" s="28" t="str">
        <f t="shared" si="7"/>
        <v>3.4.03b</v>
      </c>
      <c r="C67" s="29">
        <f t="shared" si="8"/>
        <v>6</v>
      </c>
      <c r="D67" s="3"/>
      <c r="E67" s="4"/>
      <c r="F67" s="4"/>
      <c r="G67" s="4"/>
      <c r="H67" s="4"/>
      <c r="I67" s="4"/>
      <c r="J67" s="4"/>
      <c r="K67" s="133"/>
      <c r="L67" s="29"/>
      <c r="M67" s="29"/>
      <c r="N67" s="29"/>
      <c r="O67" s="29"/>
      <c r="P67" s="29"/>
      <c r="Q67" s="29"/>
      <c r="R67" s="29"/>
      <c r="S67" s="29"/>
      <c r="T67" s="57"/>
      <c r="U67" s="29"/>
      <c r="V67" s="29"/>
      <c r="W67" s="81"/>
      <c r="X67" s="85"/>
      <c r="Y67" s="81"/>
      <c r="AA67" s="72">
        <v>1</v>
      </c>
      <c r="AB67" s="72" t="str">
        <f>VLOOKUP(AA67,detail_maturity_score,3,FALSE)</f>
        <v/>
      </c>
    </row>
    <row r="68" spans="1:28" s="55" customFormat="1" ht="30" customHeight="1" x14ac:dyDescent="0.2">
      <c r="A68" s="27">
        <v>583</v>
      </c>
      <c r="B68" s="28" t="str">
        <f t="shared" si="7"/>
        <v>3.4.04</v>
      </c>
      <c r="C68" s="29">
        <f t="shared" si="8"/>
        <v>4</v>
      </c>
      <c r="D68" s="3"/>
      <c r="E68" s="4"/>
      <c r="F68" s="4"/>
      <c r="G68" s="4"/>
      <c r="H68" s="4"/>
      <c r="I68" s="4"/>
      <c r="J68" s="4"/>
      <c r="K68" s="133"/>
      <c r="L68" s="29"/>
      <c r="M68" s="29"/>
      <c r="N68" s="29"/>
      <c r="O68" s="29"/>
      <c r="P68" s="29"/>
      <c r="Q68" s="29"/>
      <c r="R68" s="29"/>
      <c r="S68" s="29"/>
      <c r="T68" s="57"/>
      <c r="U68" s="29"/>
      <c r="V68" s="29"/>
      <c r="W68" s="81"/>
      <c r="X68" s="85"/>
      <c r="Y68" s="81"/>
      <c r="AA68" s="72"/>
      <c r="AB68" s="72"/>
    </row>
    <row r="69" spans="1:28" s="55" customFormat="1" x14ac:dyDescent="0.2">
      <c r="A69" s="27">
        <v>584</v>
      </c>
      <c r="B69" s="28" t="str">
        <f t="shared" si="7"/>
        <v>3.4.04a</v>
      </c>
      <c r="C69" s="29">
        <f t="shared" si="8"/>
        <v>6</v>
      </c>
      <c r="D69" s="3"/>
      <c r="E69" s="4"/>
      <c r="F69" s="4"/>
      <c r="G69" s="4"/>
      <c r="H69" s="4"/>
      <c r="I69" s="4"/>
      <c r="J69" s="4"/>
      <c r="K69" s="133"/>
      <c r="L69" s="29"/>
      <c r="M69" s="29"/>
      <c r="N69" s="29"/>
      <c r="O69" s="29"/>
      <c r="P69" s="29"/>
      <c r="Q69" s="29"/>
      <c r="R69" s="29"/>
      <c r="S69" s="29"/>
      <c r="T69" s="57"/>
      <c r="U69" s="29"/>
      <c r="V69" s="29"/>
      <c r="W69" s="81"/>
      <c r="X69" s="85"/>
      <c r="Y69" s="81"/>
      <c r="AA69" s="72">
        <v>1</v>
      </c>
      <c r="AB69" s="72" t="str">
        <f>VLOOKUP(AA69,detail_maturity_score,3,FALSE)</f>
        <v/>
      </c>
    </row>
    <row r="70" spans="1:28" s="55" customFormat="1" ht="30" customHeight="1" x14ac:dyDescent="0.2">
      <c r="A70" s="27">
        <v>585</v>
      </c>
      <c r="B70" s="28" t="str">
        <f t="shared" si="7"/>
        <v>3.4.04b</v>
      </c>
      <c r="C70" s="29">
        <f t="shared" si="8"/>
        <v>6</v>
      </c>
      <c r="D70" s="3"/>
      <c r="E70" s="4"/>
      <c r="F70" s="4"/>
      <c r="G70" s="4"/>
      <c r="H70" s="4"/>
      <c r="I70" s="4"/>
      <c r="J70" s="4"/>
      <c r="K70" s="133"/>
      <c r="L70" s="29"/>
      <c r="M70" s="29"/>
      <c r="N70" s="29"/>
      <c r="O70" s="29"/>
      <c r="P70" s="29"/>
      <c r="Q70" s="29"/>
      <c r="R70" s="29"/>
      <c r="S70" s="29"/>
      <c r="T70" s="57"/>
      <c r="U70" s="29"/>
      <c r="V70" s="29"/>
      <c r="W70" s="81"/>
      <c r="X70" s="85"/>
      <c r="Y70" s="81"/>
      <c r="AA70" s="72">
        <v>1</v>
      </c>
      <c r="AB70" s="72" t="str">
        <f>VLOOKUP(AA70,detail_maturity_score,3,FALSE)</f>
        <v/>
      </c>
    </row>
    <row r="71" spans="1:28" s="55" customFormat="1" ht="30" customHeight="1" x14ac:dyDescent="0.2">
      <c r="A71" s="27">
        <v>586</v>
      </c>
      <c r="B71" s="28" t="str">
        <f t="shared" si="7"/>
        <v>3.4.05</v>
      </c>
      <c r="C71" s="29">
        <f t="shared" si="8"/>
        <v>5</v>
      </c>
      <c r="D71" s="3"/>
      <c r="E71" s="4"/>
      <c r="F71" s="4"/>
      <c r="G71" s="4"/>
      <c r="H71" s="4"/>
      <c r="I71" s="4"/>
      <c r="J71" s="4"/>
      <c r="K71" s="133"/>
      <c r="L71" s="29"/>
      <c r="M71" s="29"/>
      <c r="N71" s="29"/>
      <c r="O71" s="29"/>
      <c r="P71" s="29"/>
      <c r="Q71" s="29"/>
      <c r="R71" s="29"/>
      <c r="S71" s="29"/>
      <c r="T71" s="57"/>
      <c r="U71" s="29"/>
      <c r="V71" s="29"/>
      <c r="W71" s="81"/>
      <c r="X71" s="85"/>
      <c r="Y71" s="81"/>
      <c r="AA71" s="72">
        <v>1</v>
      </c>
      <c r="AB71" s="72" t="str">
        <f>VLOOKUP(AA71,detail_maturity_score,3,FALSE)</f>
        <v/>
      </c>
    </row>
    <row r="72" spans="1:28" s="55" customFormat="1" ht="30" customHeight="1" x14ac:dyDescent="0.2">
      <c r="A72" s="27">
        <v>587</v>
      </c>
      <c r="B72" s="28" t="str">
        <f t="shared" ref="B72:B103" si="11">VLOOKUP(A72,contentref,2,FALSE)</f>
        <v>3.4.06</v>
      </c>
      <c r="C72" s="29">
        <f t="shared" ref="C72:C103" si="12">VLOOKUP(A72,contentref,15,FALSE)</f>
        <v>4</v>
      </c>
      <c r="D72" s="3"/>
      <c r="E72" s="4"/>
      <c r="F72" s="4"/>
      <c r="G72" s="4"/>
      <c r="H72" s="4"/>
      <c r="I72" s="4"/>
      <c r="J72" s="4"/>
      <c r="K72" s="133"/>
      <c r="L72" s="29"/>
      <c r="M72" s="29"/>
      <c r="N72" s="29"/>
      <c r="O72" s="29"/>
      <c r="P72" s="29"/>
      <c r="Q72" s="29"/>
      <c r="R72" s="29"/>
      <c r="S72" s="29"/>
      <c r="T72" s="57"/>
      <c r="U72" s="29"/>
      <c r="V72" s="29"/>
      <c r="W72" s="81"/>
      <c r="X72" s="85"/>
      <c r="Y72" s="81"/>
      <c r="AA72" s="72"/>
      <c r="AB72" s="72"/>
    </row>
    <row r="73" spans="1:28" s="55" customFormat="1" x14ac:dyDescent="0.2">
      <c r="A73" s="27">
        <v>588</v>
      </c>
      <c r="B73" s="28" t="str">
        <f t="shared" si="11"/>
        <v>3.4.06a</v>
      </c>
      <c r="C73" s="29">
        <f t="shared" si="12"/>
        <v>6</v>
      </c>
      <c r="D73" s="3"/>
      <c r="E73" s="4"/>
      <c r="F73" s="4"/>
      <c r="G73" s="4"/>
      <c r="H73" s="4"/>
      <c r="I73" s="4"/>
      <c r="J73" s="4"/>
      <c r="K73" s="133"/>
      <c r="L73" s="29"/>
      <c r="M73" s="29"/>
      <c r="N73" s="29"/>
      <c r="O73" s="29"/>
      <c r="P73" s="29"/>
      <c r="Q73" s="29"/>
      <c r="R73" s="29"/>
      <c r="S73" s="29"/>
      <c r="T73" s="57"/>
      <c r="U73" s="29"/>
      <c r="V73" s="29"/>
      <c r="W73" s="81"/>
      <c r="X73" s="85"/>
      <c r="Y73" s="81"/>
      <c r="AA73" s="72">
        <v>1</v>
      </c>
      <c r="AB73" s="72" t="str">
        <f>VLOOKUP(AA73,detail_maturity_score,3,FALSE)</f>
        <v/>
      </c>
    </row>
    <row r="74" spans="1:28" s="55" customFormat="1" x14ac:dyDescent="0.2">
      <c r="A74" s="27">
        <v>589</v>
      </c>
      <c r="B74" s="28" t="str">
        <f t="shared" si="11"/>
        <v>3.4.06b</v>
      </c>
      <c r="C74" s="29">
        <f t="shared" si="12"/>
        <v>6</v>
      </c>
      <c r="D74" s="3"/>
      <c r="E74" s="4"/>
      <c r="F74" s="4"/>
      <c r="G74" s="4"/>
      <c r="H74" s="4"/>
      <c r="I74" s="4"/>
      <c r="J74" s="4"/>
      <c r="K74" s="133"/>
      <c r="L74" s="29"/>
      <c r="M74" s="29"/>
      <c r="N74" s="29"/>
      <c r="O74" s="29"/>
      <c r="P74" s="29"/>
      <c r="Q74" s="29"/>
      <c r="R74" s="29"/>
      <c r="S74" s="29"/>
      <c r="T74" s="57"/>
      <c r="U74" s="29"/>
      <c r="V74" s="29"/>
      <c r="W74" s="81"/>
      <c r="X74" s="85"/>
      <c r="Y74" s="81"/>
      <c r="AA74" s="72">
        <v>1</v>
      </c>
      <c r="AB74" s="72" t="str">
        <f>VLOOKUP(AA74,detail_maturity_score,3,FALSE)</f>
        <v/>
      </c>
    </row>
    <row r="75" spans="1:28" s="55" customFormat="1" x14ac:dyDescent="0.2">
      <c r="A75" s="27">
        <v>590</v>
      </c>
      <c r="B75" s="28" t="str">
        <f t="shared" si="11"/>
        <v>3.4.07</v>
      </c>
      <c r="C75" s="29">
        <f t="shared" si="12"/>
        <v>4</v>
      </c>
      <c r="D75" s="3"/>
      <c r="E75" s="4"/>
      <c r="F75" s="4"/>
      <c r="G75" s="4"/>
      <c r="H75" s="4"/>
      <c r="I75" s="4"/>
      <c r="J75" s="4"/>
      <c r="K75" s="133"/>
      <c r="L75" s="29"/>
      <c r="M75" s="29"/>
      <c r="N75" s="29"/>
      <c r="O75" s="29"/>
      <c r="P75" s="29"/>
      <c r="Q75" s="29"/>
      <c r="R75" s="29"/>
      <c r="S75" s="29"/>
      <c r="T75" s="57"/>
      <c r="U75" s="29"/>
      <c r="V75" s="29"/>
      <c r="W75" s="81"/>
      <c r="X75" s="85"/>
      <c r="Y75" s="81"/>
      <c r="AA75" s="72"/>
      <c r="AB75" s="72"/>
    </row>
    <row r="76" spans="1:28" s="55" customFormat="1" ht="30" customHeight="1" x14ac:dyDescent="0.2">
      <c r="A76" s="27">
        <v>591</v>
      </c>
      <c r="B76" s="28" t="str">
        <f t="shared" si="11"/>
        <v>3.4.07a</v>
      </c>
      <c r="C76" s="29">
        <f t="shared" si="12"/>
        <v>6</v>
      </c>
      <c r="D76" s="3"/>
      <c r="E76" s="4"/>
      <c r="F76" s="4"/>
      <c r="G76" s="4"/>
      <c r="H76" s="4"/>
      <c r="I76" s="4"/>
      <c r="J76" s="4"/>
      <c r="K76" s="133"/>
      <c r="L76" s="29"/>
      <c r="M76" s="29"/>
      <c r="N76" s="29"/>
      <c r="O76" s="29"/>
      <c r="P76" s="29"/>
      <c r="Q76" s="29"/>
      <c r="R76" s="29"/>
      <c r="S76" s="29"/>
      <c r="T76" s="57"/>
      <c r="U76" s="29"/>
      <c r="V76" s="29"/>
      <c r="W76" s="81"/>
      <c r="X76" s="85"/>
      <c r="Y76" s="81"/>
      <c r="AA76" s="72">
        <v>1</v>
      </c>
      <c r="AB76" s="72" t="str">
        <f>VLOOKUP(AA76,detail_maturity_score,3,FALSE)</f>
        <v/>
      </c>
    </row>
    <row r="77" spans="1:28" s="55" customFormat="1" ht="30" customHeight="1" x14ac:dyDescent="0.2">
      <c r="A77" s="27">
        <v>592</v>
      </c>
      <c r="B77" s="28" t="str">
        <f t="shared" si="11"/>
        <v>3.4.07b</v>
      </c>
      <c r="C77" s="29">
        <f t="shared" si="12"/>
        <v>6</v>
      </c>
      <c r="D77" s="3"/>
      <c r="E77" s="4"/>
      <c r="F77" s="4"/>
      <c r="G77" s="4"/>
      <c r="H77" s="4"/>
      <c r="I77" s="4"/>
      <c r="J77" s="4"/>
      <c r="K77" s="133"/>
      <c r="L77" s="29"/>
      <c r="M77" s="29"/>
      <c r="N77" s="29"/>
      <c r="O77" s="29"/>
      <c r="P77" s="29"/>
      <c r="Q77" s="29"/>
      <c r="R77" s="29"/>
      <c r="S77" s="29"/>
      <c r="T77" s="57"/>
      <c r="U77" s="29"/>
      <c r="V77" s="29"/>
      <c r="W77" s="81"/>
      <c r="X77" s="85"/>
      <c r="Y77" s="81"/>
      <c r="AA77" s="72">
        <v>1</v>
      </c>
      <c r="AB77" s="72" t="str">
        <f>VLOOKUP(AA77,detail_maturity_score,3,FALSE)</f>
        <v/>
      </c>
    </row>
    <row r="78" spans="1:28" s="55" customFormat="1" ht="30" customHeight="1" x14ac:dyDescent="0.2">
      <c r="A78" s="27">
        <v>593</v>
      </c>
      <c r="B78" s="28" t="str">
        <f t="shared" si="11"/>
        <v>3.4.08</v>
      </c>
      <c r="C78" s="29">
        <f t="shared" si="12"/>
        <v>4</v>
      </c>
      <c r="D78" s="3"/>
      <c r="E78" s="4"/>
      <c r="F78" s="4"/>
      <c r="G78" s="4"/>
      <c r="H78" s="4"/>
      <c r="I78" s="4"/>
      <c r="J78" s="4"/>
      <c r="K78" s="133"/>
      <c r="L78" s="29"/>
      <c r="M78" s="29"/>
      <c r="N78" s="29"/>
      <c r="O78" s="29"/>
      <c r="P78" s="29"/>
      <c r="Q78" s="29"/>
      <c r="R78" s="29"/>
      <c r="S78" s="29"/>
      <c r="T78" s="57"/>
      <c r="U78" s="29"/>
      <c r="V78" s="29"/>
      <c r="W78" s="81"/>
      <c r="X78" s="85"/>
      <c r="Y78" s="81"/>
      <c r="AA78" s="72"/>
      <c r="AB78" s="72"/>
    </row>
    <row r="79" spans="1:28" s="55" customFormat="1" ht="30" customHeight="1" x14ac:dyDescent="0.2">
      <c r="A79" s="27">
        <v>594</v>
      </c>
      <c r="B79" s="28" t="str">
        <f t="shared" si="11"/>
        <v>3.4.08a</v>
      </c>
      <c r="C79" s="29">
        <f t="shared" si="12"/>
        <v>6</v>
      </c>
      <c r="D79" s="3"/>
      <c r="E79" s="4"/>
      <c r="F79" s="4"/>
      <c r="G79" s="4"/>
      <c r="H79" s="4"/>
      <c r="I79" s="4"/>
      <c r="J79" s="4"/>
      <c r="K79" s="133"/>
      <c r="L79" s="29"/>
      <c r="M79" s="29"/>
      <c r="N79" s="29"/>
      <c r="O79" s="29"/>
      <c r="P79" s="29"/>
      <c r="Q79" s="29"/>
      <c r="R79" s="29"/>
      <c r="S79" s="29"/>
      <c r="T79" s="57"/>
      <c r="U79" s="29"/>
      <c r="V79" s="29"/>
      <c r="W79" s="81"/>
      <c r="X79" s="85"/>
      <c r="Y79" s="81"/>
      <c r="AA79" s="72">
        <v>1</v>
      </c>
      <c r="AB79" s="72" t="str">
        <f>VLOOKUP(AA79,detail_maturity_score,3,FALSE)</f>
        <v/>
      </c>
    </row>
    <row r="80" spans="1:28" s="55" customFormat="1" ht="30" customHeight="1" x14ac:dyDescent="0.2">
      <c r="A80" s="27">
        <v>595</v>
      </c>
      <c r="B80" s="28" t="str">
        <f t="shared" si="11"/>
        <v>3.4.08b</v>
      </c>
      <c r="C80" s="29">
        <f t="shared" si="12"/>
        <v>6</v>
      </c>
      <c r="D80" s="3"/>
      <c r="E80" s="4"/>
      <c r="F80" s="4"/>
      <c r="G80" s="4"/>
      <c r="H80" s="4"/>
      <c r="I80" s="4"/>
      <c r="J80" s="4"/>
      <c r="K80" s="133"/>
      <c r="L80" s="29"/>
      <c r="M80" s="29"/>
      <c r="N80" s="29"/>
      <c r="O80" s="29"/>
      <c r="P80" s="29"/>
      <c r="Q80" s="29"/>
      <c r="R80" s="29"/>
      <c r="S80" s="29"/>
      <c r="T80" s="57"/>
      <c r="U80" s="29"/>
      <c r="V80" s="29"/>
      <c r="W80" s="81"/>
      <c r="X80" s="85"/>
      <c r="Y80" s="81"/>
      <c r="AA80" s="72">
        <v>1</v>
      </c>
      <c r="AB80" s="72" t="str">
        <f>VLOOKUP(AA80,detail_maturity_score,3,FALSE)</f>
        <v/>
      </c>
    </row>
    <row r="81" spans="1:28" s="55" customFormat="1" ht="30" customHeight="1" x14ac:dyDescent="0.2">
      <c r="A81" s="27">
        <v>596</v>
      </c>
      <c r="B81" s="28" t="str">
        <f t="shared" si="11"/>
        <v>3.4.08c</v>
      </c>
      <c r="C81" s="29">
        <f t="shared" si="12"/>
        <v>6</v>
      </c>
      <c r="D81" s="3"/>
      <c r="E81" s="4"/>
      <c r="F81" s="4"/>
      <c r="G81" s="4"/>
      <c r="H81" s="4"/>
      <c r="I81" s="4"/>
      <c r="J81" s="4"/>
      <c r="K81" s="134"/>
      <c r="L81" s="29"/>
      <c r="M81" s="29"/>
      <c r="N81" s="29"/>
      <c r="O81" s="29"/>
      <c r="P81" s="29"/>
      <c r="Q81" s="29"/>
      <c r="R81" s="29"/>
      <c r="S81" s="29"/>
      <c r="T81" s="57"/>
      <c r="U81" s="29"/>
      <c r="V81" s="29"/>
      <c r="W81" s="81"/>
      <c r="X81" s="85"/>
      <c r="Y81" s="81"/>
      <c r="AA81" s="72">
        <v>1</v>
      </c>
      <c r="AB81" s="72" t="str">
        <f>VLOOKUP(AA81,detail_maturity_score,3,FALSE)</f>
        <v/>
      </c>
    </row>
    <row r="82" spans="1:28" s="55" customFormat="1" ht="19" x14ac:dyDescent="0.2">
      <c r="A82" s="27">
        <v>597</v>
      </c>
      <c r="B82" s="28" t="str">
        <f t="shared" si="11"/>
        <v>3.4.08d</v>
      </c>
      <c r="C82" s="29">
        <f t="shared" si="12"/>
        <v>6</v>
      </c>
      <c r="D82" s="3"/>
      <c r="E82" s="4"/>
      <c r="F82" s="4"/>
      <c r="G82" s="4"/>
      <c r="H82" s="4"/>
      <c r="I82" s="4"/>
      <c r="J82" s="4"/>
      <c r="K82" s="136"/>
      <c r="L82" s="37"/>
      <c r="M82" s="37"/>
      <c r="N82" s="37"/>
      <c r="O82" s="37"/>
      <c r="P82" s="37"/>
      <c r="Q82" s="37"/>
      <c r="R82" s="37"/>
      <c r="S82" s="37"/>
      <c r="T82" s="77"/>
      <c r="U82" s="37"/>
      <c r="V82" s="37"/>
      <c r="W82" s="82"/>
      <c r="X82" s="86"/>
      <c r="Y82" s="82"/>
      <c r="Z82" s="56"/>
      <c r="AA82" s="72">
        <v>1</v>
      </c>
      <c r="AB82" s="73" t="str">
        <f>VLOOKUP(AA82,detail_maturity_score,3,FALSE)</f>
        <v/>
      </c>
    </row>
    <row r="83" spans="1:28" s="54" customFormat="1" ht="30" customHeight="1" x14ac:dyDescent="0.2">
      <c r="A83" s="27">
        <v>598</v>
      </c>
      <c r="B83" s="28" t="str">
        <f t="shared" si="11"/>
        <v>3.5</v>
      </c>
      <c r="C83" s="29">
        <f t="shared" si="12"/>
        <v>2</v>
      </c>
      <c r="D83" s="3"/>
      <c r="E83" s="4"/>
      <c r="F83" s="4"/>
      <c r="G83" s="4"/>
      <c r="H83" s="4"/>
      <c r="I83" s="4"/>
      <c r="J83" s="4"/>
      <c r="K83" s="132"/>
      <c r="L83" s="52"/>
      <c r="M83" s="51"/>
      <c r="N83" s="51"/>
      <c r="O83" s="51"/>
      <c r="P83" s="51"/>
      <c r="Q83" s="51"/>
      <c r="R83" s="51"/>
      <c r="S83" s="51"/>
      <c r="T83" s="51"/>
      <c r="U83" s="51"/>
      <c r="V83" s="51"/>
      <c r="W83" s="79"/>
      <c r="X83" s="79"/>
      <c r="Y83" s="83"/>
      <c r="AA83" s="72"/>
      <c r="AB83" s="70"/>
    </row>
    <row r="84" spans="1:28" s="55" customFormat="1" x14ac:dyDescent="0.2">
      <c r="A84" s="27">
        <v>599</v>
      </c>
      <c r="B84" s="28" t="str">
        <f t="shared" si="11"/>
        <v>3.5.01</v>
      </c>
      <c r="C84" s="29">
        <f t="shared" si="12"/>
        <v>5</v>
      </c>
      <c r="D84" s="3"/>
      <c r="E84" s="4"/>
      <c r="F84" s="4"/>
      <c r="G84" s="4"/>
      <c r="H84" s="4"/>
      <c r="I84" s="4"/>
      <c r="J84" s="4"/>
      <c r="K84" s="133"/>
      <c r="L84" s="43"/>
      <c r="M84" s="43"/>
      <c r="N84" s="43"/>
      <c r="O84" s="43"/>
      <c r="P84" s="43"/>
      <c r="Q84" s="43"/>
      <c r="R84" s="43"/>
      <c r="S84" s="43"/>
      <c r="T84" s="78"/>
      <c r="U84" s="43"/>
      <c r="V84" s="43"/>
      <c r="W84" s="80"/>
      <c r="X84" s="84"/>
      <c r="Y84" s="80"/>
      <c r="Z84" s="53"/>
      <c r="AA84" s="72">
        <v>1</v>
      </c>
      <c r="AB84" s="71" t="str">
        <f>VLOOKUP(AA84,detail_maturity_score,3,FALSE)</f>
        <v/>
      </c>
    </row>
    <row r="85" spans="1:28" s="55" customFormat="1" ht="30" customHeight="1" x14ac:dyDescent="0.2">
      <c r="A85" s="27">
        <v>600</v>
      </c>
      <c r="B85" s="28" t="str">
        <f t="shared" si="11"/>
        <v>3.5.02</v>
      </c>
      <c r="C85" s="29">
        <f t="shared" si="12"/>
        <v>4</v>
      </c>
      <c r="D85" s="3"/>
      <c r="E85" s="4"/>
      <c r="F85" s="4"/>
      <c r="G85" s="4"/>
      <c r="H85" s="4"/>
      <c r="I85" s="4"/>
      <c r="J85" s="4"/>
      <c r="K85" s="133"/>
      <c r="L85" s="29"/>
      <c r="M85" s="29"/>
      <c r="N85" s="29"/>
      <c r="O85" s="29"/>
      <c r="P85" s="29"/>
      <c r="Q85" s="29"/>
      <c r="R85" s="29"/>
      <c r="S85" s="29"/>
      <c r="T85" s="57"/>
      <c r="U85" s="29"/>
      <c r="V85" s="29"/>
      <c r="W85" s="81"/>
      <c r="X85" s="85"/>
      <c r="Y85" s="81"/>
      <c r="AA85" s="72"/>
      <c r="AB85" s="72"/>
    </row>
    <row r="86" spans="1:28" s="55" customFormat="1" ht="30" customHeight="1" x14ac:dyDescent="0.2">
      <c r="A86" s="27">
        <v>601</v>
      </c>
      <c r="B86" s="28" t="str">
        <f t="shared" si="11"/>
        <v>3.5.02a</v>
      </c>
      <c r="C86" s="29">
        <f t="shared" si="12"/>
        <v>6</v>
      </c>
      <c r="D86" s="3"/>
      <c r="E86" s="4"/>
      <c r="F86" s="4"/>
      <c r="G86" s="4"/>
      <c r="H86" s="4"/>
      <c r="I86" s="4"/>
      <c r="J86" s="4"/>
      <c r="K86" s="133"/>
      <c r="L86" s="29"/>
      <c r="M86" s="29"/>
      <c r="N86" s="29"/>
      <c r="O86" s="29"/>
      <c r="P86" s="29"/>
      <c r="Q86" s="29"/>
      <c r="R86" s="29"/>
      <c r="S86" s="29"/>
      <c r="T86" s="57"/>
      <c r="U86" s="29"/>
      <c r="V86" s="29"/>
      <c r="W86" s="81"/>
      <c r="X86" s="85"/>
      <c r="Y86" s="81"/>
      <c r="AA86" s="72">
        <v>1</v>
      </c>
      <c r="AB86" s="72" t="str">
        <f t="shared" ref="AB86:AB94" si="13">VLOOKUP(AA86,detail_maturity_score,3,FALSE)</f>
        <v/>
      </c>
    </row>
    <row r="87" spans="1:28" s="55" customFormat="1" ht="30" customHeight="1" x14ac:dyDescent="0.2">
      <c r="A87" s="27">
        <v>602</v>
      </c>
      <c r="B87" s="28" t="str">
        <f t="shared" si="11"/>
        <v>3.5.02b</v>
      </c>
      <c r="C87" s="29">
        <f t="shared" si="12"/>
        <v>6</v>
      </c>
      <c r="D87" s="3"/>
      <c r="E87" s="4"/>
      <c r="F87" s="4"/>
      <c r="G87" s="4"/>
      <c r="H87" s="4"/>
      <c r="I87" s="4"/>
      <c r="J87" s="4"/>
      <c r="K87" s="133"/>
      <c r="L87" s="29"/>
      <c r="M87" s="29"/>
      <c r="N87" s="29"/>
      <c r="O87" s="29"/>
      <c r="P87" s="29"/>
      <c r="Q87" s="29"/>
      <c r="R87" s="29"/>
      <c r="S87" s="29"/>
      <c r="T87" s="57"/>
      <c r="U87" s="29"/>
      <c r="V87" s="29"/>
      <c r="W87" s="81"/>
      <c r="X87" s="85"/>
      <c r="Y87" s="81"/>
      <c r="AA87" s="72">
        <v>1</v>
      </c>
      <c r="AB87" s="72" t="str">
        <f t="shared" si="13"/>
        <v/>
      </c>
    </row>
    <row r="88" spans="1:28" s="55" customFormat="1" ht="30" customHeight="1" x14ac:dyDescent="0.2">
      <c r="A88" s="27">
        <v>603</v>
      </c>
      <c r="B88" s="28" t="str">
        <f t="shared" si="11"/>
        <v>3.5.02c</v>
      </c>
      <c r="C88" s="29">
        <f t="shared" si="12"/>
        <v>6</v>
      </c>
      <c r="D88" s="3"/>
      <c r="E88" s="4"/>
      <c r="F88" s="4"/>
      <c r="G88" s="4"/>
      <c r="H88" s="4"/>
      <c r="I88" s="4"/>
      <c r="J88" s="4"/>
      <c r="K88" s="133"/>
      <c r="L88" s="29"/>
      <c r="M88" s="29"/>
      <c r="N88" s="29"/>
      <c r="O88" s="29"/>
      <c r="P88" s="29"/>
      <c r="Q88" s="29"/>
      <c r="R88" s="29"/>
      <c r="S88" s="29"/>
      <c r="T88" s="57"/>
      <c r="U88" s="29"/>
      <c r="V88" s="29"/>
      <c r="W88" s="81"/>
      <c r="X88" s="85"/>
      <c r="Y88" s="81"/>
      <c r="AA88" s="72">
        <v>1</v>
      </c>
      <c r="AB88" s="72" t="str">
        <f t="shared" si="13"/>
        <v/>
      </c>
    </row>
    <row r="89" spans="1:28" s="55" customFormat="1" x14ac:dyDescent="0.2">
      <c r="A89" s="27">
        <v>604</v>
      </c>
      <c r="B89" s="28" t="str">
        <f t="shared" si="11"/>
        <v>3.5.02d</v>
      </c>
      <c r="C89" s="29">
        <f t="shared" si="12"/>
        <v>6</v>
      </c>
      <c r="D89" s="3"/>
      <c r="E89" s="4"/>
      <c r="F89" s="4"/>
      <c r="G89" s="4"/>
      <c r="H89" s="4"/>
      <c r="I89" s="4"/>
      <c r="J89" s="4"/>
      <c r="K89" s="133"/>
      <c r="L89" s="29"/>
      <c r="M89" s="29"/>
      <c r="N89" s="29"/>
      <c r="O89" s="29"/>
      <c r="P89" s="29"/>
      <c r="Q89" s="29"/>
      <c r="R89" s="29"/>
      <c r="S89" s="29"/>
      <c r="T89" s="57"/>
      <c r="U89" s="29"/>
      <c r="V89" s="29"/>
      <c r="W89" s="81"/>
      <c r="X89" s="85"/>
      <c r="Y89" s="81"/>
      <c r="AA89" s="72">
        <v>1</v>
      </c>
      <c r="AB89" s="72" t="str">
        <f t="shared" si="13"/>
        <v/>
      </c>
    </row>
    <row r="90" spans="1:28" s="55" customFormat="1" ht="30" customHeight="1" x14ac:dyDescent="0.2">
      <c r="A90" s="27">
        <v>605</v>
      </c>
      <c r="B90" s="28" t="str">
        <f t="shared" si="11"/>
        <v>3.5.02e</v>
      </c>
      <c r="C90" s="29">
        <f t="shared" si="12"/>
        <v>6</v>
      </c>
      <c r="D90" s="3"/>
      <c r="E90" s="4"/>
      <c r="F90" s="4"/>
      <c r="G90" s="4"/>
      <c r="H90" s="4"/>
      <c r="I90" s="4"/>
      <c r="J90" s="4"/>
      <c r="K90" s="133"/>
      <c r="L90" s="29"/>
      <c r="M90" s="29"/>
      <c r="N90" s="29"/>
      <c r="O90" s="29"/>
      <c r="P90" s="29"/>
      <c r="Q90" s="29"/>
      <c r="R90" s="29"/>
      <c r="S90" s="29"/>
      <c r="T90" s="57"/>
      <c r="U90" s="29"/>
      <c r="V90" s="29"/>
      <c r="W90" s="81"/>
      <c r="X90" s="85"/>
      <c r="Y90" s="81"/>
      <c r="AA90" s="72">
        <v>1</v>
      </c>
      <c r="AB90" s="72" t="str">
        <f t="shared" si="13"/>
        <v/>
      </c>
    </row>
    <row r="91" spans="1:28" s="55" customFormat="1" x14ac:dyDescent="0.2">
      <c r="A91" s="27">
        <v>606</v>
      </c>
      <c r="B91" s="28" t="str">
        <f t="shared" si="11"/>
        <v>3.5.03</v>
      </c>
      <c r="C91" s="29">
        <f t="shared" si="12"/>
        <v>5</v>
      </c>
      <c r="D91" s="3"/>
      <c r="E91" s="4"/>
      <c r="F91" s="4"/>
      <c r="G91" s="4"/>
      <c r="H91" s="4"/>
      <c r="I91" s="4"/>
      <c r="J91" s="4"/>
      <c r="K91" s="133"/>
      <c r="L91" s="29"/>
      <c r="M91" s="29"/>
      <c r="N91" s="29"/>
      <c r="O91" s="29"/>
      <c r="P91" s="29"/>
      <c r="Q91" s="29"/>
      <c r="R91" s="29"/>
      <c r="S91" s="29"/>
      <c r="T91" s="57"/>
      <c r="U91" s="29"/>
      <c r="V91" s="29"/>
      <c r="W91" s="81"/>
      <c r="X91" s="85"/>
      <c r="Y91" s="81"/>
      <c r="AA91" s="72">
        <v>1</v>
      </c>
      <c r="AB91" s="72" t="str">
        <f t="shared" si="13"/>
        <v/>
      </c>
    </row>
    <row r="92" spans="1:28" s="55" customFormat="1" ht="30" customHeight="1" x14ac:dyDescent="0.2">
      <c r="A92" s="27">
        <v>607</v>
      </c>
      <c r="B92" s="28" t="str">
        <f t="shared" si="11"/>
        <v>3.5.04</v>
      </c>
      <c r="C92" s="29">
        <f t="shared" si="12"/>
        <v>5</v>
      </c>
      <c r="D92" s="3"/>
      <c r="E92" s="4"/>
      <c r="F92" s="4"/>
      <c r="G92" s="4"/>
      <c r="H92" s="4"/>
      <c r="I92" s="4"/>
      <c r="J92" s="4"/>
      <c r="K92" s="133"/>
      <c r="L92" s="29"/>
      <c r="M92" s="29"/>
      <c r="N92" s="29"/>
      <c r="O92" s="29"/>
      <c r="P92" s="29"/>
      <c r="Q92" s="29"/>
      <c r="R92" s="29"/>
      <c r="S92" s="29"/>
      <c r="T92" s="57"/>
      <c r="U92" s="29"/>
      <c r="V92" s="29"/>
      <c r="W92" s="81"/>
      <c r="X92" s="85"/>
      <c r="Y92" s="81"/>
      <c r="AA92" s="72">
        <v>1</v>
      </c>
      <c r="AB92" s="72" t="str">
        <f t="shared" si="13"/>
        <v/>
      </c>
    </row>
    <row r="93" spans="1:28" s="55" customFormat="1" x14ac:dyDescent="0.2">
      <c r="A93" s="27">
        <v>608</v>
      </c>
      <c r="B93" s="28" t="str">
        <f t="shared" si="11"/>
        <v>3.5.04a</v>
      </c>
      <c r="C93" s="29">
        <f t="shared" si="12"/>
        <v>6</v>
      </c>
      <c r="D93" s="3"/>
      <c r="E93" s="4"/>
      <c r="F93" s="4"/>
      <c r="G93" s="4"/>
      <c r="H93" s="4"/>
      <c r="I93" s="4"/>
      <c r="J93" s="4"/>
      <c r="K93" s="133"/>
      <c r="L93" s="29"/>
      <c r="M93" s="29"/>
      <c r="N93" s="29"/>
      <c r="O93" s="29"/>
      <c r="P93" s="29"/>
      <c r="Q93" s="29"/>
      <c r="R93" s="29"/>
      <c r="S93" s="29"/>
      <c r="T93" s="57"/>
      <c r="U93" s="29"/>
      <c r="V93" s="29"/>
      <c r="W93" s="81"/>
      <c r="X93" s="85"/>
      <c r="Y93" s="81"/>
      <c r="AA93" s="72">
        <v>1</v>
      </c>
      <c r="AB93" s="72" t="str">
        <f t="shared" si="13"/>
        <v/>
      </c>
    </row>
    <row r="94" spans="1:28" s="55" customFormat="1" ht="30" customHeight="1" x14ac:dyDescent="0.2">
      <c r="A94" s="27">
        <v>609</v>
      </c>
      <c r="B94" s="28" t="str">
        <f t="shared" si="11"/>
        <v>3.5.04b</v>
      </c>
      <c r="C94" s="29">
        <f t="shared" si="12"/>
        <v>6</v>
      </c>
      <c r="D94" s="3"/>
      <c r="E94" s="4"/>
      <c r="F94" s="4"/>
      <c r="G94" s="4"/>
      <c r="H94" s="4"/>
      <c r="I94" s="4"/>
      <c r="J94" s="4"/>
      <c r="K94" s="133"/>
      <c r="L94" s="29"/>
      <c r="M94" s="29"/>
      <c r="N94" s="29"/>
      <c r="O94" s="29"/>
      <c r="P94" s="29"/>
      <c r="Q94" s="29"/>
      <c r="R94" s="29"/>
      <c r="S94" s="29"/>
      <c r="T94" s="57"/>
      <c r="U94" s="29"/>
      <c r="V94" s="29"/>
      <c r="W94" s="81"/>
      <c r="X94" s="85"/>
      <c r="Y94" s="81"/>
      <c r="AA94" s="72">
        <v>1</v>
      </c>
      <c r="AB94" s="72" t="str">
        <f t="shared" si="13"/>
        <v/>
      </c>
    </row>
    <row r="95" spans="1:28" s="55" customFormat="1" x14ac:dyDescent="0.2">
      <c r="A95" s="27">
        <v>610</v>
      </c>
      <c r="B95" s="28" t="str">
        <f t="shared" si="11"/>
        <v>3.5.05</v>
      </c>
      <c r="C95" s="29">
        <f t="shared" si="12"/>
        <v>4</v>
      </c>
      <c r="D95" s="3"/>
      <c r="E95" s="4"/>
      <c r="F95" s="4"/>
      <c r="G95" s="4"/>
      <c r="H95" s="4"/>
      <c r="I95" s="4"/>
      <c r="J95" s="4"/>
      <c r="K95" s="133"/>
      <c r="L95" s="29"/>
      <c r="M95" s="29"/>
      <c r="N95" s="29"/>
      <c r="O95" s="29"/>
      <c r="P95" s="29"/>
      <c r="Q95" s="29"/>
      <c r="R95" s="29"/>
      <c r="S95" s="29"/>
      <c r="T95" s="57"/>
      <c r="U95" s="29"/>
      <c r="V95" s="29"/>
      <c r="W95" s="81"/>
      <c r="X95" s="85"/>
      <c r="Y95" s="81"/>
      <c r="AA95" s="72"/>
      <c r="AB95" s="72"/>
    </row>
    <row r="96" spans="1:28" s="55" customFormat="1" ht="30" customHeight="1" x14ac:dyDescent="0.2">
      <c r="A96" s="27">
        <v>611</v>
      </c>
      <c r="B96" s="28" t="str">
        <f t="shared" si="11"/>
        <v>3.5.05a</v>
      </c>
      <c r="C96" s="29">
        <f t="shared" si="12"/>
        <v>6</v>
      </c>
      <c r="D96" s="3"/>
      <c r="E96" s="4"/>
      <c r="F96" s="4"/>
      <c r="G96" s="4"/>
      <c r="H96" s="4"/>
      <c r="I96" s="4"/>
      <c r="J96" s="4"/>
      <c r="K96" s="133"/>
      <c r="L96" s="29"/>
      <c r="M96" s="29"/>
      <c r="N96" s="29"/>
      <c r="O96" s="29"/>
      <c r="P96" s="29"/>
      <c r="Q96" s="29"/>
      <c r="R96" s="29"/>
      <c r="S96" s="29"/>
      <c r="T96" s="57"/>
      <c r="U96" s="29"/>
      <c r="V96" s="29"/>
      <c r="W96" s="81"/>
      <c r="X96" s="85"/>
      <c r="Y96" s="81"/>
      <c r="AA96" s="72">
        <v>1</v>
      </c>
      <c r="AB96" s="72" t="str">
        <f>VLOOKUP(AA96,detail_maturity_score,3,FALSE)</f>
        <v/>
      </c>
    </row>
    <row r="97" spans="1:28" s="55" customFormat="1" ht="30" customHeight="1" x14ac:dyDescent="0.2">
      <c r="A97" s="27">
        <v>612</v>
      </c>
      <c r="B97" s="28" t="str">
        <f t="shared" si="11"/>
        <v>3.5.05b</v>
      </c>
      <c r="C97" s="29">
        <f t="shared" si="12"/>
        <v>6</v>
      </c>
      <c r="D97" s="3"/>
      <c r="E97" s="4"/>
      <c r="F97" s="4"/>
      <c r="G97" s="4"/>
      <c r="H97" s="4"/>
      <c r="I97" s="4"/>
      <c r="J97" s="4"/>
      <c r="K97" s="133"/>
      <c r="L97" s="29"/>
      <c r="M97" s="29"/>
      <c r="N97" s="29"/>
      <c r="O97" s="29"/>
      <c r="P97" s="29"/>
      <c r="Q97" s="29"/>
      <c r="R97" s="29"/>
      <c r="S97" s="29"/>
      <c r="T97" s="57"/>
      <c r="U97" s="29"/>
      <c r="V97" s="29"/>
      <c r="W97" s="81"/>
      <c r="X97" s="85"/>
      <c r="Y97" s="81"/>
      <c r="AA97" s="72">
        <v>1</v>
      </c>
      <c r="AB97" s="72" t="str">
        <f>VLOOKUP(AA97,detail_maturity_score,3,FALSE)</f>
        <v/>
      </c>
    </row>
    <row r="98" spans="1:28" s="55" customFormat="1" ht="30" customHeight="1" x14ac:dyDescent="0.2">
      <c r="A98" s="27">
        <v>613</v>
      </c>
      <c r="B98" s="28" t="str">
        <f t="shared" si="11"/>
        <v>3.5.05c</v>
      </c>
      <c r="C98" s="29">
        <f t="shared" si="12"/>
        <v>6</v>
      </c>
      <c r="D98" s="3"/>
      <c r="E98" s="4"/>
      <c r="F98" s="4"/>
      <c r="G98" s="4"/>
      <c r="H98" s="4"/>
      <c r="I98" s="4"/>
      <c r="J98" s="4"/>
      <c r="K98" s="133"/>
      <c r="L98" s="29"/>
      <c r="M98" s="29"/>
      <c r="N98" s="29"/>
      <c r="O98" s="29"/>
      <c r="P98" s="29"/>
      <c r="Q98" s="29"/>
      <c r="R98" s="29"/>
      <c r="S98" s="29"/>
      <c r="T98" s="57"/>
      <c r="U98" s="29"/>
      <c r="V98" s="29"/>
      <c r="W98" s="81"/>
      <c r="X98" s="85"/>
      <c r="Y98" s="81"/>
      <c r="AA98" s="72">
        <v>1</v>
      </c>
      <c r="AB98" s="72" t="str">
        <f>VLOOKUP(AA98,detail_maturity_score,3,FALSE)</f>
        <v/>
      </c>
    </row>
    <row r="99" spans="1:28" s="55" customFormat="1" ht="30" customHeight="1" x14ac:dyDescent="0.2">
      <c r="A99" s="27">
        <v>614</v>
      </c>
      <c r="B99" s="28" t="str">
        <f t="shared" si="11"/>
        <v>3.5.05d</v>
      </c>
      <c r="C99" s="29">
        <f t="shared" si="12"/>
        <v>6</v>
      </c>
      <c r="D99" s="3"/>
      <c r="E99" s="4"/>
      <c r="F99" s="4"/>
      <c r="G99" s="4"/>
      <c r="H99" s="4"/>
      <c r="I99" s="4"/>
      <c r="J99" s="4"/>
      <c r="K99" s="133"/>
      <c r="L99" s="29"/>
      <c r="M99" s="29"/>
      <c r="N99" s="29"/>
      <c r="O99" s="29"/>
      <c r="P99" s="29"/>
      <c r="Q99" s="29"/>
      <c r="R99" s="29"/>
      <c r="S99" s="29"/>
      <c r="T99" s="57"/>
      <c r="U99" s="29"/>
      <c r="V99" s="29"/>
      <c r="W99" s="81"/>
      <c r="X99" s="85"/>
      <c r="Y99" s="81"/>
      <c r="AA99" s="72">
        <v>1</v>
      </c>
      <c r="AB99" s="72" t="str">
        <f>VLOOKUP(AA99,detail_maturity_score,3,FALSE)</f>
        <v/>
      </c>
    </row>
    <row r="100" spans="1:28" s="55" customFormat="1" ht="30" customHeight="1" x14ac:dyDescent="0.2">
      <c r="A100" s="27">
        <v>615</v>
      </c>
      <c r="B100" s="28" t="str">
        <f t="shared" si="11"/>
        <v>3.5.05e</v>
      </c>
      <c r="C100" s="29">
        <f t="shared" si="12"/>
        <v>6</v>
      </c>
      <c r="D100" s="3"/>
      <c r="E100" s="4"/>
      <c r="F100" s="4"/>
      <c r="G100" s="4"/>
      <c r="H100" s="4"/>
      <c r="I100" s="4"/>
      <c r="J100" s="4"/>
      <c r="K100" s="133"/>
      <c r="L100" s="29"/>
      <c r="M100" s="29"/>
      <c r="N100" s="29"/>
      <c r="O100" s="29"/>
      <c r="P100" s="29"/>
      <c r="Q100" s="29"/>
      <c r="R100" s="29"/>
      <c r="S100" s="29"/>
      <c r="T100" s="57"/>
      <c r="U100" s="29"/>
      <c r="V100" s="29"/>
      <c r="W100" s="81"/>
      <c r="X100" s="85"/>
      <c r="Y100" s="81"/>
      <c r="AA100" s="72">
        <v>1</v>
      </c>
      <c r="AB100" s="72" t="str">
        <f>VLOOKUP(AA100,detail_maturity_score,3,FALSE)</f>
        <v/>
      </c>
    </row>
    <row r="101" spans="1:28" s="55" customFormat="1" ht="30" customHeight="1" x14ac:dyDescent="0.2">
      <c r="A101" s="27">
        <v>616</v>
      </c>
      <c r="B101" s="28" t="str">
        <f t="shared" si="11"/>
        <v>3.5.06</v>
      </c>
      <c r="C101" s="29">
        <f t="shared" si="12"/>
        <v>4</v>
      </c>
      <c r="D101" s="3"/>
      <c r="E101" s="4"/>
      <c r="F101" s="4"/>
      <c r="G101" s="4"/>
      <c r="H101" s="4"/>
      <c r="I101" s="4"/>
      <c r="J101" s="4"/>
      <c r="K101" s="133"/>
      <c r="L101" s="29"/>
      <c r="M101" s="29"/>
      <c r="N101" s="29"/>
      <c r="O101" s="29"/>
      <c r="P101" s="29"/>
      <c r="Q101" s="29"/>
      <c r="R101" s="29"/>
      <c r="S101" s="29"/>
      <c r="T101" s="57"/>
      <c r="U101" s="29"/>
      <c r="V101" s="29"/>
      <c r="W101" s="81"/>
      <c r="X101" s="85"/>
      <c r="Y101" s="81"/>
      <c r="AA101" s="72"/>
      <c r="AB101" s="72"/>
    </row>
    <row r="102" spans="1:28" s="55" customFormat="1" ht="30" customHeight="1" x14ac:dyDescent="0.2">
      <c r="A102" s="27">
        <v>617</v>
      </c>
      <c r="B102" s="28" t="str">
        <f t="shared" si="11"/>
        <v>3.5.06a</v>
      </c>
      <c r="C102" s="29">
        <f t="shared" si="12"/>
        <v>6</v>
      </c>
      <c r="D102" s="3"/>
      <c r="E102" s="4"/>
      <c r="F102" s="4"/>
      <c r="G102" s="4"/>
      <c r="H102" s="4"/>
      <c r="I102" s="4"/>
      <c r="J102" s="4"/>
      <c r="K102" s="133"/>
      <c r="L102" s="29"/>
      <c r="M102" s="29"/>
      <c r="N102" s="29"/>
      <c r="O102" s="29"/>
      <c r="P102" s="29"/>
      <c r="Q102" s="29"/>
      <c r="R102" s="29"/>
      <c r="S102" s="29"/>
      <c r="T102" s="57"/>
      <c r="U102" s="29"/>
      <c r="V102" s="29"/>
      <c r="W102" s="81"/>
      <c r="X102" s="85"/>
      <c r="Y102" s="81"/>
      <c r="AA102" s="72">
        <v>1</v>
      </c>
      <c r="AB102" s="72" t="str">
        <f>VLOOKUP(AA102,detail_maturity_score,3,FALSE)</f>
        <v/>
      </c>
    </row>
    <row r="103" spans="1:28" s="55" customFormat="1" ht="30" customHeight="1" x14ac:dyDescent="0.2">
      <c r="A103" s="27">
        <v>618</v>
      </c>
      <c r="B103" s="28" t="str">
        <f t="shared" si="11"/>
        <v>3.5.06b</v>
      </c>
      <c r="C103" s="29">
        <f t="shared" si="12"/>
        <v>6</v>
      </c>
      <c r="D103" s="3"/>
      <c r="E103" s="4"/>
      <c r="F103" s="4"/>
      <c r="G103" s="4"/>
      <c r="H103" s="4"/>
      <c r="I103" s="4"/>
      <c r="J103" s="4"/>
      <c r="K103" s="134"/>
      <c r="L103" s="29"/>
      <c r="M103" s="29"/>
      <c r="N103" s="29"/>
      <c r="O103" s="29"/>
      <c r="P103" s="29"/>
      <c r="Q103" s="29"/>
      <c r="R103" s="29"/>
      <c r="S103" s="29"/>
      <c r="T103" s="57"/>
      <c r="U103" s="29"/>
      <c r="V103" s="29"/>
      <c r="W103" s="81"/>
      <c r="X103" s="85"/>
      <c r="Y103" s="81"/>
      <c r="AA103" s="72">
        <v>1</v>
      </c>
      <c r="AB103" s="72" t="str">
        <f>VLOOKUP(AA103,detail_maturity_score,3,FALSE)</f>
        <v/>
      </c>
    </row>
    <row r="104" spans="1:28" s="55" customFormat="1" ht="19" x14ac:dyDescent="0.2">
      <c r="A104" s="27">
        <v>619</v>
      </c>
      <c r="B104" s="28" t="str">
        <f t="shared" ref="B104:B130" si="14">VLOOKUP(A104,contentref,2,FALSE)</f>
        <v>3.5.07</v>
      </c>
      <c r="C104" s="29">
        <f t="shared" ref="C104:C130" si="15">VLOOKUP(A104,contentref,15,FALSE)</f>
        <v>5</v>
      </c>
      <c r="D104" s="3"/>
      <c r="E104" s="4"/>
      <c r="F104" s="4"/>
      <c r="G104" s="4"/>
      <c r="H104" s="4"/>
      <c r="I104" s="4"/>
      <c r="J104" s="4"/>
      <c r="K104" s="136"/>
      <c r="L104" s="37"/>
      <c r="M104" s="37"/>
      <c r="N104" s="37"/>
      <c r="O104" s="37"/>
      <c r="P104" s="37"/>
      <c r="Q104" s="37"/>
      <c r="R104" s="37"/>
      <c r="S104" s="37"/>
      <c r="T104" s="77"/>
      <c r="U104" s="37"/>
      <c r="V104" s="37"/>
      <c r="W104" s="82"/>
      <c r="X104" s="86"/>
      <c r="Y104" s="82"/>
      <c r="Z104" s="56"/>
      <c r="AA104" s="72">
        <v>1</v>
      </c>
      <c r="AB104" s="73" t="str">
        <f>VLOOKUP(AA104,detail_maturity_score,3,FALSE)</f>
        <v/>
      </c>
    </row>
    <row r="105" spans="1:28" s="54" customFormat="1" ht="30" customHeight="1" x14ac:dyDescent="0.2">
      <c r="A105" s="27">
        <v>620</v>
      </c>
      <c r="B105" s="28" t="str">
        <f t="shared" si="14"/>
        <v>3.6</v>
      </c>
      <c r="C105" s="29">
        <f t="shared" si="15"/>
        <v>2</v>
      </c>
      <c r="D105" s="3"/>
      <c r="E105" s="4"/>
      <c r="F105" s="4"/>
      <c r="G105" s="4"/>
      <c r="H105" s="4"/>
      <c r="I105" s="4"/>
      <c r="J105" s="4"/>
      <c r="K105" s="132"/>
      <c r="L105" s="52"/>
      <c r="M105" s="51"/>
      <c r="N105" s="51"/>
      <c r="O105" s="51"/>
      <c r="P105" s="51"/>
      <c r="Q105" s="51"/>
      <c r="R105" s="51"/>
      <c r="S105" s="51"/>
      <c r="T105" s="51"/>
      <c r="U105" s="51"/>
      <c r="V105" s="51"/>
      <c r="W105" s="79"/>
      <c r="X105" s="79"/>
      <c r="Y105" s="83"/>
      <c r="AA105" s="72"/>
      <c r="AB105" s="70"/>
    </row>
    <row r="106" spans="1:28" s="55" customFormat="1" ht="30" customHeight="1" x14ac:dyDescent="0.2">
      <c r="A106" s="27">
        <v>621</v>
      </c>
      <c r="B106" s="28" t="str">
        <f t="shared" si="14"/>
        <v>3.6.01</v>
      </c>
      <c r="C106" s="29">
        <f t="shared" si="15"/>
        <v>5</v>
      </c>
      <c r="D106" s="3"/>
      <c r="E106" s="4"/>
      <c r="F106" s="4"/>
      <c r="G106" s="4"/>
      <c r="H106" s="4"/>
      <c r="I106" s="4"/>
      <c r="J106" s="4"/>
      <c r="K106" s="133"/>
      <c r="L106" s="43"/>
      <c r="M106" s="43"/>
      <c r="N106" s="43"/>
      <c r="O106" s="43"/>
      <c r="P106" s="43"/>
      <c r="Q106" s="43"/>
      <c r="R106" s="43"/>
      <c r="S106" s="43"/>
      <c r="T106" s="78"/>
      <c r="U106" s="43"/>
      <c r="V106" s="43"/>
      <c r="W106" s="80"/>
      <c r="X106" s="84"/>
      <c r="Y106" s="80"/>
      <c r="Z106" s="53"/>
      <c r="AA106" s="72">
        <v>1</v>
      </c>
      <c r="AB106" s="71" t="str">
        <f>VLOOKUP(AA106,detail_maturity_score,3,FALSE)</f>
        <v/>
      </c>
    </row>
    <row r="107" spans="1:28" s="55" customFormat="1" ht="30" customHeight="1" x14ac:dyDescent="0.2">
      <c r="A107" s="27">
        <v>622</v>
      </c>
      <c r="B107" s="28" t="str">
        <f t="shared" si="14"/>
        <v>3.6.02</v>
      </c>
      <c r="C107" s="29">
        <f t="shared" si="15"/>
        <v>5</v>
      </c>
      <c r="D107" s="3"/>
      <c r="E107" s="4"/>
      <c r="F107" s="4"/>
      <c r="G107" s="4"/>
      <c r="H107" s="4"/>
      <c r="I107" s="4"/>
      <c r="J107" s="4"/>
      <c r="K107" s="133"/>
      <c r="L107" s="29"/>
      <c r="M107" s="29"/>
      <c r="N107" s="29"/>
      <c r="O107" s="29"/>
      <c r="P107" s="29"/>
      <c r="Q107" s="29"/>
      <c r="R107" s="29"/>
      <c r="S107" s="29"/>
      <c r="T107" s="57"/>
      <c r="U107" s="29"/>
      <c r="V107" s="29"/>
      <c r="W107" s="81"/>
      <c r="X107" s="85"/>
      <c r="Y107" s="81"/>
      <c r="AA107" s="72">
        <v>1</v>
      </c>
      <c r="AB107" s="72" t="str">
        <f>VLOOKUP(AA107,detail_maturity_score,3,FALSE)</f>
        <v/>
      </c>
    </row>
    <row r="108" spans="1:28" s="55" customFormat="1" x14ac:dyDescent="0.2">
      <c r="A108" s="27">
        <v>623</v>
      </c>
      <c r="B108" s="28" t="str">
        <f t="shared" si="14"/>
        <v>3.6.03</v>
      </c>
      <c r="C108" s="29">
        <f t="shared" si="15"/>
        <v>4</v>
      </c>
      <c r="D108" s="3"/>
      <c r="E108" s="4"/>
      <c r="F108" s="4"/>
      <c r="G108" s="4"/>
      <c r="H108" s="4"/>
      <c r="I108" s="4"/>
      <c r="J108" s="4"/>
      <c r="K108" s="133"/>
      <c r="L108" s="29"/>
      <c r="M108" s="29"/>
      <c r="N108" s="29"/>
      <c r="O108" s="29"/>
      <c r="P108" s="29"/>
      <c r="Q108" s="29"/>
      <c r="R108" s="29"/>
      <c r="S108" s="29"/>
      <c r="T108" s="57"/>
      <c r="U108" s="29"/>
      <c r="V108" s="29"/>
      <c r="W108" s="81"/>
      <c r="X108" s="85"/>
      <c r="Y108" s="81"/>
      <c r="AA108" s="72"/>
      <c r="AB108" s="72"/>
    </row>
    <row r="109" spans="1:28" s="55" customFormat="1" ht="30" customHeight="1" x14ac:dyDescent="0.2">
      <c r="A109" s="27">
        <v>624</v>
      </c>
      <c r="B109" s="28" t="str">
        <f t="shared" si="14"/>
        <v>3.6.03a</v>
      </c>
      <c r="C109" s="29">
        <f t="shared" si="15"/>
        <v>6</v>
      </c>
      <c r="D109" s="3"/>
      <c r="E109" s="4"/>
      <c r="F109" s="4"/>
      <c r="G109" s="4"/>
      <c r="H109" s="4"/>
      <c r="I109" s="4"/>
      <c r="J109" s="4"/>
      <c r="K109" s="133"/>
      <c r="L109" s="29"/>
      <c r="M109" s="29"/>
      <c r="N109" s="29"/>
      <c r="O109" s="29"/>
      <c r="P109" s="29"/>
      <c r="Q109" s="29"/>
      <c r="R109" s="29"/>
      <c r="S109" s="29"/>
      <c r="T109" s="57"/>
      <c r="U109" s="29"/>
      <c r="V109" s="29"/>
      <c r="W109" s="81"/>
      <c r="X109" s="85"/>
      <c r="Y109" s="81"/>
      <c r="AA109" s="72">
        <v>1</v>
      </c>
      <c r="AB109" s="72" t="str">
        <f>VLOOKUP(AA109,detail_maturity_score,3,FALSE)</f>
        <v/>
      </c>
    </row>
    <row r="110" spans="1:28" s="55" customFormat="1" x14ac:dyDescent="0.2">
      <c r="A110" s="27">
        <v>625</v>
      </c>
      <c r="B110" s="28" t="str">
        <f t="shared" si="14"/>
        <v>3.6.03b</v>
      </c>
      <c r="C110" s="29">
        <f t="shared" si="15"/>
        <v>6</v>
      </c>
      <c r="D110" s="3"/>
      <c r="E110" s="4"/>
      <c r="F110" s="4"/>
      <c r="G110" s="4"/>
      <c r="H110" s="4"/>
      <c r="I110" s="4"/>
      <c r="J110" s="4"/>
      <c r="K110" s="133"/>
      <c r="L110" s="29"/>
      <c r="M110" s="29"/>
      <c r="N110" s="29"/>
      <c r="O110" s="29"/>
      <c r="P110" s="29"/>
      <c r="Q110" s="29"/>
      <c r="R110" s="29"/>
      <c r="S110" s="29"/>
      <c r="T110" s="57"/>
      <c r="U110" s="29"/>
      <c r="V110" s="29"/>
      <c r="W110" s="81"/>
      <c r="X110" s="85"/>
      <c r="Y110" s="81"/>
      <c r="AA110" s="72">
        <v>1</v>
      </c>
      <c r="AB110" s="72" t="str">
        <f>VLOOKUP(AA110,detail_maturity_score,3,FALSE)</f>
        <v/>
      </c>
    </row>
    <row r="111" spans="1:28" s="55" customFormat="1" x14ac:dyDescent="0.2">
      <c r="A111" s="27">
        <v>626</v>
      </c>
      <c r="B111" s="28" t="str">
        <f t="shared" si="14"/>
        <v>3.6.03c</v>
      </c>
      <c r="C111" s="29">
        <f t="shared" si="15"/>
        <v>6</v>
      </c>
      <c r="D111" s="3"/>
      <c r="E111" s="4"/>
      <c r="F111" s="4"/>
      <c r="G111" s="4"/>
      <c r="H111" s="4"/>
      <c r="I111" s="4"/>
      <c r="J111" s="4"/>
      <c r="K111" s="133"/>
      <c r="L111" s="29"/>
      <c r="M111" s="29"/>
      <c r="N111" s="29"/>
      <c r="O111" s="29"/>
      <c r="P111" s="29"/>
      <c r="Q111" s="29"/>
      <c r="R111" s="29"/>
      <c r="S111" s="29"/>
      <c r="T111" s="57"/>
      <c r="U111" s="29"/>
      <c r="V111" s="29"/>
      <c r="W111" s="81"/>
      <c r="X111" s="85"/>
      <c r="Y111" s="81"/>
      <c r="AA111" s="72">
        <v>1</v>
      </c>
      <c r="AB111" s="72" t="str">
        <f>VLOOKUP(AA111,detail_maturity_score,3,FALSE)</f>
        <v/>
      </c>
    </row>
    <row r="112" spans="1:28" s="55" customFormat="1" x14ac:dyDescent="0.2">
      <c r="A112" s="27">
        <v>627</v>
      </c>
      <c r="B112" s="28" t="str">
        <f t="shared" si="14"/>
        <v>3.6.03d</v>
      </c>
      <c r="C112" s="29">
        <f t="shared" si="15"/>
        <v>6</v>
      </c>
      <c r="D112" s="3"/>
      <c r="E112" s="4"/>
      <c r="F112" s="4"/>
      <c r="G112" s="4"/>
      <c r="H112" s="4"/>
      <c r="I112" s="4"/>
      <c r="J112" s="4"/>
      <c r="K112" s="133"/>
      <c r="L112" s="29"/>
      <c r="M112" s="29"/>
      <c r="N112" s="29"/>
      <c r="O112" s="29"/>
      <c r="P112" s="29"/>
      <c r="Q112" s="29"/>
      <c r="R112" s="29"/>
      <c r="S112" s="29"/>
      <c r="T112" s="57"/>
      <c r="U112" s="29"/>
      <c r="V112" s="29"/>
      <c r="W112" s="81"/>
      <c r="X112" s="85"/>
      <c r="Y112" s="81"/>
      <c r="AA112" s="72">
        <v>1</v>
      </c>
      <c r="AB112" s="72" t="str">
        <f>VLOOKUP(AA112,detail_maturity_score,3,FALSE)</f>
        <v/>
      </c>
    </row>
    <row r="113" spans="1:28" s="55" customFormat="1" x14ac:dyDescent="0.2">
      <c r="A113" s="27">
        <v>628</v>
      </c>
      <c r="B113" s="28" t="str">
        <f t="shared" si="14"/>
        <v>3.6.03e</v>
      </c>
      <c r="C113" s="29">
        <f t="shared" si="15"/>
        <v>6</v>
      </c>
      <c r="D113" s="3"/>
      <c r="E113" s="4"/>
      <c r="F113" s="4"/>
      <c r="G113" s="4"/>
      <c r="H113" s="4"/>
      <c r="I113" s="4"/>
      <c r="J113" s="4"/>
      <c r="K113" s="133"/>
      <c r="L113" s="29"/>
      <c r="M113" s="29"/>
      <c r="N113" s="29"/>
      <c r="O113" s="29"/>
      <c r="P113" s="29"/>
      <c r="Q113" s="29"/>
      <c r="R113" s="29"/>
      <c r="S113" s="29"/>
      <c r="T113" s="57"/>
      <c r="U113" s="29"/>
      <c r="V113" s="29"/>
      <c r="W113" s="81"/>
      <c r="X113" s="85"/>
      <c r="Y113" s="81"/>
      <c r="AA113" s="72">
        <v>1</v>
      </c>
      <c r="AB113" s="72" t="str">
        <f>VLOOKUP(AA113,detail_maturity_score,3,FALSE)</f>
        <v/>
      </c>
    </row>
    <row r="114" spans="1:28" s="55" customFormat="1" ht="30" customHeight="1" x14ac:dyDescent="0.2">
      <c r="A114" s="27">
        <v>629</v>
      </c>
      <c r="B114" s="28" t="str">
        <f t="shared" si="14"/>
        <v>3.6.04</v>
      </c>
      <c r="C114" s="29">
        <f t="shared" si="15"/>
        <v>4</v>
      </c>
      <c r="D114" s="3"/>
      <c r="E114" s="4"/>
      <c r="F114" s="4"/>
      <c r="G114" s="4"/>
      <c r="H114" s="4"/>
      <c r="I114" s="4"/>
      <c r="J114" s="4"/>
      <c r="K114" s="133"/>
      <c r="L114" s="29"/>
      <c r="M114" s="29"/>
      <c r="N114" s="29"/>
      <c r="O114" s="29"/>
      <c r="P114" s="29"/>
      <c r="Q114" s="29"/>
      <c r="R114" s="29"/>
      <c r="S114" s="29"/>
      <c r="T114" s="57"/>
      <c r="U114" s="29"/>
      <c r="V114" s="29"/>
      <c r="W114" s="81"/>
      <c r="X114" s="85"/>
      <c r="Y114" s="81"/>
      <c r="AA114" s="72"/>
      <c r="AB114" s="72"/>
    </row>
    <row r="115" spans="1:28" s="55" customFormat="1" ht="30" customHeight="1" x14ac:dyDescent="0.2">
      <c r="A115" s="27">
        <v>630</v>
      </c>
      <c r="B115" s="28" t="str">
        <f t="shared" si="14"/>
        <v>3.6.04a</v>
      </c>
      <c r="C115" s="29">
        <f t="shared" si="15"/>
        <v>6</v>
      </c>
      <c r="D115" s="3"/>
      <c r="E115" s="4"/>
      <c r="F115" s="4"/>
      <c r="G115" s="4"/>
      <c r="H115" s="4"/>
      <c r="I115" s="4"/>
      <c r="J115" s="4"/>
      <c r="K115" s="133"/>
      <c r="L115" s="29"/>
      <c r="M115" s="29"/>
      <c r="N115" s="29"/>
      <c r="O115" s="29"/>
      <c r="P115" s="29"/>
      <c r="Q115" s="29"/>
      <c r="R115" s="29"/>
      <c r="S115" s="29"/>
      <c r="T115" s="57"/>
      <c r="U115" s="29"/>
      <c r="V115" s="29"/>
      <c r="W115" s="81"/>
      <c r="X115" s="85"/>
      <c r="Y115" s="81"/>
      <c r="AA115" s="72">
        <v>1</v>
      </c>
      <c r="AB115" s="72" t="str">
        <f t="shared" ref="AB115:AB130" si="16">VLOOKUP(AA115,detail_maturity_score,3,FALSE)</f>
        <v/>
      </c>
    </row>
    <row r="116" spans="1:28" s="55" customFormat="1" ht="30" customHeight="1" x14ac:dyDescent="0.2">
      <c r="A116" s="27">
        <v>631</v>
      </c>
      <c r="B116" s="28" t="str">
        <f t="shared" si="14"/>
        <v>3.6.04b</v>
      </c>
      <c r="C116" s="29">
        <f t="shared" si="15"/>
        <v>6</v>
      </c>
      <c r="D116" s="3"/>
      <c r="E116" s="4"/>
      <c r="F116" s="4"/>
      <c r="G116" s="4"/>
      <c r="H116" s="4"/>
      <c r="I116" s="4"/>
      <c r="J116" s="4"/>
      <c r="K116" s="133"/>
      <c r="L116" s="29"/>
      <c r="M116" s="29"/>
      <c r="N116" s="29"/>
      <c r="O116" s="29"/>
      <c r="P116" s="29"/>
      <c r="Q116" s="29"/>
      <c r="R116" s="29"/>
      <c r="S116" s="29"/>
      <c r="T116" s="57"/>
      <c r="U116" s="29"/>
      <c r="V116" s="29"/>
      <c r="W116" s="81"/>
      <c r="X116" s="85"/>
      <c r="Y116" s="81"/>
      <c r="AA116" s="72">
        <v>1</v>
      </c>
      <c r="AB116" s="72" t="str">
        <f t="shared" si="16"/>
        <v/>
      </c>
    </row>
    <row r="117" spans="1:28" s="55" customFormat="1" ht="30" customHeight="1" x14ac:dyDescent="0.2">
      <c r="A117" s="27">
        <v>632</v>
      </c>
      <c r="B117" s="28" t="str">
        <f t="shared" si="14"/>
        <v>3.6.05</v>
      </c>
      <c r="C117" s="29">
        <f t="shared" si="15"/>
        <v>5</v>
      </c>
      <c r="D117" s="3"/>
      <c r="E117" s="4"/>
      <c r="F117" s="4"/>
      <c r="G117" s="4"/>
      <c r="H117" s="4"/>
      <c r="I117" s="4"/>
      <c r="J117" s="4"/>
      <c r="K117" s="133"/>
      <c r="L117" s="29"/>
      <c r="M117" s="29"/>
      <c r="N117" s="29"/>
      <c r="O117" s="29"/>
      <c r="P117" s="29"/>
      <c r="Q117" s="29"/>
      <c r="R117" s="29"/>
      <c r="S117" s="29"/>
      <c r="T117" s="57"/>
      <c r="U117" s="29"/>
      <c r="V117" s="29"/>
      <c r="W117" s="81"/>
      <c r="X117" s="85"/>
      <c r="Y117" s="81"/>
      <c r="AA117" s="72">
        <v>1</v>
      </c>
      <c r="AB117" s="72" t="str">
        <f t="shared" si="16"/>
        <v/>
      </c>
    </row>
    <row r="118" spans="1:28" s="55" customFormat="1" x14ac:dyDescent="0.2">
      <c r="A118" s="27">
        <v>633</v>
      </c>
      <c r="B118" s="28" t="str">
        <f t="shared" si="14"/>
        <v>3.6.05a</v>
      </c>
      <c r="C118" s="29">
        <f t="shared" si="15"/>
        <v>6</v>
      </c>
      <c r="D118" s="3"/>
      <c r="E118" s="4"/>
      <c r="F118" s="4"/>
      <c r="G118" s="4"/>
      <c r="H118" s="4"/>
      <c r="I118" s="4"/>
      <c r="J118" s="4"/>
      <c r="K118" s="133"/>
      <c r="L118" s="29"/>
      <c r="M118" s="29"/>
      <c r="N118" s="29"/>
      <c r="O118" s="29"/>
      <c r="P118" s="29"/>
      <c r="Q118" s="29"/>
      <c r="R118" s="29"/>
      <c r="S118" s="29"/>
      <c r="T118" s="57"/>
      <c r="U118" s="29"/>
      <c r="V118" s="29"/>
      <c r="W118" s="81"/>
      <c r="X118" s="85"/>
      <c r="Y118" s="81"/>
      <c r="AA118" s="72">
        <v>1</v>
      </c>
      <c r="AB118" s="72" t="str">
        <f t="shared" si="16"/>
        <v/>
      </c>
    </row>
    <row r="119" spans="1:28" s="55" customFormat="1" x14ac:dyDescent="0.2">
      <c r="A119" s="27">
        <v>634</v>
      </c>
      <c r="B119" s="28" t="str">
        <f t="shared" si="14"/>
        <v>3.6.05b</v>
      </c>
      <c r="C119" s="29">
        <f t="shared" si="15"/>
        <v>6</v>
      </c>
      <c r="D119" s="3"/>
      <c r="E119" s="4"/>
      <c r="F119" s="4"/>
      <c r="G119" s="4"/>
      <c r="H119" s="4"/>
      <c r="I119" s="4"/>
      <c r="J119" s="4"/>
      <c r="K119" s="133"/>
      <c r="L119" s="29"/>
      <c r="M119" s="29"/>
      <c r="N119" s="29"/>
      <c r="O119" s="29"/>
      <c r="P119" s="29"/>
      <c r="Q119" s="29"/>
      <c r="R119" s="29"/>
      <c r="S119" s="29"/>
      <c r="T119" s="57"/>
      <c r="U119" s="29"/>
      <c r="V119" s="29"/>
      <c r="W119" s="81"/>
      <c r="X119" s="85"/>
      <c r="Y119" s="81"/>
      <c r="AA119" s="72">
        <v>1</v>
      </c>
      <c r="AB119" s="72" t="str">
        <f t="shared" si="16"/>
        <v/>
      </c>
    </row>
    <row r="120" spans="1:28" s="55" customFormat="1" ht="30" customHeight="1" x14ac:dyDescent="0.2">
      <c r="A120" s="27">
        <v>635</v>
      </c>
      <c r="B120" s="28" t="str">
        <f t="shared" si="14"/>
        <v>3.6.06</v>
      </c>
      <c r="C120" s="29">
        <f t="shared" si="15"/>
        <v>5</v>
      </c>
      <c r="D120" s="3"/>
      <c r="E120" s="4"/>
      <c r="F120" s="4"/>
      <c r="G120" s="4"/>
      <c r="H120" s="4"/>
      <c r="I120" s="4"/>
      <c r="J120" s="4"/>
      <c r="K120" s="133"/>
      <c r="L120" s="29"/>
      <c r="M120" s="29"/>
      <c r="N120" s="29"/>
      <c r="O120" s="29"/>
      <c r="P120" s="29"/>
      <c r="Q120" s="29"/>
      <c r="R120" s="29"/>
      <c r="S120" s="29"/>
      <c r="T120" s="57"/>
      <c r="U120" s="29"/>
      <c r="V120" s="29"/>
      <c r="W120" s="81"/>
      <c r="X120" s="85"/>
      <c r="Y120" s="81"/>
      <c r="AA120" s="72">
        <v>1</v>
      </c>
      <c r="AB120" s="72" t="str">
        <f t="shared" si="16"/>
        <v/>
      </c>
    </row>
    <row r="121" spans="1:28" s="55" customFormat="1" x14ac:dyDescent="0.2">
      <c r="A121" s="27">
        <v>636</v>
      </c>
      <c r="B121" s="28" t="str">
        <f t="shared" si="14"/>
        <v>3.6.06a</v>
      </c>
      <c r="C121" s="29">
        <f t="shared" si="15"/>
        <v>6</v>
      </c>
      <c r="D121" s="3"/>
      <c r="E121" s="4"/>
      <c r="F121" s="4"/>
      <c r="G121" s="4"/>
      <c r="H121" s="4"/>
      <c r="I121" s="4"/>
      <c r="J121" s="4"/>
      <c r="K121" s="133"/>
      <c r="L121" s="29"/>
      <c r="M121" s="29"/>
      <c r="N121" s="29"/>
      <c r="O121" s="29"/>
      <c r="P121" s="29"/>
      <c r="Q121" s="29"/>
      <c r="R121" s="29"/>
      <c r="S121" s="29"/>
      <c r="T121" s="57"/>
      <c r="U121" s="29"/>
      <c r="V121" s="29"/>
      <c r="W121" s="81"/>
      <c r="X121" s="85"/>
      <c r="Y121" s="81"/>
      <c r="AA121" s="72">
        <v>1</v>
      </c>
      <c r="AB121" s="72" t="str">
        <f t="shared" si="16"/>
        <v/>
      </c>
    </row>
    <row r="122" spans="1:28" s="55" customFormat="1" x14ac:dyDescent="0.2">
      <c r="A122" s="27">
        <v>637</v>
      </c>
      <c r="B122" s="28" t="str">
        <f t="shared" si="14"/>
        <v>3.6.06b</v>
      </c>
      <c r="C122" s="29">
        <f t="shared" si="15"/>
        <v>6</v>
      </c>
      <c r="D122" s="3"/>
      <c r="E122" s="4"/>
      <c r="F122" s="4"/>
      <c r="G122" s="4"/>
      <c r="H122" s="4"/>
      <c r="I122" s="4"/>
      <c r="J122" s="4"/>
      <c r="K122" s="133"/>
      <c r="L122" s="29"/>
      <c r="M122" s="29"/>
      <c r="N122" s="29"/>
      <c r="O122" s="29"/>
      <c r="P122" s="29"/>
      <c r="Q122" s="29"/>
      <c r="R122" s="29"/>
      <c r="S122" s="29"/>
      <c r="T122" s="57"/>
      <c r="U122" s="29"/>
      <c r="V122" s="29"/>
      <c r="W122" s="81"/>
      <c r="X122" s="85"/>
      <c r="Y122" s="81"/>
      <c r="AA122" s="72">
        <v>1</v>
      </c>
      <c r="AB122" s="72" t="str">
        <f t="shared" si="16"/>
        <v/>
      </c>
    </row>
    <row r="123" spans="1:28" s="55" customFormat="1" ht="30" customHeight="1" x14ac:dyDescent="0.2">
      <c r="A123" s="27">
        <v>638</v>
      </c>
      <c r="B123" s="28" t="str">
        <f t="shared" si="14"/>
        <v>3.6.07</v>
      </c>
      <c r="C123" s="29">
        <f t="shared" si="15"/>
        <v>4</v>
      </c>
      <c r="D123" s="3"/>
      <c r="E123" s="4"/>
      <c r="F123" s="4"/>
      <c r="G123" s="4"/>
      <c r="H123" s="4"/>
      <c r="I123" s="4"/>
      <c r="J123" s="4"/>
      <c r="K123" s="133"/>
      <c r="L123" s="29"/>
      <c r="M123" s="29"/>
      <c r="N123" s="29"/>
      <c r="O123" s="29"/>
      <c r="P123" s="29"/>
      <c r="Q123" s="29"/>
      <c r="R123" s="29"/>
      <c r="S123" s="29"/>
      <c r="T123" s="57"/>
      <c r="U123" s="29"/>
      <c r="V123" s="29"/>
      <c r="W123" s="81"/>
      <c r="X123" s="85"/>
      <c r="Y123" s="81"/>
      <c r="AA123" s="72">
        <v>1</v>
      </c>
      <c r="AB123" s="72" t="str">
        <f t="shared" si="16"/>
        <v/>
      </c>
    </row>
    <row r="124" spans="1:28" s="55" customFormat="1" ht="30" customHeight="1" x14ac:dyDescent="0.2">
      <c r="A124" s="27">
        <v>639</v>
      </c>
      <c r="B124" s="28" t="str">
        <f t="shared" si="14"/>
        <v>3.6.07a</v>
      </c>
      <c r="C124" s="29">
        <f t="shared" si="15"/>
        <v>6</v>
      </c>
      <c r="D124" s="3"/>
      <c r="E124" s="4"/>
      <c r="F124" s="4"/>
      <c r="G124" s="4"/>
      <c r="H124" s="4"/>
      <c r="I124" s="4"/>
      <c r="J124" s="4"/>
      <c r="K124" s="133"/>
      <c r="L124" s="29"/>
      <c r="M124" s="29"/>
      <c r="N124" s="29"/>
      <c r="O124" s="29"/>
      <c r="P124" s="29"/>
      <c r="Q124" s="29"/>
      <c r="R124" s="29"/>
      <c r="S124" s="29"/>
      <c r="T124" s="57"/>
      <c r="U124" s="29"/>
      <c r="V124" s="29"/>
      <c r="W124" s="81"/>
      <c r="X124" s="85"/>
      <c r="Y124" s="81"/>
      <c r="AA124" s="72">
        <v>1</v>
      </c>
      <c r="AB124" s="72" t="str">
        <f t="shared" si="16"/>
        <v/>
      </c>
    </row>
    <row r="125" spans="1:28" s="55" customFormat="1" x14ac:dyDescent="0.2">
      <c r="A125" s="27">
        <v>640</v>
      </c>
      <c r="B125" s="28" t="str">
        <f t="shared" si="14"/>
        <v>3.6.07b</v>
      </c>
      <c r="C125" s="29">
        <f t="shared" si="15"/>
        <v>6</v>
      </c>
      <c r="D125" s="3"/>
      <c r="E125" s="4"/>
      <c r="F125" s="4"/>
      <c r="G125" s="4"/>
      <c r="H125" s="4"/>
      <c r="I125" s="4"/>
      <c r="J125" s="4"/>
      <c r="K125" s="133"/>
      <c r="L125" s="29"/>
      <c r="M125" s="29"/>
      <c r="N125" s="29"/>
      <c r="O125" s="29"/>
      <c r="P125" s="29"/>
      <c r="Q125" s="29"/>
      <c r="R125" s="29"/>
      <c r="S125" s="29"/>
      <c r="T125" s="57"/>
      <c r="U125" s="29"/>
      <c r="V125" s="29"/>
      <c r="W125" s="81"/>
      <c r="X125" s="85"/>
      <c r="Y125" s="81"/>
      <c r="AA125" s="72">
        <v>1</v>
      </c>
      <c r="AB125" s="72" t="str">
        <f t="shared" si="16"/>
        <v/>
      </c>
    </row>
    <row r="126" spans="1:28" s="55" customFormat="1" ht="30" customHeight="1" x14ac:dyDescent="0.2">
      <c r="A126" s="27">
        <v>641</v>
      </c>
      <c r="B126" s="28" t="str">
        <f t="shared" si="14"/>
        <v>3.6.07c</v>
      </c>
      <c r="C126" s="29">
        <f t="shared" si="15"/>
        <v>6</v>
      </c>
      <c r="D126" s="3"/>
      <c r="E126" s="4"/>
      <c r="F126" s="4"/>
      <c r="G126" s="4"/>
      <c r="H126" s="4"/>
      <c r="I126" s="4"/>
      <c r="J126" s="4"/>
      <c r="K126" s="133"/>
      <c r="L126" s="29"/>
      <c r="M126" s="29"/>
      <c r="N126" s="29"/>
      <c r="O126" s="29"/>
      <c r="P126" s="29"/>
      <c r="Q126" s="29"/>
      <c r="R126" s="29"/>
      <c r="S126" s="29"/>
      <c r="T126" s="57"/>
      <c r="U126" s="29"/>
      <c r="V126" s="29"/>
      <c r="W126" s="81"/>
      <c r="X126" s="85"/>
      <c r="Y126" s="81"/>
      <c r="AA126" s="72">
        <v>1</v>
      </c>
      <c r="AB126" s="72" t="str">
        <f t="shared" si="16"/>
        <v/>
      </c>
    </row>
    <row r="127" spans="1:28" s="55" customFormat="1" ht="30" customHeight="1" x14ac:dyDescent="0.2">
      <c r="A127" s="27">
        <v>642</v>
      </c>
      <c r="B127" s="28" t="str">
        <f t="shared" si="14"/>
        <v>3.6.08</v>
      </c>
      <c r="C127" s="29">
        <f t="shared" si="15"/>
        <v>4</v>
      </c>
      <c r="D127" s="3"/>
      <c r="E127" s="4"/>
      <c r="F127" s="4"/>
      <c r="G127" s="4"/>
      <c r="H127" s="4"/>
      <c r="I127" s="4"/>
      <c r="J127" s="4"/>
      <c r="K127" s="133"/>
      <c r="L127" s="29"/>
      <c r="M127" s="29"/>
      <c r="N127" s="29"/>
      <c r="O127" s="29"/>
      <c r="P127" s="29"/>
      <c r="Q127" s="29"/>
      <c r="R127" s="29"/>
      <c r="S127" s="29"/>
      <c r="T127" s="57"/>
      <c r="U127" s="29"/>
      <c r="V127" s="29"/>
      <c r="W127" s="81"/>
      <c r="X127" s="85"/>
      <c r="Y127" s="81"/>
      <c r="AA127" s="72">
        <v>1</v>
      </c>
      <c r="AB127" s="72" t="str">
        <f t="shared" si="16"/>
        <v/>
      </c>
    </row>
    <row r="128" spans="1:28" s="55" customFormat="1" x14ac:dyDescent="0.2">
      <c r="A128" s="27">
        <v>643</v>
      </c>
      <c r="B128" s="28" t="str">
        <f t="shared" si="14"/>
        <v>3.6.08a</v>
      </c>
      <c r="C128" s="29">
        <f t="shared" si="15"/>
        <v>6</v>
      </c>
      <c r="D128" s="3"/>
      <c r="E128" s="4"/>
      <c r="F128" s="4"/>
      <c r="G128" s="4"/>
      <c r="H128" s="4"/>
      <c r="I128" s="4"/>
      <c r="J128" s="4"/>
      <c r="K128" s="133"/>
      <c r="L128" s="29"/>
      <c r="M128" s="29"/>
      <c r="N128" s="29"/>
      <c r="O128" s="29"/>
      <c r="P128" s="29"/>
      <c r="Q128" s="29"/>
      <c r="R128" s="29"/>
      <c r="S128" s="29"/>
      <c r="T128" s="57"/>
      <c r="U128" s="29"/>
      <c r="V128" s="29"/>
      <c r="W128" s="81"/>
      <c r="X128" s="85"/>
      <c r="Y128" s="81"/>
      <c r="AA128" s="72">
        <v>1</v>
      </c>
      <c r="AB128" s="72" t="str">
        <f t="shared" si="16"/>
        <v/>
      </c>
    </row>
    <row r="129" spans="1:28" s="55" customFormat="1" x14ac:dyDescent="0.2">
      <c r="A129" s="27">
        <v>644</v>
      </c>
      <c r="B129" s="28" t="str">
        <f t="shared" si="14"/>
        <v>3.6.08b</v>
      </c>
      <c r="C129" s="29">
        <f t="shared" si="15"/>
        <v>6</v>
      </c>
      <c r="D129" s="3"/>
      <c r="E129" s="4"/>
      <c r="F129" s="4"/>
      <c r="G129" s="4"/>
      <c r="H129" s="4"/>
      <c r="I129" s="4"/>
      <c r="J129" s="4"/>
      <c r="K129" s="133"/>
      <c r="L129" s="29"/>
      <c r="M129" s="29"/>
      <c r="N129" s="29"/>
      <c r="O129" s="29"/>
      <c r="P129" s="29"/>
      <c r="Q129" s="29"/>
      <c r="R129" s="29"/>
      <c r="S129" s="29"/>
      <c r="T129" s="57"/>
      <c r="U129" s="29"/>
      <c r="V129" s="29"/>
      <c r="W129" s="81"/>
      <c r="X129" s="85"/>
      <c r="Y129" s="81"/>
      <c r="AA129" s="72">
        <v>1</v>
      </c>
      <c r="AB129" s="72" t="str">
        <f t="shared" si="16"/>
        <v/>
      </c>
    </row>
    <row r="130" spans="1:28" s="55" customFormat="1" x14ac:dyDescent="0.2">
      <c r="A130" s="27">
        <v>645</v>
      </c>
      <c r="B130" s="28" t="str">
        <f t="shared" si="14"/>
        <v>3.6.08c</v>
      </c>
      <c r="C130" s="29">
        <f t="shared" si="15"/>
        <v>6</v>
      </c>
      <c r="D130" s="3"/>
      <c r="E130" s="4"/>
      <c r="F130" s="4"/>
      <c r="G130" s="4"/>
      <c r="H130" s="4"/>
      <c r="I130" s="4"/>
      <c r="J130" s="4"/>
      <c r="K130" s="4"/>
      <c r="L130" s="29"/>
      <c r="M130" s="29"/>
      <c r="N130" s="29"/>
      <c r="O130" s="29"/>
      <c r="P130" s="29"/>
      <c r="Q130" s="29"/>
      <c r="R130" s="29"/>
      <c r="S130" s="29"/>
      <c r="T130" s="57"/>
      <c r="U130" s="29"/>
      <c r="V130" s="29"/>
      <c r="W130" s="81"/>
      <c r="X130" s="85"/>
      <c r="Y130" s="81"/>
      <c r="AA130" s="72">
        <v>1</v>
      </c>
      <c r="AB130" s="72" t="str">
        <f t="shared" si="16"/>
        <v/>
      </c>
    </row>
  </sheetData>
  <sheetProtection selectLockedCells="1"/>
  <sortState ref="A8:XFB50">
    <sortCondition ref="A8"/>
  </sortState>
  <mergeCells count="1">
    <mergeCell ref="F2:F5"/>
  </mergeCells>
  <dataValidations count="1">
    <dataValidation type="list" allowBlank="1" showInputMessage="1" showErrorMessage="1" sqref="G9:G50" xr:uid="{18D388D5-8D5C-41CB-854E-AF80441648EB}">
      <formula1>"Select,Not Implementented,Requirement Gathering,Intial Implmentation Phase,In Development Phase,In Testing Phase,Fully Implemented"</formula1>
    </dataValidation>
  </dataValidations>
  <pageMargins left="0.7" right="0.7" top="0.75" bottom="0.75" header="0.3" footer="0.3"/>
  <pageSetup paperSize="9" scale="59" fitToHeight="0" orientation="landscape" horizontalDpi="4294967293"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69103-1ACB-420A-BF45-AC033DFCA646}">
  <sheetPr>
    <tabColor rgb="FFFFD966"/>
  </sheetPr>
  <dimension ref="A2:Z267"/>
  <sheetViews>
    <sheetView topLeftCell="F19" workbookViewId="0">
      <selection activeCell="H19" sqref="H19"/>
    </sheetView>
  </sheetViews>
  <sheetFormatPr baseColWidth="10" defaultColWidth="9.1640625" defaultRowHeight="15" x14ac:dyDescent="0.2"/>
  <cols>
    <col min="1" max="1" width="9.33203125" style="4" hidden="1" customWidth="1"/>
    <col min="2" max="3" width="8.83203125" style="4" hidden="1" customWidth="1"/>
    <col min="4" max="4" width="6.33203125" style="4" customWidth="1"/>
    <col min="5" max="5" width="15.5" style="4" customWidth="1"/>
    <col min="6" max="6" width="67.5" style="4" customWidth="1"/>
    <col min="7" max="8" width="27" style="4" customWidth="1"/>
    <col min="9" max="9" width="41.6640625" style="87" customWidth="1"/>
    <col min="10" max="11" width="9.1640625" style="4"/>
    <col min="12" max="17" width="9.1640625" style="4" hidden="1" customWidth="1"/>
    <col min="18" max="20" width="9.1640625" style="4"/>
    <col min="21" max="24" width="9.1640625" style="4" hidden="1" customWidth="1"/>
    <col min="25" max="16384" width="9.1640625" style="4"/>
  </cols>
  <sheetData>
    <row r="2" spans="1:26" s="7" customFormat="1" ht="15" customHeight="1" x14ac:dyDescent="0.2">
      <c r="A2" s="4"/>
      <c r="B2" s="4"/>
      <c r="C2" s="4"/>
      <c r="D2" s="4"/>
      <c r="E2" s="4"/>
      <c r="F2" s="151" t="e">
        <f>"Results"&amp;IF(LEN(scope_area_of_assessment)=0,""," for "&amp;scope_area_of_assessment)</f>
        <v>#REF!</v>
      </c>
      <c r="G2" s="151"/>
      <c r="H2" s="151"/>
      <c r="I2" s="151"/>
      <c r="J2" s="49"/>
      <c r="K2" s="49"/>
      <c r="L2" s="49"/>
      <c r="M2" s="49"/>
      <c r="N2" s="49"/>
      <c r="O2" s="49"/>
      <c r="P2" s="49"/>
      <c r="Q2" s="49"/>
      <c r="R2" s="49"/>
      <c r="S2" s="49"/>
      <c r="T2" s="49"/>
      <c r="U2" s="49"/>
      <c r="V2" s="49"/>
      <c r="W2" s="49"/>
      <c r="X2" s="49"/>
      <c r="Y2" s="49"/>
      <c r="Z2" s="49"/>
    </row>
    <row r="3" spans="1:26" s="7" customFormat="1" ht="15" customHeight="1" x14ac:dyDescent="0.2">
      <c r="A3" s="4"/>
      <c r="B3" s="4"/>
      <c r="C3" s="4"/>
      <c r="D3" s="4"/>
      <c r="E3" s="4"/>
      <c r="F3" s="151"/>
      <c r="G3" s="151"/>
      <c r="H3" s="151"/>
      <c r="I3" s="151"/>
      <c r="J3" s="49"/>
      <c r="K3" s="49"/>
      <c r="L3" s="49"/>
      <c r="M3" s="49"/>
      <c r="N3" s="49"/>
      <c r="O3" s="49"/>
      <c r="P3" s="49"/>
      <c r="Q3" s="49"/>
      <c r="R3" s="49"/>
      <c r="S3" s="49"/>
      <c r="T3" s="49"/>
      <c r="U3" s="49"/>
      <c r="V3" s="49"/>
      <c r="W3" s="49"/>
      <c r="X3" s="49"/>
      <c r="Y3" s="49"/>
      <c r="Z3" s="49"/>
    </row>
    <row r="4" spans="1:26" s="7" customFormat="1" ht="15" customHeight="1" x14ac:dyDescent="0.2">
      <c r="A4" s="4"/>
      <c r="B4" s="4"/>
      <c r="C4" s="4"/>
      <c r="D4" s="4"/>
      <c r="E4" s="4"/>
      <c r="F4" s="153" t="s">
        <v>835</v>
      </c>
      <c r="G4" s="153"/>
      <c r="H4" s="153"/>
      <c r="I4" s="153"/>
      <c r="J4" s="49"/>
      <c r="K4" s="49"/>
      <c r="L4" s="49"/>
      <c r="M4" s="49"/>
      <c r="N4" s="49"/>
      <c r="O4" s="49"/>
      <c r="P4" s="49"/>
      <c r="Q4" s="49"/>
      <c r="R4" s="49"/>
      <c r="S4" s="49"/>
      <c r="T4" s="49"/>
      <c r="U4" s="49"/>
      <c r="V4" s="49"/>
      <c r="W4" s="49"/>
      <c r="X4" s="49"/>
      <c r="Y4" s="49"/>
      <c r="Z4" s="49"/>
    </row>
    <row r="5" spans="1:26" s="7" customFormat="1" ht="15" customHeight="1" x14ac:dyDescent="0.2">
      <c r="A5" s="4"/>
      <c r="B5" s="4"/>
      <c r="C5" s="4"/>
      <c r="D5" s="4"/>
      <c r="E5" s="4"/>
      <c r="F5" s="153"/>
      <c r="G5" s="153"/>
      <c r="H5" s="153"/>
      <c r="I5" s="153"/>
      <c r="J5" s="49"/>
      <c r="K5" s="49"/>
      <c r="L5" s="49"/>
      <c r="M5" s="49"/>
      <c r="N5" s="49"/>
      <c r="O5" s="49"/>
      <c r="P5" s="49"/>
      <c r="Q5" s="49"/>
      <c r="R5" s="49"/>
      <c r="S5" s="49"/>
      <c r="T5" s="49"/>
      <c r="U5" s="49"/>
      <c r="V5" s="49"/>
      <c r="W5" s="49"/>
      <c r="X5" s="49"/>
      <c r="Y5" s="49"/>
      <c r="Z5" s="49"/>
    </row>
    <row r="6" spans="1:26" ht="11.25" customHeight="1" x14ac:dyDescent="0.2"/>
    <row r="7" spans="1:26" ht="36" customHeight="1" x14ac:dyDescent="0.25">
      <c r="A7" s="1" t="s">
        <v>71</v>
      </c>
      <c r="B7" s="25" t="s">
        <v>72</v>
      </c>
      <c r="C7" s="2" t="s">
        <v>81</v>
      </c>
      <c r="F7" s="8"/>
      <c r="G7" s="15" t="s">
        <v>836</v>
      </c>
      <c r="H7" s="16" t="s">
        <v>733</v>
      </c>
      <c r="I7" s="88" t="s">
        <v>837</v>
      </c>
    </row>
    <row r="8" spans="1:26" s="54" customFormat="1" ht="30" customHeight="1" x14ac:dyDescent="0.2">
      <c r="A8" s="32">
        <v>262</v>
      </c>
      <c r="B8" s="33" t="str">
        <f t="shared" ref="B8:B71" si="0">VLOOKUP(A8,contentref,2,FALSE)</f>
        <v>2.1</v>
      </c>
      <c r="C8" s="3">
        <f t="shared" ref="C8:C71" si="1">VLOOKUP(A8,contentref,15,FALSE)</f>
        <v>2</v>
      </c>
      <c r="D8" s="3"/>
      <c r="E8" s="26" t="str">
        <f t="shared" ref="E8:E50" si="2">IF(C8=1,"Phase "&amp;B8,IF(C8=2,"Step "&amp;VLOOKUP(A8,contentref,4,FALSE),B8))</f>
        <v>Step 1</v>
      </c>
      <c r="F8" s="47" t="str">
        <f t="shared" ref="F8:F49" si="3">VLOOKUP(A8,contentref,7,FALSE)</f>
        <v>Identification</v>
      </c>
      <c r="G8" s="48" t="str">
        <f>"Maturity level:  "&amp;O8</f>
        <v xml:space="preserve">Maturity level:  </v>
      </c>
      <c r="H8" s="49"/>
      <c r="I8" s="137"/>
      <c r="J8" s="49"/>
      <c r="K8" s="49"/>
      <c r="L8" s="49" t="str">
        <f>TEXT(B8,"0.0")</f>
        <v>2.1</v>
      </c>
      <c r="M8" s="48" t="e">
        <f>SUMIF(U:U,L8,H:H)/(SUMIF(U:U,L8,X:X))</f>
        <v>#REF!</v>
      </c>
      <c r="N8" s="48" t="e">
        <f>HLOOKUP(M8*100,level_ref,2,TRUE)</f>
        <v>#REF!</v>
      </c>
      <c r="O8" s="48" t="str">
        <f>IF(ISERROR(N8),"",N8)</f>
        <v/>
      </c>
      <c r="P8" s="48" t="e">
        <f>HLOOKUP(M8*100,level_ref,3,TRUE)</f>
        <v>#REF!</v>
      </c>
      <c r="Q8" s="48" t="str">
        <f>IF(ISERROR(P8),"",P8)</f>
        <v/>
      </c>
      <c r="R8" s="48"/>
      <c r="S8" s="48"/>
      <c r="T8" s="48"/>
      <c r="U8" s="48" t="e">
        <f>IF(AND(C8&gt;4,VLOOKUP(B8,'[1]Assessment - Detect'!E:AA,23,FALSE)&lt;&gt;7),LEFT(B8,3),"")</f>
        <v>#N/A</v>
      </c>
      <c r="V8" s="48" t="e">
        <f>VLOOKUP(B8,#REF!,5,FALSE)</f>
        <v>#REF!</v>
      </c>
      <c r="W8" s="48">
        <f>IF(VLOOKUP(B8,'[1]Assessment - Detect'!B:AA,26,FALSE)=7,0,1)</f>
        <v>1</v>
      </c>
      <c r="X8" s="48" t="e">
        <f t="shared" ref="X8:X71" si="4">W8*V8*3</f>
        <v>#REF!</v>
      </c>
      <c r="Y8" s="48"/>
      <c r="Z8" s="48"/>
    </row>
    <row r="9" spans="1:26" s="53" customFormat="1" ht="30" customHeight="1" x14ac:dyDescent="0.2">
      <c r="A9" s="41">
        <v>263</v>
      </c>
      <c r="B9" s="42" t="str">
        <f t="shared" si="0"/>
        <v>2.1.01</v>
      </c>
      <c r="C9" s="43">
        <f t="shared" si="1"/>
        <v>5</v>
      </c>
      <c r="D9" s="3"/>
      <c r="E9" s="122" t="str">
        <f t="shared" si="2"/>
        <v>2.1.01</v>
      </c>
      <c r="F9" s="45" t="s">
        <v>838</v>
      </c>
      <c r="G9" s="76" t="s">
        <v>839</v>
      </c>
      <c r="H9" s="76">
        <v>1</v>
      </c>
      <c r="I9" s="45"/>
      <c r="J9" s="43"/>
      <c r="K9" s="43"/>
      <c r="L9" s="43"/>
      <c r="M9" s="43"/>
      <c r="N9" s="43"/>
      <c r="O9" s="43"/>
      <c r="P9" s="43"/>
      <c r="Q9" s="43"/>
      <c r="R9" s="43"/>
      <c r="S9" s="43"/>
      <c r="T9" s="78"/>
      <c r="U9" s="128" t="e">
        <f>IF(AND(C9&gt;4,VLOOKUP(B9,'[1]Assessment - Detect'!E:AA,23,FALSE)&lt;&gt;7),LEFT(B9,3),"")</f>
        <v>#N/A</v>
      </c>
      <c r="V9" s="128" t="e">
        <f>VLOOKUP(B9,#REF!,5,FALSE)</f>
        <v>#REF!</v>
      </c>
      <c r="W9" s="128">
        <f>IF(VLOOKUP(B9,'[1]Assessment - Detect'!B:AA,26,FALSE)=7,0,1)</f>
        <v>1</v>
      </c>
      <c r="X9" s="128" t="e">
        <f t="shared" si="4"/>
        <v>#REF!</v>
      </c>
      <c r="Y9" s="78"/>
      <c r="Z9" s="78"/>
    </row>
    <row r="10" spans="1:26" s="55" customFormat="1" ht="30" customHeight="1" x14ac:dyDescent="0.2">
      <c r="A10" s="27">
        <v>264</v>
      </c>
      <c r="B10" s="28" t="str">
        <f t="shared" si="0"/>
        <v>2.1.02</v>
      </c>
      <c r="C10" s="29">
        <f t="shared" si="1"/>
        <v>4</v>
      </c>
      <c r="D10" s="3"/>
      <c r="E10" s="121" t="str">
        <f t="shared" si="2"/>
        <v>2.1.02</v>
      </c>
      <c r="F10" s="31" t="s">
        <v>840</v>
      </c>
      <c r="G10" s="74" t="s">
        <v>839</v>
      </c>
      <c r="H10" s="74">
        <v>1</v>
      </c>
      <c r="I10" s="31"/>
      <c r="J10" s="29"/>
      <c r="K10" s="29"/>
      <c r="L10" s="29"/>
      <c r="M10" s="29"/>
      <c r="N10" s="29"/>
      <c r="O10" s="29"/>
      <c r="P10" s="29"/>
      <c r="Q10" s="29"/>
      <c r="R10" s="29"/>
      <c r="S10" s="29"/>
      <c r="T10" s="57"/>
      <c r="U10" s="91" t="e">
        <f>IF(AND(C10&gt;4,VLOOKUP(B10,'[1]Assessment - Detect'!E:AA,23,FALSE)&lt;&gt;7),LEFT(B10,3),"")</f>
        <v>#N/A</v>
      </c>
      <c r="V10" s="91" t="e">
        <f>VLOOKUP(B10,#REF!,5,FALSE)</f>
        <v>#REF!</v>
      </c>
      <c r="W10" s="91">
        <f>IF(VLOOKUP(B10,'[1]Assessment - Detect'!B:AA,26,FALSE)=7,0,1)</f>
        <v>1</v>
      </c>
      <c r="X10" s="91" t="e">
        <f t="shared" si="4"/>
        <v>#REF!</v>
      </c>
      <c r="Y10" s="57"/>
      <c r="Z10" s="57"/>
    </row>
    <row r="11" spans="1:26" s="55" customFormat="1" ht="20" x14ac:dyDescent="0.2">
      <c r="A11" s="27">
        <v>265</v>
      </c>
      <c r="B11" s="28" t="str">
        <f t="shared" si="0"/>
        <v>2.1.02a</v>
      </c>
      <c r="C11" s="29">
        <f t="shared" si="1"/>
        <v>6</v>
      </c>
      <c r="D11" s="3"/>
      <c r="E11" s="121" t="s">
        <v>841</v>
      </c>
      <c r="F11" s="36" t="s">
        <v>842</v>
      </c>
      <c r="G11" s="74" t="s">
        <v>839</v>
      </c>
      <c r="H11" s="74">
        <v>1</v>
      </c>
      <c r="I11" s="31"/>
      <c r="J11" s="29"/>
      <c r="K11" s="29"/>
      <c r="L11" s="29"/>
      <c r="M11" s="29"/>
      <c r="N11" s="29"/>
      <c r="O11" s="29"/>
      <c r="P11" s="29"/>
      <c r="Q11" s="29"/>
      <c r="R11" s="29"/>
      <c r="S11" s="29"/>
      <c r="T11" s="57"/>
      <c r="U11" s="91" t="e">
        <f>IF(AND(C11&gt;4,VLOOKUP(B11,'[1]Assessment - Detect'!E:AA,23,FALSE)&lt;&gt;7),LEFT(B11,3),"")</f>
        <v>#N/A</v>
      </c>
      <c r="V11" s="91" t="e">
        <f>VLOOKUP(B11,#REF!,5,FALSE)</f>
        <v>#REF!</v>
      </c>
      <c r="W11" s="91">
        <f>IF(VLOOKUP(B11,'[1]Assessment - Detect'!B:AA,26,FALSE)=7,0,1)</f>
        <v>1</v>
      </c>
      <c r="X11" s="91" t="e">
        <f t="shared" si="4"/>
        <v>#REF!</v>
      </c>
      <c r="Y11" s="57"/>
      <c r="Z11" s="57"/>
    </row>
    <row r="12" spans="1:26" s="55" customFormat="1" ht="40" x14ac:dyDescent="0.2">
      <c r="A12" s="27">
        <v>266</v>
      </c>
      <c r="B12" s="28" t="str">
        <f t="shared" si="0"/>
        <v>2.1.02b</v>
      </c>
      <c r="C12" s="29">
        <f t="shared" si="1"/>
        <v>6</v>
      </c>
      <c r="D12" s="3"/>
      <c r="E12" s="121" t="s">
        <v>843</v>
      </c>
      <c r="F12" s="36" t="s">
        <v>844</v>
      </c>
      <c r="G12" s="74" t="s">
        <v>845</v>
      </c>
      <c r="H12" s="74">
        <v>2</v>
      </c>
      <c r="I12" s="31"/>
      <c r="J12" s="29"/>
      <c r="K12" s="29"/>
      <c r="L12" s="29"/>
      <c r="M12" s="29"/>
      <c r="N12" s="29"/>
      <c r="O12" s="29"/>
      <c r="P12" s="29"/>
      <c r="Q12" s="29"/>
      <c r="R12" s="29"/>
      <c r="S12" s="29"/>
      <c r="T12" s="57"/>
      <c r="U12" s="91" t="e">
        <f>IF(AND(C12&gt;4,VLOOKUP(B12,'[1]Assessment - Detect'!E:AA,23,FALSE)&lt;&gt;7),LEFT(B12,3),"")</f>
        <v>#N/A</v>
      </c>
      <c r="V12" s="91" t="e">
        <f>VLOOKUP(B12,#REF!,5,FALSE)</f>
        <v>#REF!</v>
      </c>
      <c r="W12" s="91">
        <f>IF(VLOOKUP(B12,'[1]Assessment - Detect'!B:AA,26,FALSE)=7,0,1)</f>
        <v>1</v>
      </c>
      <c r="X12" s="91" t="e">
        <f t="shared" si="4"/>
        <v>#REF!</v>
      </c>
      <c r="Y12" s="57"/>
      <c r="Z12" s="57"/>
    </row>
    <row r="13" spans="1:26" s="55" customFormat="1" ht="30" customHeight="1" x14ac:dyDescent="0.2">
      <c r="A13" s="27">
        <v>267</v>
      </c>
      <c r="B13" s="28" t="str">
        <f t="shared" si="0"/>
        <v>2.1.02c</v>
      </c>
      <c r="C13" s="29">
        <f t="shared" si="1"/>
        <v>6</v>
      </c>
      <c r="D13" s="3"/>
      <c r="E13" s="30" t="s">
        <v>846</v>
      </c>
      <c r="F13" s="36" t="s">
        <v>847</v>
      </c>
      <c r="G13" s="74" t="s">
        <v>797</v>
      </c>
      <c r="H13" s="74">
        <v>2</v>
      </c>
      <c r="I13" s="121"/>
      <c r="J13" s="29"/>
      <c r="K13" s="29"/>
      <c r="L13" s="29"/>
      <c r="M13" s="29"/>
      <c r="N13" s="29"/>
      <c r="O13" s="29"/>
      <c r="P13" s="29"/>
      <c r="Q13" s="29"/>
      <c r="R13" s="29"/>
      <c r="S13" s="29"/>
      <c r="T13" s="57"/>
      <c r="U13" s="91" t="e">
        <f>IF(AND(C13&gt;4,VLOOKUP(B13,'[1]Assessment - Detect'!E:AA,23,FALSE)&lt;&gt;7),LEFT(B13,3),"")</f>
        <v>#N/A</v>
      </c>
      <c r="V13" s="91" t="e">
        <f>VLOOKUP(B13,#REF!,5,FALSE)</f>
        <v>#REF!</v>
      </c>
      <c r="W13" s="91">
        <f>IF(VLOOKUP(B13,'[1]Assessment - Detect'!B:AA,26,FALSE)=7,0,1)</f>
        <v>1</v>
      </c>
      <c r="X13" s="91" t="e">
        <f t="shared" si="4"/>
        <v>#REF!</v>
      </c>
      <c r="Y13" s="57"/>
      <c r="Z13" s="57"/>
    </row>
    <row r="14" spans="1:26" s="55" customFormat="1" ht="20" x14ac:dyDescent="0.2">
      <c r="A14" s="27">
        <v>268</v>
      </c>
      <c r="B14" s="28" t="str">
        <f t="shared" si="0"/>
        <v>2.1.03</v>
      </c>
      <c r="C14" s="29">
        <f t="shared" si="1"/>
        <v>5</v>
      </c>
      <c r="D14" s="3"/>
      <c r="E14" s="30" t="s">
        <v>848</v>
      </c>
      <c r="F14" s="31" t="s">
        <v>849</v>
      </c>
      <c r="G14" s="74" t="s">
        <v>850</v>
      </c>
      <c r="H14" s="74">
        <v>2</v>
      </c>
      <c r="I14" s="121"/>
      <c r="J14" s="29"/>
      <c r="K14" s="29"/>
      <c r="L14" s="29"/>
      <c r="M14" s="29"/>
      <c r="N14" s="29"/>
      <c r="O14" s="29"/>
      <c r="P14" s="29"/>
      <c r="Q14" s="29"/>
      <c r="R14" s="29"/>
      <c r="S14" s="29"/>
      <c r="T14" s="57"/>
      <c r="U14" s="91" t="e">
        <f>IF(AND(C14&gt;4,VLOOKUP(B14,'[1]Assessment - Detect'!E:AA,23,FALSE)&lt;&gt;7),LEFT(B14,3),"")</f>
        <v>#N/A</v>
      </c>
      <c r="V14" s="91" t="e">
        <f>VLOOKUP(B14,#REF!,5,FALSE)</f>
        <v>#REF!</v>
      </c>
      <c r="W14" s="91">
        <f>IF(VLOOKUP(B14,'[1]Assessment - Detect'!B:AA,26,FALSE)=7,0,1)</f>
        <v>1</v>
      </c>
      <c r="X14" s="91" t="e">
        <f t="shared" si="4"/>
        <v>#REF!</v>
      </c>
      <c r="Y14" s="57"/>
      <c r="Z14" s="57"/>
    </row>
    <row r="15" spans="1:26" s="55" customFormat="1" ht="30" customHeight="1" x14ac:dyDescent="0.2">
      <c r="A15" s="27">
        <v>269</v>
      </c>
      <c r="B15" s="28" t="str">
        <f t="shared" si="0"/>
        <v>2.1.04</v>
      </c>
      <c r="C15" s="29">
        <f t="shared" si="1"/>
        <v>4</v>
      </c>
      <c r="D15" s="3"/>
      <c r="E15" s="30" t="s">
        <v>851</v>
      </c>
      <c r="F15" s="31" t="s">
        <v>852</v>
      </c>
      <c r="G15" s="74" t="s">
        <v>853</v>
      </c>
      <c r="H15" s="74">
        <v>2</v>
      </c>
      <c r="I15" s="121"/>
      <c r="J15" s="29"/>
      <c r="K15" s="29"/>
      <c r="L15" s="29"/>
      <c r="M15" s="29"/>
      <c r="N15" s="29"/>
      <c r="O15" s="29"/>
      <c r="P15" s="29"/>
      <c r="Q15" s="29"/>
      <c r="R15" s="29"/>
      <c r="S15" s="29"/>
      <c r="T15" s="57"/>
      <c r="U15" s="91" t="e">
        <f>IF(AND(C15&gt;4,VLOOKUP(B15,'[1]Assessment - Detect'!E:AA,23,FALSE)&lt;&gt;7),LEFT(B15,3),"")</f>
        <v>#N/A</v>
      </c>
      <c r="V15" s="91" t="e">
        <f>VLOOKUP(B15,#REF!,5,FALSE)</f>
        <v>#REF!</v>
      </c>
      <c r="W15" s="91">
        <f>IF(VLOOKUP(B15,'[1]Assessment - Detect'!B:AA,26,FALSE)=7,0,1)</f>
        <v>1</v>
      </c>
      <c r="X15" s="91" t="e">
        <f t="shared" si="4"/>
        <v>#REF!</v>
      </c>
      <c r="Y15" s="57"/>
      <c r="Z15" s="57"/>
    </row>
    <row r="16" spans="1:26" s="55" customFormat="1" ht="20" x14ac:dyDescent="0.2">
      <c r="A16" s="27">
        <v>270</v>
      </c>
      <c r="B16" s="28" t="str">
        <f t="shared" si="0"/>
        <v>2.1.04a</v>
      </c>
      <c r="C16" s="29">
        <f t="shared" si="1"/>
        <v>6</v>
      </c>
      <c r="D16" s="3"/>
      <c r="E16" s="30" t="s">
        <v>854</v>
      </c>
      <c r="F16" s="36" t="s">
        <v>855</v>
      </c>
      <c r="G16" s="74" t="s">
        <v>839</v>
      </c>
      <c r="H16" s="74">
        <v>1</v>
      </c>
      <c r="I16" s="121"/>
      <c r="J16" s="29"/>
      <c r="K16" s="29"/>
      <c r="L16" s="29"/>
      <c r="M16" s="29"/>
      <c r="N16" s="29"/>
      <c r="O16" s="29"/>
      <c r="P16" s="29"/>
      <c r="Q16" s="29"/>
      <c r="R16" s="29"/>
      <c r="S16" s="29"/>
      <c r="T16" s="57"/>
      <c r="U16" s="91" t="e">
        <f>IF(AND(C16&gt;4,VLOOKUP(B16,'[1]Assessment - Detect'!E:AA,23,FALSE)&lt;&gt;7),LEFT(B16,3),"")</f>
        <v>#N/A</v>
      </c>
      <c r="V16" s="91" t="e">
        <f>VLOOKUP(B16,#REF!,5,FALSE)</f>
        <v>#REF!</v>
      </c>
      <c r="W16" s="91">
        <f>IF(VLOOKUP(B16,'[1]Assessment - Detect'!B:AA,26,FALSE)=7,0,1)</f>
        <v>1</v>
      </c>
      <c r="X16" s="91" t="e">
        <f t="shared" si="4"/>
        <v>#REF!</v>
      </c>
      <c r="Y16" s="57"/>
      <c r="Z16" s="57"/>
    </row>
    <row r="17" spans="1:26" s="55" customFormat="1" ht="20" x14ac:dyDescent="0.2">
      <c r="A17" s="27">
        <v>271</v>
      </c>
      <c r="B17" s="28" t="str">
        <f t="shared" si="0"/>
        <v>2.1.04b</v>
      </c>
      <c r="C17" s="29">
        <f t="shared" si="1"/>
        <v>6</v>
      </c>
      <c r="D17" s="3"/>
      <c r="E17" s="30" t="s">
        <v>856</v>
      </c>
      <c r="F17" s="36" t="s">
        <v>857</v>
      </c>
      <c r="G17" s="74" t="s">
        <v>850</v>
      </c>
      <c r="H17" s="74">
        <v>2</v>
      </c>
      <c r="I17" s="121"/>
      <c r="J17" s="29"/>
      <c r="K17" s="29"/>
      <c r="L17" s="29"/>
      <c r="M17" s="29"/>
      <c r="N17" s="29"/>
      <c r="O17" s="29"/>
      <c r="P17" s="29"/>
      <c r="Q17" s="29"/>
      <c r="R17" s="29"/>
      <c r="S17" s="29"/>
      <c r="T17" s="57"/>
      <c r="U17" s="91" t="e">
        <f>IF(AND(C17&gt;4,VLOOKUP(B17,'[1]Assessment - Detect'!E:AA,23,FALSE)&lt;&gt;7),LEFT(B17,3),"")</f>
        <v>#N/A</v>
      </c>
      <c r="V17" s="91" t="e">
        <f>VLOOKUP(B17,#REF!,5,FALSE)</f>
        <v>#REF!</v>
      </c>
      <c r="W17" s="91">
        <f>IF(VLOOKUP(B17,'[1]Assessment - Detect'!B:AA,26,FALSE)=7,0,1)</f>
        <v>1</v>
      </c>
      <c r="X17" s="91" t="e">
        <f t="shared" si="4"/>
        <v>#REF!</v>
      </c>
      <c r="Y17" s="57"/>
      <c r="Z17" s="57"/>
    </row>
    <row r="18" spans="1:26" s="55" customFormat="1" ht="20" x14ac:dyDescent="0.2">
      <c r="A18" s="27">
        <v>272</v>
      </c>
      <c r="B18" s="28" t="str">
        <f t="shared" si="0"/>
        <v>2.1.05</v>
      </c>
      <c r="C18" s="29">
        <f t="shared" si="1"/>
        <v>4</v>
      </c>
      <c r="D18" s="3"/>
      <c r="E18" s="30" t="s">
        <v>858</v>
      </c>
      <c r="F18" s="31" t="s">
        <v>859</v>
      </c>
      <c r="G18" s="74" t="s">
        <v>853</v>
      </c>
      <c r="H18" s="74">
        <v>2</v>
      </c>
      <c r="I18" s="121"/>
      <c r="J18" s="29"/>
      <c r="K18" s="29"/>
      <c r="L18" s="29"/>
      <c r="M18" s="29"/>
      <c r="N18" s="29"/>
      <c r="O18" s="29"/>
      <c r="P18" s="29"/>
      <c r="Q18" s="29"/>
      <c r="R18" s="29"/>
      <c r="S18" s="29"/>
      <c r="T18" s="57"/>
      <c r="U18" s="91" t="e">
        <f>IF(AND(C18&gt;4,VLOOKUP(B18,'[1]Assessment - Detect'!E:AA,23,FALSE)&lt;&gt;7),LEFT(B18,3),"")</f>
        <v>#N/A</v>
      </c>
      <c r="V18" s="91" t="e">
        <f>VLOOKUP(B18,#REF!,5,FALSE)</f>
        <v>#REF!</v>
      </c>
      <c r="W18" s="91">
        <f>IF(VLOOKUP(B18,'[1]Assessment - Detect'!B:AA,26,FALSE)=7,0,1)</f>
        <v>1</v>
      </c>
      <c r="X18" s="91" t="e">
        <f t="shared" si="4"/>
        <v>#REF!</v>
      </c>
      <c r="Y18" s="57"/>
      <c r="Z18" s="57"/>
    </row>
    <row r="19" spans="1:26" s="55" customFormat="1" ht="40" x14ac:dyDescent="0.2">
      <c r="A19" s="27">
        <v>273</v>
      </c>
      <c r="B19" s="28" t="str">
        <f t="shared" si="0"/>
        <v>2.1.05a</v>
      </c>
      <c r="C19" s="29">
        <f t="shared" si="1"/>
        <v>6</v>
      </c>
      <c r="D19" s="3"/>
      <c r="E19" s="30" t="s">
        <v>860</v>
      </c>
      <c r="F19" s="36" t="s">
        <v>861</v>
      </c>
      <c r="G19" s="74" t="s">
        <v>862</v>
      </c>
      <c r="H19" s="74">
        <v>2</v>
      </c>
      <c r="I19" s="121"/>
      <c r="J19" s="29"/>
      <c r="K19" s="29"/>
      <c r="L19" s="29"/>
      <c r="M19" s="29"/>
      <c r="N19" s="29"/>
      <c r="O19" s="29"/>
      <c r="P19" s="29"/>
      <c r="Q19" s="29"/>
      <c r="R19" s="29"/>
      <c r="S19" s="29"/>
      <c r="T19" s="57"/>
      <c r="U19" s="91" t="e">
        <f>IF(AND(C19&gt;4,VLOOKUP(B19,'[1]Assessment - Detect'!E:AA,23,FALSE)&lt;&gt;7),LEFT(B19,3),"")</f>
        <v>#N/A</v>
      </c>
      <c r="V19" s="91" t="e">
        <f>VLOOKUP(B19,#REF!,5,FALSE)</f>
        <v>#REF!</v>
      </c>
      <c r="W19" s="91">
        <f>IF(VLOOKUP(B19,'[1]Assessment - Detect'!B:AA,26,FALSE)=7,0,1)</f>
        <v>1</v>
      </c>
      <c r="X19" s="91" t="e">
        <f t="shared" si="4"/>
        <v>#REF!</v>
      </c>
      <c r="Y19" s="57"/>
      <c r="Z19" s="57"/>
    </row>
    <row r="20" spans="1:26" s="55" customFormat="1" ht="20" x14ac:dyDescent="0.2">
      <c r="A20" s="27">
        <v>274</v>
      </c>
      <c r="B20" s="28" t="str">
        <f t="shared" si="0"/>
        <v>2.1.05b</v>
      </c>
      <c r="C20" s="29">
        <f t="shared" si="1"/>
        <v>6</v>
      </c>
      <c r="D20" s="3"/>
      <c r="E20" s="30" t="s">
        <v>863</v>
      </c>
      <c r="F20" s="36" t="s">
        <v>864</v>
      </c>
      <c r="G20" s="74" t="s">
        <v>865</v>
      </c>
      <c r="H20" s="74">
        <v>1</v>
      </c>
      <c r="I20" s="121"/>
      <c r="J20" s="29"/>
      <c r="K20" s="29"/>
      <c r="L20" s="29"/>
      <c r="M20" s="29"/>
      <c r="N20" s="29"/>
      <c r="O20" s="29"/>
      <c r="P20" s="29"/>
      <c r="Q20" s="29"/>
      <c r="R20" s="29"/>
      <c r="S20" s="29"/>
      <c r="T20" s="57"/>
      <c r="U20" s="91" t="e">
        <f>IF(AND(C20&gt;4,VLOOKUP(B20,'[1]Assessment - Detect'!E:AA,23,FALSE)&lt;&gt;7),LEFT(B20,3),"")</f>
        <v>#N/A</v>
      </c>
      <c r="V20" s="91" t="e">
        <f>VLOOKUP(B20,#REF!,5,FALSE)</f>
        <v>#REF!</v>
      </c>
      <c r="W20" s="91">
        <f>IF(VLOOKUP(B20,'[1]Assessment - Detect'!B:AA,26,FALSE)=7,0,1)</f>
        <v>1</v>
      </c>
      <c r="X20" s="91" t="e">
        <f t="shared" si="4"/>
        <v>#REF!</v>
      </c>
      <c r="Y20" s="57"/>
      <c r="Z20" s="57"/>
    </row>
    <row r="21" spans="1:26" s="55" customFormat="1" ht="20" x14ac:dyDescent="0.2">
      <c r="A21" s="27">
        <v>275</v>
      </c>
      <c r="B21" s="28" t="str">
        <f t="shared" si="0"/>
        <v>2.1.05c</v>
      </c>
      <c r="C21" s="29">
        <f t="shared" si="1"/>
        <v>6</v>
      </c>
      <c r="D21" s="3"/>
      <c r="E21" s="30" t="s">
        <v>866</v>
      </c>
      <c r="F21" s="36" t="s">
        <v>867</v>
      </c>
      <c r="G21" s="74" t="s">
        <v>868</v>
      </c>
      <c r="H21" s="74">
        <v>4</v>
      </c>
      <c r="I21" s="121"/>
      <c r="J21" s="29"/>
      <c r="K21" s="29"/>
      <c r="L21" s="29"/>
      <c r="M21" s="29"/>
      <c r="N21" s="29"/>
      <c r="O21" s="29"/>
      <c r="P21" s="29"/>
      <c r="Q21" s="29"/>
      <c r="R21" s="29"/>
      <c r="S21" s="29"/>
      <c r="T21" s="57"/>
      <c r="U21" s="91" t="e">
        <f>IF(AND(C21&gt;4,VLOOKUP(B21,'[1]Assessment - Detect'!E:AA,23,FALSE)&lt;&gt;7),LEFT(B21,3),"")</f>
        <v>#N/A</v>
      </c>
      <c r="V21" s="91" t="e">
        <f>VLOOKUP(B21,#REF!,5,FALSE)</f>
        <v>#REF!</v>
      </c>
      <c r="W21" s="91">
        <f>IF(VLOOKUP(B21,'[1]Assessment - Detect'!B:AA,26,FALSE)=7,0,1)</f>
        <v>1</v>
      </c>
      <c r="X21" s="91" t="e">
        <f t="shared" si="4"/>
        <v>#REF!</v>
      </c>
      <c r="Y21" s="57"/>
      <c r="Z21" s="57"/>
    </row>
    <row r="22" spans="1:26" s="55" customFormat="1" ht="20" x14ac:dyDescent="0.2">
      <c r="A22" s="27">
        <v>276</v>
      </c>
      <c r="B22" s="28" t="str">
        <f t="shared" si="0"/>
        <v>2.1.05d</v>
      </c>
      <c r="C22" s="29">
        <f t="shared" si="1"/>
        <v>6</v>
      </c>
      <c r="D22" s="3"/>
      <c r="E22" s="30" t="s">
        <v>869</v>
      </c>
      <c r="F22" s="36" t="s">
        <v>870</v>
      </c>
      <c r="G22" s="74" t="s">
        <v>850</v>
      </c>
      <c r="H22" s="74">
        <v>2</v>
      </c>
      <c r="I22" s="121"/>
      <c r="J22" s="29"/>
      <c r="K22" s="29"/>
      <c r="L22" s="29"/>
      <c r="M22" s="29"/>
      <c r="N22" s="29"/>
      <c r="O22" s="29"/>
      <c r="P22" s="29"/>
      <c r="Q22" s="29"/>
      <c r="R22" s="29"/>
      <c r="S22" s="29"/>
      <c r="T22" s="57"/>
      <c r="U22" s="91" t="e">
        <f>IF(AND(C22&gt;4,VLOOKUP(B22,'[1]Assessment - Detect'!E:AA,23,FALSE)&lt;&gt;7),LEFT(B22,3),"")</f>
        <v>#N/A</v>
      </c>
      <c r="V22" s="91" t="e">
        <f>VLOOKUP(B22,#REF!,5,FALSE)</f>
        <v>#REF!</v>
      </c>
      <c r="W22" s="91">
        <f>IF(VLOOKUP(B22,'[1]Assessment - Detect'!B:AA,26,FALSE)=7,0,1)</f>
        <v>1</v>
      </c>
      <c r="X22" s="91" t="e">
        <f t="shared" si="4"/>
        <v>#REF!</v>
      </c>
      <c r="Y22" s="57"/>
      <c r="Z22" s="57"/>
    </row>
    <row r="23" spans="1:26" s="55" customFormat="1" ht="30" customHeight="1" x14ac:dyDescent="0.2">
      <c r="A23" s="27">
        <v>277</v>
      </c>
      <c r="B23" s="28" t="str">
        <f t="shared" si="0"/>
        <v>2.1.05e</v>
      </c>
      <c r="C23" s="29">
        <f t="shared" si="1"/>
        <v>6</v>
      </c>
      <c r="D23" s="3"/>
      <c r="E23" s="30" t="s">
        <v>871</v>
      </c>
      <c r="F23" s="36" t="s">
        <v>872</v>
      </c>
      <c r="G23" s="74" t="s">
        <v>853</v>
      </c>
      <c r="H23" s="74">
        <v>2</v>
      </c>
      <c r="I23" s="121"/>
      <c r="J23" s="29"/>
      <c r="K23" s="29"/>
      <c r="L23" s="29"/>
      <c r="M23" s="29"/>
      <c r="N23" s="29"/>
      <c r="O23" s="29"/>
      <c r="P23" s="29"/>
      <c r="Q23" s="29"/>
      <c r="R23" s="29"/>
      <c r="S23" s="29"/>
      <c r="T23" s="57"/>
      <c r="U23" s="91" t="e">
        <f>IF(AND(C23&gt;4,VLOOKUP(B23,'[1]Assessment - Detect'!E:AA,23,FALSE)&lt;&gt;7),LEFT(B23,3),"")</f>
        <v>#N/A</v>
      </c>
      <c r="V23" s="91" t="e">
        <f>VLOOKUP(B23,#REF!,5,FALSE)</f>
        <v>#REF!</v>
      </c>
      <c r="W23" s="91">
        <f>IF(VLOOKUP(B23,'[1]Assessment - Detect'!B:AA,26,FALSE)=7,0,1)</f>
        <v>1</v>
      </c>
      <c r="X23" s="91" t="e">
        <f t="shared" si="4"/>
        <v>#REF!</v>
      </c>
      <c r="Y23" s="57"/>
      <c r="Z23" s="57"/>
    </row>
    <row r="24" spans="1:26" s="55" customFormat="1" ht="32" x14ac:dyDescent="0.2">
      <c r="A24" s="27">
        <v>278</v>
      </c>
      <c r="B24" s="28" t="str">
        <f t="shared" si="0"/>
        <v>2.1.05f</v>
      </c>
      <c r="C24" s="29">
        <f t="shared" si="1"/>
        <v>6</v>
      </c>
      <c r="D24" s="3"/>
      <c r="E24" s="30" t="s">
        <v>873</v>
      </c>
      <c r="F24" s="31" t="s">
        <v>874</v>
      </c>
      <c r="G24" s="74" t="s">
        <v>875</v>
      </c>
      <c r="H24" s="74">
        <v>1</v>
      </c>
      <c r="I24" s="121"/>
      <c r="J24" s="29"/>
      <c r="K24" s="29"/>
      <c r="L24" s="29"/>
      <c r="M24" s="29"/>
      <c r="N24" s="29"/>
      <c r="O24" s="29"/>
      <c r="P24" s="29"/>
      <c r="Q24" s="29"/>
      <c r="R24" s="29"/>
      <c r="S24" s="29"/>
      <c r="T24" s="57"/>
      <c r="U24" s="91" t="e">
        <f>IF(AND(C24&gt;4,VLOOKUP(B24,'[1]Assessment - Detect'!E:AA,23,FALSE)&lt;&gt;7),LEFT(B24,3),"")</f>
        <v>#N/A</v>
      </c>
      <c r="V24" s="91" t="e">
        <f>VLOOKUP(B24,#REF!,5,FALSE)</f>
        <v>#REF!</v>
      </c>
      <c r="W24" s="91">
        <f>IF(VLOOKUP(B24,'[1]Assessment - Detect'!B:AA,26,FALSE)=7,0,1)</f>
        <v>1</v>
      </c>
      <c r="X24" s="91" t="e">
        <f t="shared" si="4"/>
        <v>#REF!</v>
      </c>
      <c r="Y24" s="57"/>
      <c r="Z24" s="57"/>
    </row>
    <row r="25" spans="1:26" s="55" customFormat="1" ht="30" customHeight="1" x14ac:dyDescent="0.2">
      <c r="A25" s="27">
        <v>279</v>
      </c>
      <c r="B25" s="28" t="str">
        <f t="shared" si="0"/>
        <v>2.1.05g</v>
      </c>
      <c r="C25" s="29">
        <f t="shared" si="1"/>
        <v>6</v>
      </c>
      <c r="D25" s="3"/>
      <c r="E25" s="30" t="s">
        <v>876</v>
      </c>
      <c r="F25" s="36" t="s">
        <v>877</v>
      </c>
      <c r="G25" s="74" t="s">
        <v>865</v>
      </c>
      <c r="H25" s="74">
        <v>1</v>
      </c>
      <c r="I25" s="121"/>
      <c r="J25" s="29"/>
      <c r="K25" s="29"/>
      <c r="L25" s="29"/>
      <c r="M25" s="29"/>
      <c r="N25" s="29"/>
      <c r="O25" s="29"/>
      <c r="P25" s="29"/>
      <c r="Q25" s="29"/>
      <c r="R25" s="29"/>
      <c r="S25" s="29"/>
      <c r="T25" s="57"/>
      <c r="U25" s="91" t="e">
        <f>IF(AND(C25&gt;4,VLOOKUP(B25,'[1]Assessment - Detect'!E:AA,23,FALSE)&lt;&gt;7),LEFT(B25,3),"")</f>
        <v>#N/A</v>
      </c>
      <c r="V25" s="91" t="e">
        <f>VLOOKUP(B25,#REF!,5,FALSE)</f>
        <v>#REF!</v>
      </c>
      <c r="W25" s="91">
        <f>IF(VLOOKUP(B25,'[1]Assessment - Detect'!B:AA,26,FALSE)=7,0,1)</f>
        <v>1</v>
      </c>
      <c r="X25" s="91" t="e">
        <f t="shared" si="4"/>
        <v>#REF!</v>
      </c>
      <c r="Y25" s="57"/>
      <c r="Z25" s="57"/>
    </row>
    <row r="26" spans="1:26" s="55" customFormat="1" ht="30" customHeight="1" x14ac:dyDescent="0.2">
      <c r="A26" s="27">
        <v>280</v>
      </c>
      <c r="B26" s="28" t="str">
        <f t="shared" si="0"/>
        <v>2.1.06</v>
      </c>
      <c r="C26" s="29">
        <f t="shared" si="1"/>
        <v>4</v>
      </c>
      <c r="D26" s="3"/>
      <c r="E26" s="30" t="s">
        <v>878</v>
      </c>
      <c r="F26" s="31" t="s">
        <v>874</v>
      </c>
      <c r="G26" s="74" t="s">
        <v>868</v>
      </c>
      <c r="H26" s="74">
        <v>4</v>
      </c>
      <c r="I26" s="121"/>
      <c r="J26" s="29"/>
      <c r="K26" s="29"/>
      <c r="L26" s="29"/>
      <c r="M26" s="29"/>
      <c r="N26" s="29"/>
      <c r="O26" s="29"/>
      <c r="P26" s="29"/>
      <c r="Q26" s="29"/>
      <c r="R26" s="29"/>
      <c r="S26" s="29"/>
      <c r="T26" s="57"/>
      <c r="U26" s="91" t="e">
        <f>IF(AND(C26&gt;4,VLOOKUP(B26,'[1]Assessment - Detect'!E:AA,23,FALSE)&lt;&gt;7),LEFT(B26,3),"")</f>
        <v>#N/A</v>
      </c>
      <c r="V26" s="91" t="e">
        <f>VLOOKUP(B26,#REF!,5,FALSE)</f>
        <v>#REF!</v>
      </c>
      <c r="W26" s="91">
        <f>IF(VLOOKUP(B26,'[1]Assessment - Detect'!B:AA,26,FALSE)=7,0,1)</f>
        <v>1</v>
      </c>
      <c r="X26" s="91" t="e">
        <f t="shared" si="4"/>
        <v>#REF!</v>
      </c>
      <c r="Y26" s="57"/>
      <c r="Z26" s="57"/>
    </row>
    <row r="27" spans="1:26" s="55" customFormat="1" ht="40" x14ac:dyDescent="0.2">
      <c r="A27" s="27">
        <v>281</v>
      </c>
      <c r="B27" s="28" t="str">
        <f t="shared" si="0"/>
        <v>2.1.06a</v>
      </c>
      <c r="C27" s="29">
        <f t="shared" si="1"/>
        <v>6</v>
      </c>
      <c r="D27" s="3"/>
      <c r="E27" s="30" t="s">
        <v>879</v>
      </c>
      <c r="F27" s="36" t="s">
        <v>880</v>
      </c>
      <c r="G27" s="74" t="s">
        <v>862</v>
      </c>
      <c r="H27" s="74">
        <v>2</v>
      </c>
      <c r="I27" s="121"/>
      <c r="J27" s="29"/>
      <c r="K27" s="29"/>
      <c r="L27" s="29"/>
      <c r="M27" s="29"/>
      <c r="N27" s="29"/>
      <c r="O27" s="29"/>
      <c r="P27" s="29"/>
      <c r="Q27" s="29"/>
      <c r="R27" s="29"/>
      <c r="S27" s="29"/>
      <c r="T27" s="57"/>
      <c r="U27" s="91" t="e">
        <f>IF(AND(C27&gt;4,VLOOKUP(B27,'[1]Assessment - Detect'!E:AA,23,FALSE)&lt;&gt;7),LEFT(B27,3),"")</f>
        <v>#N/A</v>
      </c>
      <c r="V27" s="91" t="e">
        <f>VLOOKUP(B27,#REF!,5,FALSE)</f>
        <v>#REF!</v>
      </c>
      <c r="W27" s="91">
        <f>IF(VLOOKUP(B27,'[1]Assessment - Detect'!B:AA,26,FALSE)=7,0,1)</f>
        <v>1</v>
      </c>
      <c r="X27" s="91" t="e">
        <f t="shared" si="4"/>
        <v>#REF!</v>
      </c>
      <c r="Y27" s="57"/>
      <c r="Z27" s="57"/>
    </row>
    <row r="28" spans="1:26" s="55" customFormat="1" ht="40" x14ac:dyDescent="0.2">
      <c r="A28" s="27">
        <v>282</v>
      </c>
      <c r="B28" s="28" t="str">
        <f t="shared" si="0"/>
        <v>2.1.06b</v>
      </c>
      <c r="C28" s="29">
        <f t="shared" si="1"/>
        <v>6</v>
      </c>
      <c r="D28" s="3"/>
      <c r="E28" s="30" t="s">
        <v>881</v>
      </c>
      <c r="F28" s="36" t="s">
        <v>882</v>
      </c>
      <c r="G28" s="74" t="s">
        <v>862</v>
      </c>
      <c r="H28" s="74">
        <v>2</v>
      </c>
      <c r="I28" s="121"/>
      <c r="J28" s="29"/>
      <c r="K28" s="29"/>
      <c r="L28" s="29"/>
      <c r="M28" s="29"/>
      <c r="N28" s="29"/>
      <c r="O28" s="29"/>
      <c r="P28" s="29"/>
      <c r="Q28" s="29"/>
      <c r="R28" s="29"/>
      <c r="S28" s="29"/>
      <c r="T28" s="57"/>
      <c r="U28" s="91" t="e">
        <f>IF(AND(C28&gt;4,VLOOKUP(B28,'[1]Assessment - Detect'!E:AA,23,FALSE)&lt;&gt;7),LEFT(B28,3),"")</f>
        <v>#N/A</v>
      </c>
      <c r="V28" s="91" t="e">
        <f>VLOOKUP(B28,#REF!,5,FALSE)</f>
        <v>#REF!</v>
      </c>
      <c r="W28" s="91">
        <f>IF(VLOOKUP(B28,'[1]Assessment - Detect'!B:AA,26,FALSE)=7,0,1)</f>
        <v>1</v>
      </c>
      <c r="X28" s="91" t="e">
        <f t="shared" si="4"/>
        <v>#REF!</v>
      </c>
      <c r="Y28" s="57"/>
      <c r="Z28" s="57"/>
    </row>
    <row r="29" spans="1:26" s="55" customFormat="1" ht="20" x14ac:dyDescent="0.2">
      <c r="A29" s="27">
        <v>283</v>
      </c>
      <c r="B29" s="28" t="str">
        <f t="shared" si="0"/>
        <v>2.1.06c</v>
      </c>
      <c r="C29" s="29">
        <f t="shared" si="1"/>
        <v>6</v>
      </c>
      <c r="D29" s="3"/>
      <c r="E29" s="30" t="s">
        <v>883</v>
      </c>
      <c r="F29" s="36" t="s">
        <v>884</v>
      </c>
      <c r="G29" s="74" t="s">
        <v>885</v>
      </c>
      <c r="H29" s="74">
        <v>1</v>
      </c>
      <c r="I29" s="121"/>
      <c r="J29" s="29"/>
      <c r="K29" s="29"/>
      <c r="L29" s="29"/>
      <c r="M29" s="29"/>
      <c r="N29" s="29"/>
      <c r="O29" s="29"/>
      <c r="P29" s="29"/>
      <c r="Q29" s="29"/>
      <c r="R29" s="29"/>
      <c r="S29" s="29"/>
      <c r="T29" s="57"/>
      <c r="U29" s="91" t="e">
        <f>IF(AND(C29&gt;4,VLOOKUP(B29,'[1]Assessment - Detect'!E:AA,23,FALSE)&lt;&gt;7),LEFT(B29,3),"")</f>
        <v>#N/A</v>
      </c>
      <c r="V29" s="91" t="e">
        <f>VLOOKUP(B29,#REF!,5,FALSE)</f>
        <v>#REF!</v>
      </c>
      <c r="W29" s="91">
        <f>IF(VLOOKUP(B29,'[1]Assessment - Detect'!B:AA,26,FALSE)=7,0,1)</f>
        <v>1</v>
      </c>
      <c r="X29" s="91" t="e">
        <f t="shared" si="4"/>
        <v>#REF!</v>
      </c>
      <c r="Y29" s="57"/>
      <c r="Z29" s="57"/>
    </row>
    <row r="30" spans="1:26" s="55" customFormat="1" ht="19" x14ac:dyDescent="0.2">
      <c r="A30" s="27">
        <v>284</v>
      </c>
      <c r="B30" s="28" t="str">
        <f t="shared" si="0"/>
        <v>2.1.06d</v>
      </c>
      <c r="C30" s="29">
        <f t="shared" si="1"/>
        <v>6</v>
      </c>
      <c r="D30" s="3"/>
      <c r="E30" s="30"/>
      <c r="F30" s="36" t="s">
        <v>755</v>
      </c>
      <c r="G30" s="74"/>
      <c r="H30" s="74">
        <v>34</v>
      </c>
      <c r="I30" s="121"/>
      <c r="J30" s="29"/>
      <c r="K30" s="29"/>
      <c r="L30" s="29"/>
      <c r="M30" s="29"/>
      <c r="N30" s="29"/>
      <c r="O30" s="29"/>
      <c r="P30" s="29"/>
      <c r="Q30" s="29"/>
      <c r="R30" s="29"/>
      <c r="S30" s="29"/>
      <c r="T30" s="57"/>
      <c r="U30" s="91" t="e">
        <f>IF(AND(C30&gt;4,VLOOKUP(B30,'[1]Assessment - Detect'!E:AA,23,FALSE)&lt;&gt;7),LEFT(B30,3),"")</f>
        <v>#N/A</v>
      </c>
      <c r="V30" s="91" t="e">
        <f>VLOOKUP(B30,#REF!,5,FALSE)</f>
        <v>#REF!</v>
      </c>
      <c r="W30" s="91">
        <f>IF(VLOOKUP(B30,'[1]Assessment - Detect'!B:AA,26,FALSE)=7,0,1)</f>
        <v>1</v>
      </c>
      <c r="X30" s="91" t="e">
        <f t="shared" si="4"/>
        <v>#REF!</v>
      </c>
      <c r="Y30" s="57"/>
      <c r="Z30" s="57"/>
    </row>
    <row r="31" spans="1:26" s="55" customFormat="1" ht="19" x14ac:dyDescent="0.2">
      <c r="A31" s="27">
        <v>285</v>
      </c>
      <c r="B31" s="28" t="str">
        <f t="shared" si="0"/>
        <v>2.1.07</v>
      </c>
      <c r="C31" s="29">
        <f t="shared" si="1"/>
        <v>4</v>
      </c>
      <c r="D31" s="3"/>
      <c r="E31" s="30"/>
      <c r="F31" s="31"/>
      <c r="G31" s="74"/>
      <c r="H31" s="74"/>
      <c r="I31" s="121"/>
      <c r="J31" s="29"/>
      <c r="K31" s="29"/>
      <c r="L31" s="29"/>
      <c r="M31" s="29"/>
      <c r="N31" s="29"/>
      <c r="O31" s="29"/>
      <c r="P31" s="29"/>
      <c r="Q31" s="29"/>
      <c r="R31" s="29"/>
      <c r="S31" s="29"/>
      <c r="T31" s="57"/>
      <c r="U31" s="91" t="e">
        <f>IF(AND(C31&gt;4,VLOOKUP(B31,'[1]Assessment - Detect'!E:AA,23,FALSE)&lt;&gt;7),LEFT(B31,3),"")</f>
        <v>#N/A</v>
      </c>
      <c r="V31" s="91" t="e">
        <f>VLOOKUP(B31,#REF!,5,FALSE)</f>
        <v>#REF!</v>
      </c>
      <c r="W31" s="91">
        <f>IF(VLOOKUP(B31,'[1]Assessment - Detect'!B:AA,26,FALSE)=7,0,1)</f>
        <v>1</v>
      </c>
      <c r="X31" s="91" t="e">
        <f t="shared" si="4"/>
        <v>#REF!</v>
      </c>
      <c r="Y31" s="57"/>
      <c r="Z31" s="57"/>
    </row>
    <row r="32" spans="1:26" s="55" customFormat="1" ht="30" customHeight="1" x14ac:dyDescent="0.2">
      <c r="A32" s="27">
        <v>286</v>
      </c>
      <c r="B32" s="28" t="str">
        <f t="shared" si="0"/>
        <v>2.1.07a</v>
      </c>
      <c r="C32" s="29">
        <f t="shared" si="1"/>
        <v>6</v>
      </c>
      <c r="D32" s="3"/>
      <c r="E32" s="30"/>
      <c r="F32" s="36"/>
      <c r="G32" s="74"/>
      <c r="H32" s="74"/>
      <c r="I32" s="121"/>
      <c r="J32" s="29"/>
      <c r="K32" s="29"/>
      <c r="L32" s="29"/>
      <c r="M32" s="29"/>
      <c r="N32" s="29"/>
      <c r="O32" s="29"/>
      <c r="P32" s="29"/>
      <c r="Q32" s="29"/>
      <c r="R32" s="29"/>
      <c r="S32" s="29"/>
      <c r="T32" s="57"/>
      <c r="U32" s="91" t="e">
        <f>IF(AND(C32&gt;4,VLOOKUP(B32,'[1]Assessment - Detect'!E:AA,23,FALSE)&lt;&gt;7),LEFT(B32,3),"")</f>
        <v>#N/A</v>
      </c>
      <c r="V32" s="91" t="e">
        <f>VLOOKUP(B32,#REF!,5,FALSE)</f>
        <v>#REF!</v>
      </c>
      <c r="W32" s="91">
        <f>IF(VLOOKUP(B32,'[1]Assessment - Detect'!B:AA,26,FALSE)=7,0,1)</f>
        <v>1</v>
      </c>
      <c r="X32" s="91" t="e">
        <f t="shared" si="4"/>
        <v>#REF!</v>
      </c>
      <c r="Y32" s="57"/>
      <c r="Z32" s="57"/>
    </row>
    <row r="33" spans="1:26" s="55" customFormat="1" ht="30" customHeight="1" x14ac:dyDescent="0.2">
      <c r="A33" s="27">
        <v>287</v>
      </c>
      <c r="B33" s="28" t="str">
        <f t="shared" si="0"/>
        <v>2.1.07b</v>
      </c>
      <c r="C33" s="29">
        <f t="shared" si="1"/>
        <v>6</v>
      </c>
      <c r="D33" s="3"/>
      <c r="E33" s="30"/>
      <c r="F33" s="36"/>
      <c r="G33" s="74"/>
      <c r="H33" s="74"/>
      <c r="I33" s="121"/>
      <c r="J33" s="29"/>
      <c r="K33" s="29"/>
      <c r="L33" s="29"/>
      <c r="M33" s="29"/>
      <c r="N33" s="29"/>
      <c r="O33" s="29"/>
      <c r="P33" s="29"/>
      <c r="Q33" s="29"/>
      <c r="R33" s="29"/>
      <c r="S33" s="29"/>
      <c r="T33" s="57"/>
      <c r="U33" s="91" t="e">
        <f>IF(AND(C33&gt;4,VLOOKUP(B33,'[1]Assessment - Detect'!E:AA,23,FALSE)&lt;&gt;7),LEFT(B33,3),"")</f>
        <v>#N/A</v>
      </c>
      <c r="V33" s="91" t="e">
        <f>VLOOKUP(B33,#REF!,5,FALSE)</f>
        <v>#REF!</v>
      </c>
      <c r="W33" s="91">
        <f>IF(VLOOKUP(B33,'[1]Assessment - Detect'!B:AA,26,FALSE)=7,0,1)</f>
        <v>1</v>
      </c>
      <c r="X33" s="91" t="e">
        <f t="shared" si="4"/>
        <v>#REF!</v>
      </c>
      <c r="Y33" s="57"/>
      <c r="Z33" s="57"/>
    </row>
    <row r="34" spans="1:26" s="55" customFormat="1" ht="19" x14ac:dyDescent="0.2">
      <c r="A34" s="27">
        <v>288</v>
      </c>
      <c r="B34" s="28" t="str">
        <f t="shared" si="0"/>
        <v>2.1.07c</v>
      </c>
      <c r="C34" s="29">
        <f t="shared" si="1"/>
        <v>6</v>
      </c>
      <c r="D34" s="3"/>
      <c r="E34" s="30"/>
      <c r="F34" s="36"/>
      <c r="G34" s="74"/>
      <c r="H34" s="74"/>
      <c r="I34" s="121"/>
      <c r="J34" s="29"/>
      <c r="K34" s="29"/>
      <c r="L34" s="29"/>
      <c r="M34" s="29"/>
      <c r="N34" s="29"/>
      <c r="O34" s="29"/>
      <c r="P34" s="29"/>
      <c r="Q34" s="29"/>
      <c r="R34" s="29"/>
      <c r="S34" s="29"/>
      <c r="T34" s="57"/>
      <c r="U34" s="91" t="e">
        <f>IF(AND(C34&gt;4,VLOOKUP(B34,'[1]Assessment - Detect'!E:AA,23,FALSE)&lt;&gt;7),LEFT(B34,3),"")</f>
        <v>#N/A</v>
      </c>
      <c r="V34" s="91" t="e">
        <f>VLOOKUP(B34,#REF!,5,FALSE)</f>
        <v>#REF!</v>
      </c>
      <c r="W34" s="91">
        <f>IF(VLOOKUP(B34,'[1]Assessment - Detect'!B:AA,26,FALSE)=7,0,1)</f>
        <v>1</v>
      </c>
      <c r="X34" s="91" t="e">
        <f t="shared" si="4"/>
        <v>#REF!</v>
      </c>
      <c r="Y34" s="57"/>
      <c r="Z34" s="57"/>
    </row>
    <row r="35" spans="1:26" s="55" customFormat="1" ht="19" x14ac:dyDescent="0.2">
      <c r="A35" s="27">
        <v>289</v>
      </c>
      <c r="B35" s="28" t="str">
        <f t="shared" si="0"/>
        <v>2.1.07d</v>
      </c>
      <c r="C35" s="29">
        <f t="shared" si="1"/>
        <v>6</v>
      </c>
      <c r="D35" s="3"/>
      <c r="E35" s="30"/>
      <c r="F35" s="36"/>
      <c r="G35" s="74"/>
      <c r="H35" s="74"/>
      <c r="I35" s="121"/>
      <c r="J35" s="29"/>
      <c r="K35" s="29"/>
      <c r="L35" s="29"/>
      <c r="M35" s="29"/>
      <c r="N35" s="29"/>
      <c r="O35" s="29"/>
      <c r="P35" s="29"/>
      <c r="Q35" s="29"/>
      <c r="R35" s="29"/>
      <c r="S35" s="29"/>
      <c r="T35" s="57"/>
      <c r="U35" s="91" t="e">
        <f>IF(AND(C35&gt;4,VLOOKUP(B35,'[1]Assessment - Detect'!E:AA,23,FALSE)&lt;&gt;7),LEFT(B35,3),"")</f>
        <v>#N/A</v>
      </c>
      <c r="V35" s="91" t="e">
        <f>VLOOKUP(B35,#REF!,5,FALSE)</f>
        <v>#REF!</v>
      </c>
      <c r="W35" s="91">
        <f>IF(VLOOKUP(B35,'[1]Assessment - Detect'!B:AA,26,FALSE)=7,0,1)</f>
        <v>1</v>
      </c>
      <c r="X35" s="91" t="e">
        <f t="shared" si="4"/>
        <v>#REF!</v>
      </c>
      <c r="Y35" s="57"/>
      <c r="Z35" s="57"/>
    </row>
    <row r="36" spans="1:26" s="55" customFormat="1" ht="19" x14ac:dyDescent="0.2">
      <c r="A36" s="27">
        <v>290</v>
      </c>
      <c r="B36" s="28" t="str">
        <f t="shared" si="0"/>
        <v>2.1.07e</v>
      </c>
      <c r="C36" s="29">
        <f t="shared" si="1"/>
        <v>6</v>
      </c>
      <c r="D36" s="3"/>
      <c r="E36" s="30"/>
      <c r="F36" s="36"/>
      <c r="G36" s="74"/>
      <c r="H36" s="74"/>
      <c r="I36" s="121"/>
      <c r="J36" s="29"/>
      <c r="K36" s="29"/>
      <c r="L36" s="29"/>
      <c r="M36" s="29"/>
      <c r="N36" s="29"/>
      <c r="O36" s="29"/>
      <c r="P36" s="29"/>
      <c r="Q36" s="29"/>
      <c r="R36" s="29"/>
      <c r="S36" s="29"/>
      <c r="T36" s="57"/>
      <c r="U36" s="91" t="e">
        <f>IF(AND(C36&gt;4,VLOOKUP(B36,'[1]Assessment - Detect'!E:AA,23,FALSE)&lt;&gt;7),LEFT(B36,3),"")</f>
        <v>#N/A</v>
      </c>
      <c r="V36" s="91" t="e">
        <f>VLOOKUP(B36,#REF!,5,FALSE)</f>
        <v>#REF!</v>
      </c>
      <c r="W36" s="91">
        <f>IF(VLOOKUP(B36,'[1]Assessment - Detect'!B:AA,26,FALSE)=7,0,1)</f>
        <v>1</v>
      </c>
      <c r="X36" s="91" t="e">
        <f t="shared" si="4"/>
        <v>#REF!</v>
      </c>
      <c r="Y36" s="57"/>
      <c r="Z36" s="57"/>
    </row>
    <row r="37" spans="1:26" s="55" customFormat="1" ht="30" customHeight="1" x14ac:dyDescent="0.2">
      <c r="A37" s="27">
        <v>291</v>
      </c>
      <c r="B37" s="28" t="str">
        <f t="shared" si="0"/>
        <v>2.1.08</v>
      </c>
      <c r="C37" s="29">
        <f t="shared" si="1"/>
        <v>4</v>
      </c>
      <c r="D37" s="3"/>
      <c r="E37" s="30"/>
      <c r="F37" s="31"/>
      <c r="G37" s="74"/>
      <c r="H37" s="74"/>
      <c r="I37" s="121"/>
      <c r="J37" s="29"/>
      <c r="K37" s="29"/>
      <c r="L37" s="29"/>
      <c r="M37" s="29"/>
      <c r="N37" s="29"/>
      <c r="O37" s="29"/>
      <c r="P37" s="29"/>
      <c r="Q37" s="29"/>
      <c r="R37" s="29"/>
      <c r="S37" s="29"/>
      <c r="T37" s="57"/>
      <c r="U37" s="91" t="e">
        <f>IF(AND(C37&gt;4,VLOOKUP(B37,'[1]Assessment - Detect'!E:AA,23,FALSE)&lt;&gt;7),LEFT(B37,3),"")</f>
        <v>#N/A</v>
      </c>
      <c r="V37" s="91" t="e">
        <f>VLOOKUP(B37,#REF!,5,FALSE)</f>
        <v>#REF!</v>
      </c>
      <c r="W37" s="91">
        <f>IF(VLOOKUP(B37,'[1]Assessment - Detect'!B:AA,26,FALSE)=7,0,1)</f>
        <v>1</v>
      </c>
      <c r="X37" s="91" t="e">
        <f t="shared" si="4"/>
        <v>#REF!</v>
      </c>
      <c r="Y37" s="57"/>
      <c r="Z37" s="57"/>
    </row>
    <row r="38" spans="1:26" s="55" customFormat="1" ht="19" x14ac:dyDescent="0.2">
      <c r="A38" s="27">
        <v>292</v>
      </c>
      <c r="B38" s="28" t="str">
        <f t="shared" si="0"/>
        <v>2.1.08a</v>
      </c>
      <c r="C38" s="29">
        <f t="shared" si="1"/>
        <v>6</v>
      </c>
      <c r="D38" s="3"/>
      <c r="E38" s="30"/>
      <c r="F38" s="36"/>
      <c r="G38" s="74"/>
      <c r="H38" s="74"/>
      <c r="I38" s="121"/>
      <c r="J38" s="29"/>
      <c r="K38" s="29"/>
      <c r="L38" s="29"/>
      <c r="M38" s="29"/>
      <c r="N38" s="29"/>
      <c r="O38" s="29"/>
      <c r="P38" s="29"/>
      <c r="Q38" s="29"/>
      <c r="R38" s="29"/>
      <c r="S38" s="29"/>
      <c r="T38" s="57"/>
      <c r="U38" s="91" t="e">
        <f>IF(AND(C38&gt;4,VLOOKUP(B38,'[1]Assessment - Detect'!E:AA,23,FALSE)&lt;&gt;7),LEFT(B38,3),"")</f>
        <v>#N/A</v>
      </c>
      <c r="V38" s="91" t="e">
        <f>VLOOKUP(B38,#REF!,5,FALSE)</f>
        <v>#REF!</v>
      </c>
      <c r="W38" s="91">
        <f>IF(VLOOKUP(B38,'[1]Assessment - Detect'!B:AA,26,FALSE)=7,0,1)</f>
        <v>1</v>
      </c>
      <c r="X38" s="91" t="e">
        <f t="shared" si="4"/>
        <v>#REF!</v>
      </c>
      <c r="Y38" s="57"/>
      <c r="Z38" s="57"/>
    </row>
    <row r="39" spans="1:26" s="55" customFormat="1" ht="19" x14ac:dyDescent="0.2">
      <c r="A39" s="27">
        <v>293</v>
      </c>
      <c r="B39" s="28" t="str">
        <f t="shared" si="0"/>
        <v>2.1.08b</v>
      </c>
      <c r="C39" s="29">
        <f t="shared" si="1"/>
        <v>6</v>
      </c>
      <c r="D39" s="3"/>
      <c r="E39" s="30"/>
      <c r="F39" s="36"/>
      <c r="G39" s="74"/>
      <c r="H39" s="74"/>
      <c r="I39" s="121"/>
      <c r="J39" s="29"/>
      <c r="K39" s="29"/>
      <c r="L39" s="29"/>
      <c r="M39" s="29"/>
      <c r="N39" s="29"/>
      <c r="O39" s="29"/>
      <c r="P39" s="29"/>
      <c r="Q39" s="29"/>
      <c r="R39" s="29"/>
      <c r="S39" s="29"/>
      <c r="T39" s="57"/>
      <c r="U39" s="91" t="e">
        <f>IF(AND(C39&gt;4,VLOOKUP(B39,'[1]Assessment - Detect'!E:AA,23,FALSE)&lt;&gt;7),LEFT(B39,3),"")</f>
        <v>#N/A</v>
      </c>
      <c r="V39" s="91" t="e">
        <f>VLOOKUP(B39,#REF!,5,FALSE)</f>
        <v>#REF!</v>
      </c>
      <c r="W39" s="91">
        <f>IF(VLOOKUP(B39,'[1]Assessment - Detect'!B:AA,26,FALSE)=7,0,1)</f>
        <v>1</v>
      </c>
      <c r="X39" s="91" t="e">
        <f t="shared" si="4"/>
        <v>#REF!</v>
      </c>
      <c r="Y39" s="57"/>
      <c r="Z39" s="57"/>
    </row>
    <row r="40" spans="1:26" s="55" customFormat="1" ht="20" x14ac:dyDescent="0.2">
      <c r="A40" s="27">
        <v>294</v>
      </c>
      <c r="B40" s="28" t="str">
        <f t="shared" si="0"/>
        <v>2.1.08c</v>
      </c>
      <c r="C40" s="29">
        <f t="shared" si="1"/>
        <v>6</v>
      </c>
      <c r="D40" s="3"/>
      <c r="E40" s="30"/>
      <c r="F40" s="36"/>
      <c r="G40" s="74"/>
      <c r="H40" s="74"/>
      <c r="I40" s="121"/>
      <c r="J40" s="29"/>
      <c r="K40" s="29"/>
      <c r="L40" s="29"/>
      <c r="M40" s="29"/>
      <c r="N40" s="29"/>
      <c r="O40" s="29"/>
      <c r="P40" s="29"/>
      <c r="Q40" s="29"/>
      <c r="R40" s="29"/>
      <c r="S40" s="29"/>
      <c r="T40" s="57"/>
      <c r="U40" s="91" t="str">
        <f>IF(AND(C40&gt;4,VLOOKUP(B40,'[1]Assessment - Detect'!E:AA,23,FALSE)&lt;&gt;7),LEFT(B40,3),"")</f>
        <v>2.1</v>
      </c>
      <c r="V40" s="91" t="e">
        <f>VLOOKUP(B40,#REF!,5,FALSE)</f>
        <v>#REF!</v>
      </c>
      <c r="W40" s="91">
        <f>IF(VLOOKUP(B40,'[1]Assessment - Detect'!B:AA,26,FALSE)=7,0,1)</f>
        <v>1</v>
      </c>
      <c r="X40" s="91" t="e">
        <f t="shared" si="4"/>
        <v>#REF!</v>
      </c>
      <c r="Y40" s="57"/>
      <c r="Z40" s="57"/>
    </row>
    <row r="41" spans="1:26" s="55" customFormat="1" ht="19" x14ac:dyDescent="0.2">
      <c r="A41" s="27">
        <v>295</v>
      </c>
      <c r="B41" s="28" t="str">
        <f t="shared" si="0"/>
        <v>2.1.08d</v>
      </c>
      <c r="C41" s="29">
        <f t="shared" si="1"/>
        <v>6</v>
      </c>
      <c r="D41" s="3"/>
      <c r="E41" s="30"/>
      <c r="F41" s="36"/>
      <c r="G41" s="74"/>
      <c r="H41" s="74"/>
      <c r="I41" s="121"/>
      <c r="J41" s="29"/>
      <c r="K41" s="29"/>
      <c r="L41" s="29"/>
      <c r="M41" s="29"/>
      <c r="N41" s="29"/>
      <c r="O41" s="29"/>
      <c r="P41" s="29"/>
      <c r="Q41" s="29"/>
      <c r="R41" s="29"/>
      <c r="S41" s="29"/>
      <c r="T41" s="57"/>
      <c r="U41" s="91" t="e">
        <f>IF(AND(C41&gt;4,VLOOKUP(B41,'[1]Assessment - Detect'!E:AA,23,FALSE)&lt;&gt;7),LEFT(B41,3),"")</f>
        <v>#N/A</v>
      </c>
      <c r="V41" s="91" t="e">
        <f>VLOOKUP(B41,#REF!,5,FALSE)</f>
        <v>#REF!</v>
      </c>
      <c r="W41" s="91">
        <f>IF(VLOOKUP(B41,'[1]Assessment - Detect'!B:AA,26,FALSE)=7,0,1)</f>
        <v>1</v>
      </c>
      <c r="X41" s="91" t="e">
        <f t="shared" si="4"/>
        <v>#REF!</v>
      </c>
      <c r="Y41" s="57"/>
      <c r="Z41" s="57"/>
    </row>
    <row r="42" spans="1:26" s="55" customFormat="1" ht="30" customHeight="1" x14ac:dyDescent="0.2">
      <c r="A42" s="27">
        <v>296</v>
      </c>
      <c r="B42" s="28" t="str">
        <f t="shared" si="0"/>
        <v>2.1.08e</v>
      </c>
      <c r="C42" s="29">
        <f t="shared" si="1"/>
        <v>6</v>
      </c>
      <c r="D42" s="3"/>
      <c r="E42" s="30"/>
      <c r="F42" s="36"/>
      <c r="G42" s="74"/>
      <c r="H42" s="74"/>
      <c r="I42" s="121"/>
      <c r="J42" s="29"/>
      <c r="K42" s="29"/>
      <c r="L42" s="29"/>
      <c r="M42" s="29"/>
      <c r="N42" s="29"/>
      <c r="O42" s="29"/>
      <c r="P42" s="29"/>
      <c r="Q42" s="29"/>
      <c r="R42" s="29"/>
      <c r="S42" s="29"/>
      <c r="T42" s="57"/>
      <c r="U42" s="91" t="e">
        <f>IF(AND(C42&gt;4,VLOOKUP(B42,'[1]Assessment - Detect'!E:AA,23,FALSE)&lt;&gt;7),LEFT(B42,3),"")</f>
        <v>#N/A</v>
      </c>
      <c r="V42" s="91" t="e">
        <f>VLOOKUP(B42,#REF!,5,FALSE)</f>
        <v>#REF!</v>
      </c>
      <c r="W42" s="91">
        <f>IF(VLOOKUP(B42,'[1]Assessment - Detect'!B:AA,26,FALSE)=7,0,1)</f>
        <v>1</v>
      </c>
      <c r="X42" s="91" t="e">
        <f t="shared" si="4"/>
        <v>#REF!</v>
      </c>
      <c r="Y42" s="57"/>
      <c r="Z42" s="57"/>
    </row>
    <row r="43" spans="1:26" s="55" customFormat="1" ht="19" x14ac:dyDescent="0.2">
      <c r="A43" s="27">
        <v>297</v>
      </c>
      <c r="B43" s="28" t="str">
        <f t="shared" si="0"/>
        <v>2.1.08f</v>
      </c>
      <c r="C43" s="29">
        <f t="shared" si="1"/>
        <v>6</v>
      </c>
      <c r="D43" s="3"/>
      <c r="E43" s="30"/>
      <c r="F43" s="36"/>
      <c r="G43" s="74"/>
      <c r="H43" s="74"/>
      <c r="I43" s="121"/>
      <c r="J43" s="29"/>
      <c r="K43" s="29"/>
      <c r="L43" s="29"/>
      <c r="M43" s="29"/>
      <c r="N43" s="29"/>
      <c r="O43" s="29"/>
      <c r="P43" s="29"/>
      <c r="Q43" s="29"/>
      <c r="R43" s="29"/>
      <c r="S43" s="29"/>
      <c r="T43" s="57"/>
      <c r="U43" s="91" t="e">
        <f>IF(AND(C43&gt;4,VLOOKUP(B43,'[1]Assessment - Detect'!E:AA,23,FALSE)&lt;&gt;7),LEFT(B43,3),"")</f>
        <v>#N/A</v>
      </c>
      <c r="V43" s="91" t="e">
        <f>VLOOKUP(B43,#REF!,5,FALSE)</f>
        <v>#REF!</v>
      </c>
      <c r="W43" s="91">
        <f>IF(VLOOKUP(B43,'[1]Assessment - Detect'!B:AA,26,FALSE)=7,0,1)</f>
        <v>1</v>
      </c>
      <c r="X43" s="91" t="e">
        <f t="shared" si="4"/>
        <v>#REF!</v>
      </c>
      <c r="Y43" s="57"/>
      <c r="Z43" s="57"/>
    </row>
    <row r="44" spans="1:26" s="55" customFormat="1" ht="30" customHeight="1" x14ac:dyDescent="0.2">
      <c r="A44" s="27">
        <v>298</v>
      </c>
      <c r="B44" s="28" t="str">
        <f t="shared" si="0"/>
        <v>2.1.09</v>
      </c>
      <c r="C44" s="29">
        <f t="shared" si="1"/>
        <v>5</v>
      </c>
      <c r="D44" s="3"/>
      <c r="E44" s="30"/>
      <c r="F44" s="31"/>
      <c r="G44" s="74"/>
      <c r="H44" s="74"/>
      <c r="I44" s="121"/>
      <c r="J44" s="29"/>
      <c r="K44" s="29"/>
      <c r="L44" s="29"/>
      <c r="M44" s="29"/>
      <c r="N44" s="29"/>
      <c r="O44" s="29"/>
      <c r="P44" s="29"/>
      <c r="Q44" s="29"/>
      <c r="R44" s="29"/>
      <c r="S44" s="29"/>
      <c r="T44" s="57"/>
      <c r="U44" s="91" t="e">
        <f>IF(AND(C44&gt;4,VLOOKUP(B44,'[1]Assessment - Detect'!E:AA,23,FALSE)&lt;&gt;7),LEFT(B44,3),"")</f>
        <v>#N/A</v>
      </c>
      <c r="V44" s="91" t="e">
        <f>VLOOKUP(B44,#REF!,5,FALSE)</f>
        <v>#REF!</v>
      </c>
      <c r="W44" s="91">
        <f>IF(VLOOKUP(B44,'[1]Assessment - Detect'!B:AA,26,FALSE)=7,0,1)</f>
        <v>1</v>
      </c>
      <c r="X44" s="91" t="e">
        <f t="shared" si="4"/>
        <v>#REF!</v>
      </c>
      <c r="Y44" s="57"/>
      <c r="Z44" s="57"/>
    </row>
    <row r="45" spans="1:26" s="55" customFormat="1" ht="30" customHeight="1" x14ac:dyDescent="0.2">
      <c r="A45" s="27">
        <v>299</v>
      </c>
      <c r="B45" s="28" t="str">
        <f t="shared" si="0"/>
        <v>2.1.10</v>
      </c>
      <c r="C45" s="29">
        <f t="shared" si="1"/>
        <v>4</v>
      </c>
      <c r="D45" s="3"/>
      <c r="E45" s="30"/>
      <c r="F45" s="31"/>
      <c r="G45" s="74"/>
      <c r="H45" s="74"/>
      <c r="I45" s="121"/>
      <c r="J45" s="29"/>
      <c r="K45" s="29"/>
      <c r="L45" s="29"/>
      <c r="M45" s="29"/>
      <c r="N45" s="29"/>
      <c r="O45" s="29"/>
      <c r="P45" s="29"/>
      <c r="Q45" s="29"/>
      <c r="R45" s="29"/>
      <c r="S45" s="29"/>
      <c r="T45" s="57"/>
      <c r="U45" s="91" t="e">
        <f>IF(AND(C45&gt;4,VLOOKUP(B45,'[1]Assessment - Detect'!E:AA,23,FALSE)&lt;&gt;7),LEFT(B45,3),"")</f>
        <v>#N/A</v>
      </c>
      <c r="V45" s="91" t="e">
        <f>VLOOKUP(B45,#REF!,5,FALSE)</f>
        <v>#REF!</v>
      </c>
      <c r="W45" s="91">
        <f>IF(VLOOKUP(B45,'[1]Assessment - Detect'!B:AA,26,FALSE)=7,0,1)</f>
        <v>1</v>
      </c>
      <c r="X45" s="91" t="e">
        <f t="shared" si="4"/>
        <v>#REF!</v>
      </c>
      <c r="Y45" s="57"/>
      <c r="Z45" s="57"/>
    </row>
    <row r="46" spans="1:26" s="55" customFormat="1" ht="19" x14ac:dyDescent="0.2">
      <c r="A46" s="27">
        <v>300</v>
      </c>
      <c r="B46" s="28" t="str">
        <f t="shared" si="0"/>
        <v>2.1.10a</v>
      </c>
      <c r="C46" s="29">
        <f t="shared" si="1"/>
        <v>6</v>
      </c>
      <c r="D46" s="3"/>
      <c r="E46" s="30"/>
      <c r="F46" s="36"/>
      <c r="G46" s="74"/>
      <c r="H46" s="74"/>
      <c r="I46" s="121"/>
      <c r="J46" s="29"/>
      <c r="K46" s="29"/>
      <c r="L46" s="29"/>
      <c r="M46" s="29"/>
      <c r="N46" s="29"/>
      <c r="O46" s="29"/>
      <c r="P46" s="29"/>
      <c r="Q46" s="29"/>
      <c r="R46" s="29"/>
      <c r="S46" s="29"/>
      <c r="T46" s="57"/>
      <c r="U46" s="91" t="e">
        <f>IF(AND(C46&gt;4,VLOOKUP(B46,'[1]Assessment - Detect'!E:AA,23,FALSE)&lt;&gt;7),LEFT(B46,3),"")</f>
        <v>#N/A</v>
      </c>
      <c r="V46" s="91" t="e">
        <f>VLOOKUP(B46,#REF!,5,FALSE)</f>
        <v>#REF!</v>
      </c>
      <c r="W46" s="91">
        <f>IF(VLOOKUP(B46,'[1]Assessment - Detect'!B:AA,26,FALSE)=7,0,1)</f>
        <v>1</v>
      </c>
      <c r="X46" s="91" t="e">
        <f t="shared" si="4"/>
        <v>#REF!</v>
      </c>
      <c r="Y46" s="57"/>
      <c r="Z46" s="57"/>
    </row>
    <row r="47" spans="1:26" s="55" customFormat="1" ht="30" customHeight="1" x14ac:dyDescent="0.2">
      <c r="A47" s="27">
        <v>301</v>
      </c>
      <c r="B47" s="28" t="str">
        <f t="shared" si="0"/>
        <v>2.1.10b</v>
      </c>
      <c r="C47" s="29">
        <f t="shared" si="1"/>
        <v>6</v>
      </c>
      <c r="D47" s="3"/>
      <c r="E47" s="30"/>
      <c r="F47" s="36"/>
      <c r="G47" s="74"/>
      <c r="H47" s="74"/>
      <c r="I47" s="121"/>
      <c r="J47" s="29"/>
      <c r="K47" s="29"/>
      <c r="L47" s="29"/>
      <c r="M47" s="29"/>
      <c r="N47" s="29"/>
      <c r="O47" s="29"/>
      <c r="P47" s="29"/>
      <c r="Q47" s="29"/>
      <c r="R47" s="29"/>
      <c r="S47" s="29"/>
      <c r="T47" s="57"/>
      <c r="U47" s="91" t="e">
        <f>IF(AND(C47&gt;4,VLOOKUP(B47,'[1]Assessment - Detect'!E:AA,23,FALSE)&lt;&gt;7),LEFT(B47,3),"")</f>
        <v>#N/A</v>
      </c>
      <c r="V47" s="91" t="e">
        <f>VLOOKUP(B47,#REF!,5,FALSE)</f>
        <v>#REF!</v>
      </c>
      <c r="W47" s="91">
        <f>IF(VLOOKUP(B47,'[1]Assessment - Detect'!B:AA,26,FALSE)=7,0,1)</f>
        <v>1</v>
      </c>
      <c r="X47" s="91" t="e">
        <f t="shared" si="4"/>
        <v>#REF!</v>
      </c>
      <c r="Y47" s="57"/>
      <c r="Z47" s="57"/>
    </row>
    <row r="48" spans="1:26" s="55" customFormat="1" ht="19" x14ac:dyDescent="0.2">
      <c r="A48" s="27">
        <v>302</v>
      </c>
      <c r="B48" s="28" t="str">
        <f t="shared" si="0"/>
        <v>2.1.10c</v>
      </c>
      <c r="C48" s="29">
        <f t="shared" si="1"/>
        <v>6</v>
      </c>
      <c r="D48" s="3"/>
      <c r="E48" s="38"/>
      <c r="F48" s="39"/>
      <c r="G48" s="75"/>
      <c r="H48" s="75"/>
      <c r="I48" s="126"/>
      <c r="J48" s="37"/>
      <c r="K48" s="37"/>
      <c r="L48" s="37"/>
      <c r="M48" s="37"/>
      <c r="N48" s="37"/>
      <c r="O48" s="37"/>
      <c r="P48" s="37"/>
      <c r="Q48" s="37"/>
      <c r="R48" s="37"/>
      <c r="S48" s="37"/>
      <c r="T48" s="77"/>
      <c r="U48" s="124" t="e">
        <f>IF(AND(C48&gt;4,VLOOKUP(B48,'[1]Assessment - Detect'!E:AA,23,FALSE)&lt;&gt;7),LEFT(B48,3),"")</f>
        <v>#N/A</v>
      </c>
      <c r="V48" s="124" t="e">
        <f>VLOOKUP(B48,#REF!,5,FALSE)</f>
        <v>#REF!</v>
      </c>
      <c r="W48" s="124">
        <f>IF(VLOOKUP(B48,'[1]Assessment - Detect'!B:AA,26,FALSE)=7,0,1)</f>
        <v>1</v>
      </c>
      <c r="X48" s="124" t="e">
        <f t="shared" si="4"/>
        <v>#REF!</v>
      </c>
      <c r="Y48" s="77"/>
      <c r="Z48" s="77"/>
    </row>
    <row r="49" spans="1:26" s="55" customFormat="1" ht="30" customHeight="1" x14ac:dyDescent="0.2">
      <c r="A49" s="27">
        <v>303</v>
      </c>
      <c r="B49" s="28" t="str">
        <f t="shared" si="0"/>
        <v>2.2</v>
      </c>
      <c r="C49" s="29">
        <f t="shared" si="1"/>
        <v>2</v>
      </c>
      <c r="D49" s="3"/>
      <c r="E49" s="26"/>
      <c r="F49" s="47" t="str">
        <f t="shared" si="3"/>
        <v>Investigation</v>
      </c>
      <c r="G49" s="48" t="str">
        <f>"Maturity level:  "&amp;O49</f>
        <v xml:space="preserve">Maturity level:  </v>
      </c>
      <c r="H49" s="49"/>
      <c r="I49" s="137"/>
      <c r="J49" s="49"/>
      <c r="K49" s="49"/>
      <c r="L49" s="49" t="str">
        <f>TEXT(B49,"0.0")</f>
        <v>2.2</v>
      </c>
      <c r="M49" s="49" t="e">
        <f>SUMIF(U:U,L49,H:H)/(SUMIF(U:U,L49,X:X))</f>
        <v>#DIV/0!</v>
      </c>
      <c r="N49" s="49" t="e">
        <f>HLOOKUP(M49*100,level_ref,2,TRUE)</f>
        <v>#DIV/0!</v>
      </c>
      <c r="O49" s="49" t="str">
        <f>IF(ISERROR(N49),"",N49)</f>
        <v/>
      </c>
      <c r="P49" s="49" t="e">
        <f>HLOOKUP(M49*100,level_ref,3,TRUE)</f>
        <v>#DIV/0!</v>
      </c>
      <c r="Q49" s="49" t="str">
        <f>IF(ISERROR(P49),"",P49)</f>
        <v/>
      </c>
      <c r="R49" s="49"/>
      <c r="S49" s="49"/>
      <c r="T49" s="49"/>
      <c r="U49" s="49" t="e">
        <f>IF(AND(C49&gt;4,VLOOKUP(B49,'[1]Assessment - Detect'!E:AA,23,FALSE)&lt;&gt;7),LEFT(B49,3),"")</f>
        <v>#N/A</v>
      </c>
      <c r="V49" s="49" t="e">
        <f>VLOOKUP(B49,#REF!,5,FALSE)</f>
        <v>#REF!</v>
      </c>
      <c r="W49" s="49">
        <f>IF(VLOOKUP(B49,'[1]Assessment - Detect'!B:AA,26,FALSE)=7,0,1)</f>
        <v>1</v>
      </c>
      <c r="X49" s="49" t="e">
        <f t="shared" si="4"/>
        <v>#REF!</v>
      </c>
      <c r="Y49" s="49"/>
      <c r="Z49" s="49"/>
    </row>
    <row r="50" spans="1:26" s="55" customFormat="1" ht="18.75" customHeight="1" x14ac:dyDescent="0.2">
      <c r="A50" s="27">
        <v>304</v>
      </c>
      <c r="B50" s="28" t="str">
        <f t="shared" si="0"/>
        <v/>
      </c>
      <c r="C50" s="29">
        <f t="shared" si="1"/>
        <v>3</v>
      </c>
      <c r="D50" s="3"/>
      <c r="E50" s="125" t="str">
        <f t="shared" si="2"/>
        <v/>
      </c>
      <c r="F50" s="46"/>
      <c r="G50" s="129"/>
      <c r="H50" s="129"/>
      <c r="I50" s="45"/>
      <c r="J50" s="43"/>
      <c r="K50" s="43"/>
      <c r="L50" s="43"/>
      <c r="M50" s="43"/>
      <c r="N50" s="43"/>
      <c r="O50" s="43"/>
      <c r="P50" s="43"/>
      <c r="Q50" s="43"/>
      <c r="R50" s="43"/>
      <c r="S50" s="43"/>
      <c r="T50" s="78"/>
      <c r="U50" s="48" t="e">
        <f>IF(AND(C50&gt;4,VLOOKUP(B50,'[1]Assessment - Detect'!E:AA,23,FALSE)&lt;&gt;7),LEFT(B50,3),"")</f>
        <v>#N/A</v>
      </c>
      <c r="V50" s="48" t="e">
        <f>VLOOKUP(B50,#REF!,5,FALSE)</f>
        <v>#REF!</v>
      </c>
      <c r="W50" s="48">
        <f>IF(VLOOKUP(B50,'[1]Assessment - Detect'!B:AA,26,FALSE)=7,0,1)</f>
        <v>1</v>
      </c>
      <c r="X50" s="48" t="e">
        <f t="shared" si="4"/>
        <v>#REF!</v>
      </c>
      <c r="Y50" s="78"/>
      <c r="Z50" s="78"/>
    </row>
    <row r="51" spans="1:26" s="55" customFormat="1" ht="30" customHeight="1" x14ac:dyDescent="0.2">
      <c r="A51" s="27">
        <v>305</v>
      </c>
      <c r="B51" s="28" t="str">
        <f t="shared" si="0"/>
        <v>2.2.01</v>
      </c>
      <c r="C51" s="29">
        <f t="shared" si="1"/>
        <v>5</v>
      </c>
      <c r="D51" s="3"/>
      <c r="E51" s="121"/>
      <c r="F51" s="31"/>
      <c r="G51" s="74" t="e">
        <f>VLOOKUP(E51,'[1]Assessment - Detect'!E:AB,24,FALSE)</f>
        <v>#N/A</v>
      </c>
      <c r="H51" s="74" t="e">
        <f>VLOOKUP(E51,'[1]Assessment - Detect'!E:I,5,FALSE)</f>
        <v>#N/A</v>
      </c>
      <c r="I51" s="45" t="e">
        <f>IF(VLOOKUP(E51,'[1]Assessment - Detect'!$E:$J,6,FALSE)=0,"",VLOOKUP(E51,'[1]Assessment - Detect'!$E:$J,6,FALSE))</f>
        <v>#N/A</v>
      </c>
      <c r="J51" s="29"/>
      <c r="K51" s="29"/>
      <c r="L51" s="29"/>
      <c r="M51" s="29"/>
      <c r="N51" s="29"/>
      <c r="O51" s="29"/>
      <c r="P51" s="29"/>
      <c r="Q51" s="29"/>
      <c r="R51" s="29"/>
      <c r="S51" s="29"/>
      <c r="T51" s="57"/>
      <c r="U51" s="128" t="e">
        <f>IF(AND(C51&gt;4,VLOOKUP(B51,'[1]Assessment - Detect'!E:AA,23,FALSE)&lt;&gt;7),LEFT(B51,3),"")</f>
        <v>#N/A</v>
      </c>
      <c r="V51" s="128" t="e">
        <f>VLOOKUP(B51,#REF!,5,FALSE)</f>
        <v>#REF!</v>
      </c>
      <c r="W51" s="128">
        <f>IF(VLOOKUP(B51,'[1]Assessment - Detect'!B:AA,26,FALSE)=7,0,1)</f>
        <v>1</v>
      </c>
      <c r="X51" s="128" t="e">
        <f t="shared" si="4"/>
        <v>#REF!</v>
      </c>
      <c r="Y51" s="57"/>
      <c r="Z51" s="57"/>
    </row>
    <row r="52" spans="1:26" s="55" customFormat="1" ht="30" customHeight="1" x14ac:dyDescent="0.2">
      <c r="A52" s="27">
        <v>306</v>
      </c>
      <c r="B52" s="28" t="str">
        <f t="shared" si="0"/>
        <v>2.2.02</v>
      </c>
      <c r="C52" s="29">
        <f t="shared" si="1"/>
        <v>4</v>
      </c>
      <c r="D52" s="3"/>
      <c r="E52" s="121"/>
      <c r="F52" s="31"/>
      <c r="G52" s="74"/>
      <c r="H52" s="74"/>
      <c r="I52" s="31"/>
      <c r="J52" s="29"/>
      <c r="K52" s="29"/>
      <c r="L52" s="29"/>
      <c r="M52" s="29"/>
      <c r="N52" s="29"/>
      <c r="O52" s="29"/>
      <c r="P52" s="29"/>
      <c r="Q52" s="29"/>
      <c r="R52" s="29"/>
      <c r="S52" s="29"/>
      <c r="T52" s="57"/>
      <c r="U52" s="91" t="e">
        <f>IF(AND(C52&gt;4,VLOOKUP(B52,'[1]Assessment - Detect'!E:AA,23,FALSE)&lt;&gt;7),LEFT(B52,3),"")</f>
        <v>#N/A</v>
      </c>
      <c r="V52" s="91" t="e">
        <f>VLOOKUP(B52,#REF!,5,FALSE)</f>
        <v>#REF!</v>
      </c>
      <c r="W52" s="91">
        <f>IF(VLOOKUP(B52,'[1]Assessment - Detect'!B:AA,26,FALSE)=7,0,1)</f>
        <v>1</v>
      </c>
      <c r="X52" s="91" t="e">
        <f t="shared" si="4"/>
        <v>#REF!</v>
      </c>
      <c r="Y52" s="57"/>
      <c r="Z52" s="57"/>
    </row>
    <row r="53" spans="1:26" s="55" customFormat="1" ht="30" customHeight="1" x14ac:dyDescent="0.2">
      <c r="A53" s="27">
        <v>307</v>
      </c>
      <c r="B53" s="28" t="str">
        <f t="shared" si="0"/>
        <v>2.2.02a</v>
      </c>
      <c r="C53" s="29">
        <f t="shared" si="1"/>
        <v>6</v>
      </c>
      <c r="D53" s="3"/>
      <c r="E53" s="121"/>
      <c r="F53" s="36"/>
      <c r="G53" s="74" t="e">
        <f>VLOOKUP(E53,'[1]Assessment - Detect'!E:AB,24,FALSE)</f>
        <v>#N/A</v>
      </c>
      <c r="H53" s="74" t="e">
        <f>VLOOKUP(E53,'[1]Assessment - Detect'!E:I,5,FALSE)</f>
        <v>#N/A</v>
      </c>
      <c r="I53" s="31" t="e">
        <f>IF(VLOOKUP(E53,'[1]Assessment - Detect'!$E:$J,6,FALSE)=0,"",VLOOKUP(E53,'[1]Assessment - Detect'!$E:$J,6,FALSE))</f>
        <v>#N/A</v>
      </c>
      <c r="J53" s="29"/>
      <c r="K53" s="29"/>
      <c r="L53" s="29"/>
      <c r="M53" s="29"/>
      <c r="N53" s="29"/>
      <c r="O53" s="29"/>
      <c r="P53" s="29"/>
      <c r="Q53" s="29"/>
      <c r="R53" s="29"/>
      <c r="S53" s="29"/>
      <c r="T53" s="57"/>
      <c r="U53" s="91" t="e">
        <f>IF(AND(C53&gt;4,VLOOKUP(B53,'[1]Assessment - Detect'!E:AA,23,FALSE)&lt;&gt;7),LEFT(B53,3),"")</f>
        <v>#N/A</v>
      </c>
      <c r="V53" s="91" t="e">
        <f>VLOOKUP(B53,#REF!,5,FALSE)</f>
        <v>#REF!</v>
      </c>
      <c r="W53" s="91">
        <f>IF(VLOOKUP(B53,'[1]Assessment - Detect'!B:AA,26,FALSE)=7,0,1)</f>
        <v>1</v>
      </c>
      <c r="X53" s="91" t="e">
        <f t="shared" si="4"/>
        <v>#REF!</v>
      </c>
      <c r="Y53" s="57"/>
      <c r="Z53" s="57"/>
    </row>
    <row r="54" spans="1:26" s="55" customFormat="1" ht="30" customHeight="1" x14ac:dyDescent="0.2">
      <c r="A54" s="27">
        <v>308</v>
      </c>
      <c r="B54" s="28" t="str">
        <f t="shared" si="0"/>
        <v>2.2.02b</v>
      </c>
      <c r="C54" s="29">
        <f t="shared" si="1"/>
        <v>6</v>
      </c>
      <c r="D54" s="3"/>
      <c r="E54" s="121"/>
      <c r="F54" s="36"/>
      <c r="G54" s="74" t="e">
        <f>VLOOKUP(E54,'[1]Assessment - Detect'!E:AB,24,FALSE)</f>
        <v>#N/A</v>
      </c>
      <c r="H54" s="74" t="e">
        <f>VLOOKUP(E54,'[1]Assessment - Detect'!E:I,5,FALSE)</f>
        <v>#N/A</v>
      </c>
      <c r="I54" s="31" t="e">
        <f>IF(VLOOKUP(E54,'[1]Assessment - Detect'!$E:$J,6,FALSE)=0,"",VLOOKUP(E54,'[1]Assessment - Detect'!$E:$J,6,FALSE))</f>
        <v>#N/A</v>
      </c>
      <c r="J54" s="29"/>
      <c r="K54" s="29"/>
      <c r="L54" s="29"/>
      <c r="M54" s="29"/>
      <c r="N54" s="29"/>
      <c r="O54" s="29"/>
      <c r="P54" s="29"/>
      <c r="Q54" s="29"/>
      <c r="R54" s="29"/>
      <c r="S54" s="29"/>
      <c r="T54" s="57"/>
      <c r="U54" s="91" t="e">
        <f>IF(AND(C54&gt;4,VLOOKUP(B54,'[1]Assessment - Detect'!E:AA,23,FALSE)&lt;&gt;7),LEFT(B54,3),"")</f>
        <v>#N/A</v>
      </c>
      <c r="V54" s="91" t="e">
        <f>VLOOKUP(B54,#REF!,5,FALSE)</f>
        <v>#REF!</v>
      </c>
      <c r="W54" s="91">
        <f>IF(VLOOKUP(B54,'[1]Assessment - Detect'!B:AA,26,FALSE)=7,0,1)</f>
        <v>1</v>
      </c>
      <c r="X54" s="91" t="e">
        <f t="shared" si="4"/>
        <v>#REF!</v>
      </c>
      <c r="Y54" s="57"/>
      <c r="Z54" s="57"/>
    </row>
    <row r="55" spans="1:26" s="55" customFormat="1" ht="30" customHeight="1" x14ac:dyDescent="0.2">
      <c r="A55" s="27">
        <v>309</v>
      </c>
      <c r="B55" s="28" t="str">
        <f t="shared" si="0"/>
        <v>2.2.02c</v>
      </c>
      <c r="C55" s="29">
        <f t="shared" si="1"/>
        <v>6</v>
      </c>
      <c r="D55" s="3"/>
      <c r="E55" s="121"/>
      <c r="F55" s="36"/>
      <c r="G55" s="74" t="e">
        <f>VLOOKUP(E55,'[1]Assessment - Detect'!E:AB,24,FALSE)</f>
        <v>#N/A</v>
      </c>
      <c r="H55" s="74" t="e">
        <f>VLOOKUP(E55,'[1]Assessment - Detect'!E:I,5,FALSE)</f>
        <v>#N/A</v>
      </c>
      <c r="I55" s="31" t="e">
        <f>IF(VLOOKUP(E55,'[1]Assessment - Detect'!$E:$J,6,FALSE)=0,"",VLOOKUP(E55,'[1]Assessment - Detect'!$E:$J,6,FALSE))</f>
        <v>#N/A</v>
      </c>
      <c r="J55" s="29"/>
      <c r="K55" s="29"/>
      <c r="L55" s="29"/>
      <c r="M55" s="29"/>
      <c r="N55" s="29"/>
      <c r="O55" s="29"/>
      <c r="P55" s="29"/>
      <c r="Q55" s="29"/>
      <c r="R55" s="29"/>
      <c r="S55" s="29"/>
      <c r="T55" s="57"/>
      <c r="U55" s="91" t="e">
        <f>IF(AND(C55&gt;4,VLOOKUP(B55,'[1]Assessment - Detect'!E:AA,23,FALSE)&lt;&gt;7),LEFT(B55,3),"")</f>
        <v>#N/A</v>
      </c>
      <c r="V55" s="91" t="e">
        <f>VLOOKUP(B55,#REF!,5,FALSE)</f>
        <v>#REF!</v>
      </c>
      <c r="W55" s="91">
        <f>IF(VLOOKUP(B55,'[1]Assessment - Detect'!B:AA,26,FALSE)=7,0,1)</f>
        <v>1</v>
      </c>
      <c r="X55" s="91" t="e">
        <f t="shared" si="4"/>
        <v>#REF!</v>
      </c>
      <c r="Y55" s="57"/>
      <c r="Z55" s="57"/>
    </row>
    <row r="56" spans="1:26" s="55" customFormat="1" ht="30" customHeight="1" x14ac:dyDescent="0.2">
      <c r="A56" s="27">
        <v>310</v>
      </c>
      <c r="B56" s="28" t="str">
        <f t="shared" si="0"/>
        <v>2.2.03</v>
      </c>
      <c r="C56" s="29">
        <f t="shared" si="1"/>
        <v>4</v>
      </c>
      <c r="D56" s="3"/>
      <c r="E56" s="121"/>
      <c r="F56" s="31"/>
      <c r="G56" s="74"/>
      <c r="H56" s="74"/>
      <c r="I56" s="31"/>
      <c r="J56" s="29"/>
      <c r="K56" s="29"/>
      <c r="L56" s="29"/>
      <c r="M56" s="29"/>
      <c r="N56" s="29"/>
      <c r="O56" s="29"/>
      <c r="P56" s="29"/>
      <c r="Q56" s="29"/>
      <c r="R56" s="29"/>
      <c r="S56" s="29"/>
      <c r="T56" s="57"/>
      <c r="U56" s="91" t="e">
        <f>IF(AND(C56&gt;4,VLOOKUP(B56,'[1]Assessment - Detect'!E:AA,23,FALSE)&lt;&gt;7),LEFT(B56,3),"")</f>
        <v>#N/A</v>
      </c>
      <c r="V56" s="91" t="e">
        <f>VLOOKUP(B56,#REF!,5,FALSE)</f>
        <v>#REF!</v>
      </c>
      <c r="W56" s="91">
        <f>IF(VLOOKUP(B56,'[1]Assessment - Detect'!B:AA,26,FALSE)=7,0,1)</f>
        <v>1</v>
      </c>
      <c r="X56" s="91" t="e">
        <f t="shared" si="4"/>
        <v>#REF!</v>
      </c>
      <c r="Y56" s="57"/>
      <c r="Z56" s="57"/>
    </row>
    <row r="57" spans="1:26" s="55" customFormat="1" ht="19" x14ac:dyDescent="0.2">
      <c r="A57" s="27">
        <v>311</v>
      </c>
      <c r="B57" s="28" t="str">
        <f t="shared" si="0"/>
        <v>2.2.03a</v>
      </c>
      <c r="C57" s="29">
        <f t="shared" si="1"/>
        <v>6</v>
      </c>
      <c r="D57" s="3"/>
      <c r="E57" s="121"/>
      <c r="F57" s="36"/>
      <c r="G57" s="74" t="e">
        <f>VLOOKUP(E57,'[1]Assessment - Detect'!E:AB,24,FALSE)</f>
        <v>#N/A</v>
      </c>
      <c r="H57" s="74" t="e">
        <f>VLOOKUP(E57,'[1]Assessment - Detect'!E:I,5,FALSE)</f>
        <v>#N/A</v>
      </c>
      <c r="I57" s="31" t="e">
        <f>IF(VLOOKUP(E57,'[1]Assessment - Detect'!$E:$J,6,FALSE)=0,"",VLOOKUP(E57,'[1]Assessment - Detect'!$E:$J,6,FALSE))</f>
        <v>#N/A</v>
      </c>
      <c r="J57" s="29"/>
      <c r="K57" s="29"/>
      <c r="L57" s="29"/>
      <c r="M57" s="29"/>
      <c r="N57" s="29"/>
      <c r="O57" s="29"/>
      <c r="P57" s="29"/>
      <c r="Q57" s="29"/>
      <c r="R57" s="29"/>
      <c r="S57" s="29"/>
      <c r="T57" s="57"/>
      <c r="U57" s="91" t="e">
        <f>IF(AND(C57&gt;4,VLOOKUP(B57,'[1]Assessment - Detect'!E:AA,23,FALSE)&lt;&gt;7),LEFT(B57,3),"")</f>
        <v>#N/A</v>
      </c>
      <c r="V57" s="91" t="e">
        <f>VLOOKUP(B57,#REF!,5,FALSE)</f>
        <v>#REF!</v>
      </c>
      <c r="W57" s="91">
        <f>IF(VLOOKUP(B57,'[1]Assessment - Detect'!B:AA,26,FALSE)=7,0,1)</f>
        <v>1</v>
      </c>
      <c r="X57" s="91" t="e">
        <f t="shared" si="4"/>
        <v>#REF!</v>
      </c>
      <c r="Y57" s="57"/>
      <c r="Z57" s="57"/>
    </row>
    <row r="58" spans="1:26" s="55" customFormat="1" ht="19" x14ac:dyDescent="0.2">
      <c r="A58" s="27">
        <v>312</v>
      </c>
      <c r="B58" s="28" t="str">
        <f t="shared" si="0"/>
        <v>2.2.03b</v>
      </c>
      <c r="C58" s="29">
        <f t="shared" si="1"/>
        <v>6</v>
      </c>
      <c r="D58" s="3"/>
      <c r="E58" s="121"/>
      <c r="F58" s="36"/>
      <c r="G58" s="74" t="e">
        <f>VLOOKUP(E58,'[1]Assessment - Detect'!E:AB,24,FALSE)</f>
        <v>#N/A</v>
      </c>
      <c r="H58" s="74" t="e">
        <f>VLOOKUP(E58,'[1]Assessment - Detect'!E:I,5,FALSE)</f>
        <v>#N/A</v>
      </c>
      <c r="I58" s="31" t="e">
        <f>IF(VLOOKUP(E58,'[1]Assessment - Detect'!$E:$J,6,FALSE)=0,"",VLOOKUP(E58,'[1]Assessment - Detect'!$E:$J,6,FALSE))</f>
        <v>#N/A</v>
      </c>
      <c r="J58" s="29"/>
      <c r="K58" s="29"/>
      <c r="L58" s="29"/>
      <c r="M58" s="29"/>
      <c r="N58" s="29"/>
      <c r="O58" s="29"/>
      <c r="P58" s="29"/>
      <c r="Q58" s="29"/>
      <c r="R58" s="29"/>
      <c r="S58" s="29"/>
      <c r="T58" s="57"/>
      <c r="U58" s="91" t="e">
        <f>IF(AND(C58&gt;4,VLOOKUP(B58,'[1]Assessment - Detect'!E:AA,23,FALSE)&lt;&gt;7),LEFT(B58,3),"")</f>
        <v>#N/A</v>
      </c>
      <c r="V58" s="91" t="e">
        <f>VLOOKUP(B58,#REF!,5,FALSE)</f>
        <v>#REF!</v>
      </c>
      <c r="W58" s="91">
        <f>IF(VLOOKUP(B58,'[1]Assessment - Detect'!B:AA,26,FALSE)=7,0,1)</f>
        <v>1</v>
      </c>
      <c r="X58" s="91" t="e">
        <f t="shared" si="4"/>
        <v>#REF!</v>
      </c>
      <c r="Y58" s="57"/>
      <c r="Z58" s="57"/>
    </row>
    <row r="59" spans="1:26" s="55" customFormat="1" ht="19" x14ac:dyDescent="0.2">
      <c r="A59" s="27">
        <v>313</v>
      </c>
      <c r="B59" s="28" t="str">
        <f t="shared" si="0"/>
        <v>2.2.03c</v>
      </c>
      <c r="C59" s="29">
        <f t="shared" si="1"/>
        <v>6</v>
      </c>
      <c r="D59" s="3"/>
      <c r="E59" s="121"/>
      <c r="F59" s="36"/>
      <c r="G59" s="74" t="e">
        <f>VLOOKUP(E59,'[1]Assessment - Detect'!E:AB,24,FALSE)</f>
        <v>#N/A</v>
      </c>
      <c r="H59" s="74" t="e">
        <f>VLOOKUP(E59,'[1]Assessment - Detect'!E:I,5,FALSE)</f>
        <v>#N/A</v>
      </c>
      <c r="I59" s="31" t="e">
        <f>IF(VLOOKUP(E59,'[1]Assessment - Detect'!$E:$J,6,FALSE)=0,"",VLOOKUP(E59,'[1]Assessment - Detect'!$E:$J,6,FALSE))</f>
        <v>#N/A</v>
      </c>
      <c r="J59" s="29"/>
      <c r="K59" s="29"/>
      <c r="L59" s="29"/>
      <c r="M59" s="29"/>
      <c r="N59" s="29"/>
      <c r="O59" s="29"/>
      <c r="P59" s="29"/>
      <c r="Q59" s="29"/>
      <c r="R59" s="29"/>
      <c r="S59" s="29"/>
      <c r="T59" s="57"/>
      <c r="U59" s="91" t="e">
        <f>IF(AND(C59&gt;4,VLOOKUP(B59,'[1]Assessment - Detect'!E:AA,23,FALSE)&lt;&gt;7),LEFT(B59,3),"")</f>
        <v>#N/A</v>
      </c>
      <c r="V59" s="91" t="e">
        <f>VLOOKUP(B59,#REF!,5,FALSE)</f>
        <v>#REF!</v>
      </c>
      <c r="W59" s="91">
        <f>IF(VLOOKUP(B59,'[1]Assessment - Detect'!B:AA,26,FALSE)=7,0,1)</f>
        <v>1</v>
      </c>
      <c r="X59" s="91" t="e">
        <f t="shared" si="4"/>
        <v>#REF!</v>
      </c>
      <c r="Y59" s="57"/>
      <c r="Z59" s="57"/>
    </row>
    <row r="60" spans="1:26" s="55" customFormat="1" ht="30" customHeight="1" x14ac:dyDescent="0.2">
      <c r="A60" s="27">
        <v>314</v>
      </c>
      <c r="B60" s="28" t="str">
        <f t="shared" si="0"/>
        <v>2.2.03d</v>
      </c>
      <c r="C60" s="29">
        <f t="shared" si="1"/>
        <v>6</v>
      </c>
      <c r="D60" s="3"/>
      <c r="E60" s="121"/>
      <c r="F60" s="36"/>
      <c r="G60" s="74" t="e">
        <f>VLOOKUP(E60,'[1]Assessment - Detect'!E:AB,24,FALSE)</f>
        <v>#N/A</v>
      </c>
      <c r="H60" s="74" t="e">
        <f>VLOOKUP(E60,'[1]Assessment - Detect'!E:I,5,FALSE)</f>
        <v>#N/A</v>
      </c>
      <c r="I60" s="31" t="e">
        <f>IF(VLOOKUP(E60,'[1]Assessment - Detect'!$E:$J,6,FALSE)=0,"",VLOOKUP(E60,'[1]Assessment - Detect'!$E:$J,6,FALSE))</f>
        <v>#N/A</v>
      </c>
      <c r="J60" s="29"/>
      <c r="K60" s="29"/>
      <c r="L60" s="29"/>
      <c r="M60" s="29"/>
      <c r="N60" s="29"/>
      <c r="O60" s="29"/>
      <c r="P60" s="29"/>
      <c r="Q60" s="29"/>
      <c r="R60" s="29"/>
      <c r="S60" s="29"/>
      <c r="T60" s="57"/>
      <c r="U60" s="91" t="e">
        <f>IF(AND(C60&gt;4,VLOOKUP(B60,'[1]Assessment - Detect'!E:AA,23,FALSE)&lt;&gt;7),LEFT(B60,3),"")</f>
        <v>#N/A</v>
      </c>
      <c r="V60" s="91" t="e">
        <f>VLOOKUP(B60,#REF!,5,FALSE)</f>
        <v>#REF!</v>
      </c>
      <c r="W60" s="91">
        <f>IF(VLOOKUP(B60,'[1]Assessment - Detect'!B:AA,26,FALSE)=7,0,1)</f>
        <v>1</v>
      </c>
      <c r="X60" s="91" t="e">
        <f t="shared" si="4"/>
        <v>#REF!</v>
      </c>
      <c r="Y60" s="57"/>
      <c r="Z60" s="57"/>
    </row>
    <row r="61" spans="1:26" s="55" customFormat="1" ht="19" x14ac:dyDescent="0.2">
      <c r="A61" s="27">
        <v>315</v>
      </c>
      <c r="B61" s="28" t="str">
        <f t="shared" si="0"/>
        <v>2.2.03e</v>
      </c>
      <c r="C61" s="29">
        <f t="shared" si="1"/>
        <v>6</v>
      </c>
      <c r="D61" s="3"/>
      <c r="E61" s="121"/>
      <c r="F61" s="36"/>
      <c r="G61" s="74" t="e">
        <f>VLOOKUP(E61,'[1]Assessment - Detect'!E:AB,24,FALSE)</f>
        <v>#N/A</v>
      </c>
      <c r="H61" s="74" t="e">
        <f>VLOOKUP(E61,'[1]Assessment - Detect'!E:I,5,FALSE)</f>
        <v>#N/A</v>
      </c>
      <c r="I61" s="31" t="e">
        <f>IF(VLOOKUP(E61,'[1]Assessment - Detect'!$E:$J,6,FALSE)=0,"",VLOOKUP(E61,'[1]Assessment - Detect'!$E:$J,6,FALSE))</f>
        <v>#N/A</v>
      </c>
      <c r="J61" s="29"/>
      <c r="K61" s="29"/>
      <c r="L61" s="29"/>
      <c r="M61" s="29"/>
      <c r="N61" s="29"/>
      <c r="O61" s="29"/>
      <c r="P61" s="29"/>
      <c r="Q61" s="29"/>
      <c r="R61" s="29"/>
      <c r="S61" s="29"/>
      <c r="T61" s="57"/>
      <c r="U61" s="91" t="e">
        <f>IF(AND(C61&gt;4,VLOOKUP(B61,'[1]Assessment - Detect'!E:AA,23,FALSE)&lt;&gt;7),LEFT(B61,3),"")</f>
        <v>#N/A</v>
      </c>
      <c r="V61" s="91" t="e">
        <f>VLOOKUP(B61,#REF!,5,FALSE)</f>
        <v>#REF!</v>
      </c>
      <c r="W61" s="91">
        <f>IF(VLOOKUP(B61,'[1]Assessment - Detect'!B:AA,26,FALSE)=7,0,1)</f>
        <v>1</v>
      </c>
      <c r="X61" s="91" t="e">
        <f t="shared" si="4"/>
        <v>#REF!</v>
      </c>
      <c r="Y61" s="57"/>
      <c r="Z61" s="57"/>
    </row>
    <row r="62" spans="1:26" s="55" customFormat="1" ht="19" x14ac:dyDescent="0.2">
      <c r="A62" s="27">
        <v>316</v>
      </c>
      <c r="B62" s="28" t="str">
        <f t="shared" si="0"/>
        <v>2.2.03f</v>
      </c>
      <c r="C62" s="29">
        <f t="shared" si="1"/>
        <v>6</v>
      </c>
      <c r="D62" s="3"/>
      <c r="E62" s="121"/>
      <c r="F62" s="36"/>
      <c r="G62" s="74" t="e">
        <f>VLOOKUP(E62,'[1]Assessment - Detect'!E:AB,24,FALSE)</f>
        <v>#N/A</v>
      </c>
      <c r="H62" s="74" t="e">
        <f>VLOOKUP(E62,'[1]Assessment - Detect'!E:I,5,FALSE)</f>
        <v>#N/A</v>
      </c>
      <c r="I62" s="31" t="e">
        <f>IF(VLOOKUP(E62,'[1]Assessment - Detect'!$E:$J,6,FALSE)=0,"",VLOOKUP(E62,'[1]Assessment - Detect'!$E:$J,6,FALSE))</f>
        <v>#N/A</v>
      </c>
      <c r="J62" s="29"/>
      <c r="K62" s="29"/>
      <c r="L62" s="29"/>
      <c r="M62" s="29"/>
      <c r="N62" s="29"/>
      <c r="O62" s="29"/>
      <c r="P62" s="29"/>
      <c r="Q62" s="29"/>
      <c r="R62" s="29"/>
      <c r="S62" s="29"/>
      <c r="T62" s="57"/>
      <c r="U62" s="91" t="e">
        <f>IF(AND(C62&gt;4,VLOOKUP(B62,'[1]Assessment - Detect'!E:AA,23,FALSE)&lt;&gt;7),LEFT(B62,3),"")</f>
        <v>#N/A</v>
      </c>
      <c r="V62" s="91" t="e">
        <f>VLOOKUP(B62,#REF!,5,FALSE)</f>
        <v>#REF!</v>
      </c>
      <c r="W62" s="91">
        <f>IF(VLOOKUP(B62,'[1]Assessment - Detect'!B:AA,26,FALSE)=7,0,1)</f>
        <v>1</v>
      </c>
      <c r="X62" s="91" t="e">
        <f t="shared" si="4"/>
        <v>#REF!</v>
      </c>
      <c r="Y62" s="57"/>
      <c r="Z62" s="57"/>
    </row>
    <row r="63" spans="1:26" s="55" customFormat="1" ht="30" customHeight="1" x14ac:dyDescent="0.2">
      <c r="A63" s="27">
        <v>317</v>
      </c>
      <c r="B63" s="28" t="str">
        <f t="shared" si="0"/>
        <v>2.2.04</v>
      </c>
      <c r="C63" s="29">
        <f t="shared" si="1"/>
        <v>4</v>
      </c>
      <c r="D63" s="3"/>
      <c r="E63" s="121"/>
      <c r="F63" s="31"/>
      <c r="G63" s="74"/>
      <c r="H63" s="74"/>
      <c r="I63" s="31"/>
      <c r="J63" s="29"/>
      <c r="K63" s="29"/>
      <c r="L63" s="29"/>
      <c r="M63" s="29"/>
      <c r="N63" s="29"/>
      <c r="O63" s="29"/>
      <c r="P63" s="29"/>
      <c r="Q63" s="29"/>
      <c r="R63" s="29"/>
      <c r="S63" s="29"/>
      <c r="T63" s="57"/>
      <c r="U63" s="91" t="e">
        <f>IF(AND(C63&gt;4,VLOOKUP(B63,'[1]Assessment - Detect'!E:AA,23,FALSE)&lt;&gt;7),LEFT(B63,3),"")</f>
        <v>#N/A</v>
      </c>
      <c r="V63" s="91" t="e">
        <f>VLOOKUP(B63,#REF!,5,FALSE)</f>
        <v>#REF!</v>
      </c>
      <c r="W63" s="91">
        <f>IF(VLOOKUP(B63,'[1]Assessment - Detect'!B:AA,26,FALSE)=7,0,1)</f>
        <v>1</v>
      </c>
      <c r="X63" s="91" t="e">
        <f t="shared" si="4"/>
        <v>#REF!</v>
      </c>
      <c r="Y63" s="57"/>
      <c r="Z63" s="57"/>
    </row>
    <row r="64" spans="1:26" s="55" customFormat="1" ht="30" customHeight="1" x14ac:dyDescent="0.2">
      <c r="A64" s="27">
        <v>318</v>
      </c>
      <c r="B64" s="28" t="str">
        <f t="shared" si="0"/>
        <v>2.2.04a</v>
      </c>
      <c r="C64" s="29">
        <f t="shared" si="1"/>
        <v>6</v>
      </c>
      <c r="D64" s="3"/>
      <c r="E64" s="121"/>
      <c r="F64" s="36"/>
      <c r="G64" s="74" t="e">
        <f>VLOOKUP(E64,'[1]Assessment - Detect'!E:AB,24,FALSE)</f>
        <v>#N/A</v>
      </c>
      <c r="H64" s="74" t="e">
        <f>VLOOKUP(E64,'[1]Assessment - Detect'!E:I,5,FALSE)</f>
        <v>#N/A</v>
      </c>
      <c r="I64" s="31" t="e">
        <f>IF(VLOOKUP(E64,'[1]Assessment - Detect'!$E:$J,6,FALSE)=0,"",VLOOKUP(E64,'[1]Assessment - Detect'!$E:$J,6,FALSE))</f>
        <v>#N/A</v>
      </c>
      <c r="J64" s="29"/>
      <c r="K64" s="29"/>
      <c r="L64" s="29"/>
      <c r="M64" s="29"/>
      <c r="N64" s="29"/>
      <c r="O64" s="29"/>
      <c r="P64" s="29"/>
      <c r="Q64" s="29"/>
      <c r="R64" s="29"/>
      <c r="S64" s="29"/>
      <c r="T64" s="57"/>
      <c r="U64" s="91" t="e">
        <f>IF(AND(C64&gt;4,VLOOKUP(B64,'[1]Assessment - Detect'!E:AA,23,FALSE)&lt;&gt;7),LEFT(B64,3),"")</f>
        <v>#N/A</v>
      </c>
      <c r="V64" s="91" t="e">
        <f>VLOOKUP(B64,#REF!,5,FALSE)</f>
        <v>#REF!</v>
      </c>
      <c r="W64" s="91">
        <f>IF(VLOOKUP(B64,'[1]Assessment - Detect'!B:AA,26,FALSE)=7,0,1)</f>
        <v>1</v>
      </c>
      <c r="X64" s="91" t="e">
        <f t="shared" si="4"/>
        <v>#REF!</v>
      </c>
      <c r="Y64" s="57"/>
      <c r="Z64" s="57"/>
    </row>
    <row r="65" spans="1:26" s="55" customFormat="1" ht="19" x14ac:dyDescent="0.2">
      <c r="A65" s="27">
        <v>319</v>
      </c>
      <c r="B65" s="28" t="str">
        <f t="shared" si="0"/>
        <v>2.2.04b</v>
      </c>
      <c r="C65" s="29">
        <f t="shared" si="1"/>
        <v>6</v>
      </c>
      <c r="D65" s="3"/>
      <c r="E65" s="121"/>
      <c r="F65" s="36"/>
      <c r="G65" s="74" t="e">
        <f>VLOOKUP(E65,'[1]Assessment - Detect'!E:AB,24,FALSE)</f>
        <v>#N/A</v>
      </c>
      <c r="H65" s="74" t="e">
        <f>VLOOKUP(E65,'[1]Assessment - Detect'!E:I,5,FALSE)</f>
        <v>#N/A</v>
      </c>
      <c r="I65" s="31" t="e">
        <f>IF(VLOOKUP(E65,'[1]Assessment - Detect'!$E:$J,6,FALSE)=0,"",VLOOKUP(E65,'[1]Assessment - Detect'!$E:$J,6,FALSE))</f>
        <v>#N/A</v>
      </c>
      <c r="J65" s="29"/>
      <c r="K65" s="29"/>
      <c r="L65" s="29"/>
      <c r="M65" s="29"/>
      <c r="N65" s="29"/>
      <c r="O65" s="29"/>
      <c r="P65" s="29"/>
      <c r="Q65" s="29"/>
      <c r="R65" s="29"/>
      <c r="S65" s="29"/>
      <c r="T65" s="57"/>
      <c r="U65" s="91" t="e">
        <f>IF(AND(C65&gt;4,VLOOKUP(B65,'[1]Assessment - Detect'!E:AA,23,FALSE)&lt;&gt;7),LEFT(B65,3),"")</f>
        <v>#N/A</v>
      </c>
      <c r="V65" s="91" t="e">
        <f>VLOOKUP(B65,#REF!,5,FALSE)</f>
        <v>#REF!</v>
      </c>
      <c r="W65" s="91">
        <f>IF(VLOOKUP(B65,'[1]Assessment - Detect'!B:AA,26,FALSE)=7,0,1)</f>
        <v>1</v>
      </c>
      <c r="X65" s="91" t="e">
        <f t="shared" si="4"/>
        <v>#REF!</v>
      </c>
      <c r="Y65" s="57"/>
      <c r="Z65" s="57"/>
    </row>
    <row r="66" spans="1:26" s="55" customFormat="1" ht="30" customHeight="1" x14ac:dyDescent="0.2">
      <c r="A66" s="27">
        <v>320</v>
      </c>
      <c r="B66" s="28" t="str">
        <f t="shared" si="0"/>
        <v>2.2.05</v>
      </c>
      <c r="C66" s="29">
        <f t="shared" si="1"/>
        <v>5</v>
      </c>
      <c r="D66" s="3"/>
      <c r="E66" s="121"/>
      <c r="F66" s="31"/>
      <c r="G66" s="74" t="e">
        <f>VLOOKUP(E66,'[1]Assessment - Detect'!E:AB,24,FALSE)</f>
        <v>#N/A</v>
      </c>
      <c r="H66" s="74" t="e">
        <f>VLOOKUP(E66,'[1]Assessment - Detect'!E:I,5,FALSE)</f>
        <v>#N/A</v>
      </c>
      <c r="I66" s="31" t="e">
        <f>IF(VLOOKUP(E66,'[1]Assessment - Detect'!$E:$J,6,FALSE)=0,"",VLOOKUP(E66,'[1]Assessment - Detect'!$E:$J,6,FALSE))</f>
        <v>#N/A</v>
      </c>
      <c r="J66" s="29"/>
      <c r="K66" s="29"/>
      <c r="L66" s="29"/>
      <c r="M66" s="29"/>
      <c r="N66" s="29"/>
      <c r="O66" s="29"/>
      <c r="P66" s="29"/>
      <c r="Q66" s="29"/>
      <c r="R66" s="29"/>
      <c r="S66" s="29"/>
      <c r="T66" s="57"/>
      <c r="U66" s="91" t="e">
        <f>IF(AND(C66&gt;4,VLOOKUP(B66,'[1]Assessment - Detect'!E:AA,23,FALSE)&lt;&gt;7),LEFT(B66,3),"")</f>
        <v>#N/A</v>
      </c>
      <c r="V66" s="91" t="e">
        <f>VLOOKUP(B66,#REF!,5,FALSE)</f>
        <v>#REF!</v>
      </c>
      <c r="W66" s="91">
        <f>IF(VLOOKUP(B66,'[1]Assessment - Detect'!B:AA,26,FALSE)=7,0,1)</f>
        <v>1</v>
      </c>
      <c r="X66" s="91" t="e">
        <f t="shared" si="4"/>
        <v>#REF!</v>
      </c>
      <c r="Y66" s="57"/>
      <c r="Z66" s="57"/>
    </row>
    <row r="67" spans="1:26" s="55" customFormat="1" ht="19" x14ac:dyDescent="0.2">
      <c r="A67" s="27">
        <v>321</v>
      </c>
      <c r="B67" s="28" t="str">
        <f t="shared" si="0"/>
        <v>2.2.06</v>
      </c>
      <c r="C67" s="29">
        <f t="shared" si="1"/>
        <v>5</v>
      </c>
      <c r="D67" s="3"/>
      <c r="E67" s="121"/>
      <c r="F67" s="31"/>
      <c r="G67" s="74" t="e">
        <f>VLOOKUP(E67,'[1]Assessment - Detect'!E:AB,24,FALSE)</f>
        <v>#N/A</v>
      </c>
      <c r="H67" s="74" t="e">
        <f>VLOOKUP(E67,'[1]Assessment - Detect'!E:I,5,FALSE)</f>
        <v>#N/A</v>
      </c>
      <c r="I67" s="31" t="e">
        <f>IF(VLOOKUP(E67,'[1]Assessment - Detect'!$E:$J,6,FALSE)=0,"",VLOOKUP(E67,'[1]Assessment - Detect'!$E:$J,6,FALSE))</f>
        <v>#N/A</v>
      </c>
      <c r="J67" s="29"/>
      <c r="K67" s="29"/>
      <c r="L67" s="29"/>
      <c r="M67" s="29"/>
      <c r="N67" s="29"/>
      <c r="O67" s="29"/>
      <c r="P67" s="29"/>
      <c r="Q67" s="29"/>
      <c r="R67" s="29"/>
      <c r="S67" s="29"/>
      <c r="T67" s="57"/>
      <c r="U67" s="91" t="e">
        <f>IF(AND(C67&gt;4,VLOOKUP(B67,'[1]Assessment - Detect'!E:AA,23,FALSE)&lt;&gt;7),LEFT(B67,3),"")</f>
        <v>#N/A</v>
      </c>
      <c r="V67" s="91" t="e">
        <f>VLOOKUP(B67,#REF!,5,FALSE)</f>
        <v>#REF!</v>
      </c>
      <c r="W67" s="91">
        <f>IF(VLOOKUP(B67,'[1]Assessment - Detect'!B:AA,26,FALSE)=7,0,1)</f>
        <v>1</v>
      </c>
      <c r="X67" s="91" t="e">
        <f t="shared" si="4"/>
        <v>#REF!</v>
      </c>
      <c r="Y67" s="57"/>
      <c r="Z67" s="57"/>
    </row>
    <row r="68" spans="1:26" s="55" customFormat="1" ht="19" x14ac:dyDescent="0.2">
      <c r="A68" s="27">
        <v>322</v>
      </c>
      <c r="B68" s="28" t="str">
        <f t="shared" si="0"/>
        <v>2.2.07</v>
      </c>
      <c r="C68" s="29">
        <f t="shared" si="1"/>
        <v>4</v>
      </c>
      <c r="D68" s="3"/>
      <c r="E68" s="121"/>
      <c r="F68" s="31"/>
      <c r="G68" s="74"/>
      <c r="H68" s="74"/>
      <c r="I68" s="31"/>
      <c r="J68" s="29"/>
      <c r="K68" s="29"/>
      <c r="L68" s="29"/>
      <c r="M68" s="29"/>
      <c r="N68" s="29"/>
      <c r="O68" s="29"/>
      <c r="P68" s="29"/>
      <c r="Q68" s="29"/>
      <c r="R68" s="29"/>
      <c r="S68" s="29"/>
      <c r="T68" s="57"/>
      <c r="U68" s="91" t="e">
        <f>IF(AND(C68&gt;4,VLOOKUP(B68,'[1]Assessment - Detect'!E:AA,23,FALSE)&lt;&gt;7),LEFT(B68,3),"")</f>
        <v>#N/A</v>
      </c>
      <c r="V68" s="91" t="e">
        <f>VLOOKUP(B68,#REF!,5,FALSE)</f>
        <v>#REF!</v>
      </c>
      <c r="W68" s="91">
        <f>IF(VLOOKUP(B68,'[1]Assessment - Detect'!B:AA,26,FALSE)=7,0,1)</f>
        <v>1</v>
      </c>
      <c r="X68" s="91" t="e">
        <f t="shared" si="4"/>
        <v>#REF!</v>
      </c>
      <c r="Y68" s="57"/>
      <c r="Z68" s="57"/>
    </row>
    <row r="69" spans="1:26" s="55" customFormat="1" ht="30" customHeight="1" x14ac:dyDescent="0.2">
      <c r="A69" s="27">
        <v>323</v>
      </c>
      <c r="B69" s="28" t="str">
        <f t="shared" si="0"/>
        <v>2.2.07a</v>
      </c>
      <c r="C69" s="29">
        <f t="shared" si="1"/>
        <v>6</v>
      </c>
      <c r="D69" s="3"/>
      <c r="E69" s="121"/>
      <c r="F69" s="36"/>
      <c r="G69" s="74" t="e">
        <f>VLOOKUP(E69,'[1]Assessment - Detect'!E:AB,24,FALSE)</f>
        <v>#N/A</v>
      </c>
      <c r="H69" s="74" t="e">
        <f>VLOOKUP(E69,'[1]Assessment - Detect'!E:I,5,FALSE)</f>
        <v>#N/A</v>
      </c>
      <c r="I69" s="31" t="e">
        <f>IF(VLOOKUP(E69,'[1]Assessment - Detect'!$E:$J,6,FALSE)=0,"",VLOOKUP(E69,'[1]Assessment - Detect'!$E:$J,6,FALSE))</f>
        <v>#N/A</v>
      </c>
      <c r="J69" s="29"/>
      <c r="K69" s="29"/>
      <c r="L69" s="29"/>
      <c r="M69" s="29"/>
      <c r="N69" s="29"/>
      <c r="O69" s="29"/>
      <c r="P69" s="29"/>
      <c r="Q69" s="29"/>
      <c r="R69" s="29"/>
      <c r="S69" s="29"/>
      <c r="T69" s="57"/>
      <c r="U69" s="91" t="e">
        <f>IF(AND(C69&gt;4,VLOOKUP(B69,'[1]Assessment - Detect'!E:AA,23,FALSE)&lt;&gt;7),LEFT(B69,3),"")</f>
        <v>#N/A</v>
      </c>
      <c r="V69" s="91" t="e">
        <f>VLOOKUP(B69,#REF!,5,FALSE)</f>
        <v>#REF!</v>
      </c>
      <c r="W69" s="91">
        <f>IF(VLOOKUP(B69,'[1]Assessment - Detect'!B:AA,26,FALSE)=7,0,1)</f>
        <v>1</v>
      </c>
      <c r="X69" s="91" t="e">
        <f t="shared" si="4"/>
        <v>#REF!</v>
      </c>
      <c r="Y69" s="57"/>
      <c r="Z69" s="57"/>
    </row>
    <row r="70" spans="1:26" s="55" customFormat="1" ht="30" customHeight="1" x14ac:dyDescent="0.2">
      <c r="A70" s="27">
        <v>324</v>
      </c>
      <c r="B70" s="28" t="str">
        <f t="shared" si="0"/>
        <v>2.2.07b</v>
      </c>
      <c r="C70" s="29">
        <f t="shared" si="1"/>
        <v>6</v>
      </c>
      <c r="D70" s="3"/>
      <c r="E70" s="121"/>
      <c r="F70" s="36"/>
      <c r="G70" s="74" t="e">
        <f>VLOOKUP(E70,'[1]Assessment - Detect'!E:AB,24,FALSE)</f>
        <v>#N/A</v>
      </c>
      <c r="H70" s="74" t="e">
        <f>VLOOKUP(E70,'[1]Assessment - Detect'!E:I,5,FALSE)</f>
        <v>#N/A</v>
      </c>
      <c r="I70" s="31" t="e">
        <f>IF(VLOOKUP(E70,'[1]Assessment - Detect'!$E:$J,6,FALSE)=0,"",VLOOKUP(E70,'[1]Assessment - Detect'!$E:$J,6,FALSE))</f>
        <v>#N/A</v>
      </c>
      <c r="J70" s="29"/>
      <c r="K70" s="29"/>
      <c r="L70" s="29"/>
      <c r="M70" s="29"/>
      <c r="N70" s="29"/>
      <c r="O70" s="29"/>
      <c r="P70" s="29"/>
      <c r="Q70" s="29"/>
      <c r="R70" s="29"/>
      <c r="S70" s="29"/>
      <c r="T70" s="57"/>
      <c r="U70" s="91" t="e">
        <f>IF(AND(C70&gt;4,VLOOKUP(B70,'[1]Assessment - Detect'!E:AA,23,FALSE)&lt;&gt;7),LEFT(B70,3),"")</f>
        <v>#N/A</v>
      </c>
      <c r="V70" s="91" t="e">
        <f>VLOOKUP(B70,#REF!,5,FALSE)</f>
        <v>#REF!</v>
      </c>
      <c r="W70" s="91">
        <f>IF(VLOOKUP(B70,'[1]Assessment - Detect'!B:AA,26,FALSE)=7,0,1)</f>
        <v>1</v>
      </c>
      <c r="X70" s="91" t="e">
        <f t="shared" si="4"/>
        <v>#REF!</v>
      </c>
      <c r="Y70" s="57"/>
      <c r="Z70" s="57"/>
    </row>
    <row r="71" spans="1:26" s="55" customFormat="1" ht="30" customHeight="1" x14ac:dyDescent="0.2">
      <c r="A71" s="27">
        <v>325</v>
      </c>
      <c r="B71" s="28" t="str">
        <f t="shared" si="0"/>
        <v>2.2.07c</v>
      </c>
      <c r="C71" s="29">
        <f t="shared" si="1"/>
        <v>6</v>
      </c>
      <c r="D71" s="3"/>
      <c r="E71" s="121"/>
      <c r="F71" s="36"/>
      <c r="G71" s="74" t="e">
        <f>VLOOKUP(E71,'[1]Assessment - Detect'!E:AB,24,FALSE)</f>
        <v>#N/A</v>
      </c>
      <c r="H71" s="74" t="e">
        <f>VLOOKUP(E71,'[1]Assessment - Detect'!E:I,5,FALSE)</f>
        <v>#N/A</v>
      </c>
      <c r="I71" s="31" t="e">
        <f>IF(VLOOKUP(E71,'[1]Assessment - Detect'!$E:$J,6,FALSE)=0,"",VLOOKUP(E71,'[1]Assessment - Detect'!$E:$J,6,FALSE))</f>
        <v>#N/A</v>
      </c>
      <c r="J71" s="29"/>
      <c r="K71" s="29"/>
      <c r="L71" s="29"/>
      <c r="M71" s="29"/>
      <c r="N71" s="29"/>
      <c r="O71" s="29"/>
      <c r="P71" s="29"/>
      <c r="Q71" s="29"/>
      <c r="R71" s="29"/>
      <c r="S71" s="29"/>
      <c r="T71" s="57"/>
      <c r="U71" s="91" t="e">
        <f>IF(AND(C71&gt;4,VLOOKUP(B71,'[1]Assessment - Detect'!E:AA,23,FALSE)&lt;&gt;7),LEFT(B71,3),"")</f>
        <v>#N/A</v>
      </c>
      <c r="V71" s="91" t="e">
        <f>VLOOKUP(B71,#REF!,5,FALSE)</f>
        <v>#REF!</v>
      </c>
      <c r="W71" s="91">
        <f>IF(VLOOKUP(B71,'[1]Assessment - Detect'!B:AA,26,FALSE)=7,0,1)</f>
        <v>1</v>
      </c>
      <c r="X71" s="91" t="e">
        <f t="shared" si="4"/>
        <v>#REF!</v>
      </c>
      <c r="Y71" s="57"/>
      <c r="Z71" s="57"/>
    </row>
    <row r="72" spans="1:26" s="55" customFormat="1" ht="18.75" customHeight="1" x14ac:dyDescent="0.2">
      <c r="A72" s="27">
        <v>326</v>
      </c>
      <c r="B72" s="28" t="str">
        <f t="shared" ref="B72:B135" si="5">VLOOKUP(A72,contentref,2,FALSE)</f>
        <v/>
      </c>
      <c r="C72" s="29">
        <f t="shared" ref="C72:C135" si="6">VLOOKUP(A72,contentref,15,FALSE)</f>
        <v>3</v>
      </c>
      <c r="D72" s="3"/>
      <c r="E72" s="120"/>
      <c r="F72" s="35"/>
      <c r="G72" s="119"/>
      <c r="H72" s="119"/>
      <c r="I72" s="31"/>
      <c r="J72" s="29"/>
      <c r="K72" s="29"/>
      <c r="L72" s="29"/>
      <c r="M72" s="29"/>
      <c r="N72" s="29"/>
      <c r="O72" s="29"/>
      <c r="P72" s="29"/>
      <c r="Q72" s="29"/>
      <c r="R72" s="29"/>
      <c r="S72" s="29"/>
      <c r="T72" s="57"/>
      <c r="U72" s="91" t="e">
        <f>IF(AND(C72&gt;4,VLOOKUP(B72,'[1]Assessment - Detect'!E:AA,23,FALSE)&lt;&gt;7),LEFT(B72,3),"")</f>
        <v>#N/A</v>
      </c>
      <c r="V72" s="91" t="e">
        <f>VLOOKUP(B72,#REF!,5,FALSE)</f>
        <v>#REF!</v>
      </c>
      <c r="W72" s="91">
        <f>IF(VLOOKUP(B72,'[1]Assessment - Detect'!B:AA,26,FALSE)=7,0,1)</f>
        <v>1</v>
      </c>
      <c r="X72" s="91" t="e">
        <f t="shared" ref="X72:X135" si="7">W72*V72*3</f>
        <v>#REF!</v>
      </c>
      <c r="Y72" s="57"/>
      <c r="Z72" s="57"/>
    </row>
    <row r="73" spans="1:26" s="55" customFormat="1" ht="19" x14ac:dyDescent="0.2">
      <c r="A73" s="27">
        <v>327</v>
      </c>
      <c r="B73" s="28" t="str">
        <f t="shared" si="5"/>
        <v>2.2.08</v>
      </c>
      <c r="C73" s="29">
        <f t="shared" si="6"/>
        <v>5</v>
      </c>
      <c r="D73" s="3"/>
      <c r="E73" s="121"/>
      <c r="F73" s="31"/>
      <c r="G73" s="74" t="e">
        <f>VLOOKUP(E73,'[1]Assessment - Detect'!E:AB,24,FALSE)</f>
        <v>#N/A</v>
      </c>
      <c r="H73" s="74" t="e">
        <f>VLOOKUP(E73,'[1]Assessment - Detect'!E:I,5,FALSE)</f>
        <v>#N/A</v>
      </c>
      <c r="I73" s="31" t="e">
        <f>IF(VLOOKUP(E73,'[1]Assessment - Detect'!$E:$J,6,FALSE)=0,"",VLOOKUP(E73,'[1]Assessment - Detect'!$E:$J,6,FALSE))</f>
        <v>#N/A</v>
      </c>
      <c r="J73" s="29"/>
      <c r="K73" s="29"/>
      <c r="L73" s="29"/>
      <c r="M73" s="29"/>
      <c r="N73" s="29"/>
      <c r="O73" s="29"/>
      <c r="P73" s="29"/>
      <c r="Q73" s="29"/>
      <c r="R73" s="29"/>
      <c r="S73" s="29"/>
      <c r="T73" s="57"/>
      <c r="U73" s="91" t="e">
        <f>IF(AND(C73&gt;4,VLOOKUP(B73,'[1]Assessment - Detect'!E:AA,23,FALSE)&lt;&gt;7),LEFT(B73,3),"")</f>
        <v>#N/A</v>
      </c>
      <c r="V73" s="91" t="e">
        <f>VLOOKUP(B73,#REF!,5,FALSE)</f>
        <v>#REF!</v>
      </c>
      <c r="W73" s="91">
        <f>IF(VLOOKUP(B73,'[1]Assessment - Detect'!B:AA,26,FALSE)=7,0,1)</f>
        <v>1</v>
      </c>
      <c r="X73" s="91" t="e">
        <f t="shared" si="7"/>
        <v>#REF!</v>
      </c>
      <c r="Y73" s="57"/>
      <c r="Z73" s="57"/>
    </row>
    <row r="74" spans="1:26" s="55" customFormat="1" ht="30" customHeight="1" x14ac:dyDescent="0.2">
      <c r="A74" s="27">
        <v>328</v>
      </c>
      <c r="B74" s="28" t="str">
        <f t="shared" si="5"/>
        <v>2.2.09</v>
      </c>
      <c r="C74" s="29">
        <f t="shared" si="6"/>
        <v>4</v>
      </c>
      <c r="D74" s="3"/>
      <c r="E74" s="121"/>
      <c r="F74" s="31"/>
      <c r="G74" s="74"/>
      <c r="H74" s="74"/>
      <c r="I74" s="31"/>
      <c r="J74" s="29"/>
      <c r="K74" s="29"/>
      <c r="L74" s="29"/>
      <c r="M74" s="29"/>
      <c r="N74" s="29"/>
      <c r="O74" s="29"/>
      <c r="P74" s="29"/>
      <c r="Q74" s="29"/>
      <c r="R74" s="29"/>
      <c r="S74" s="29"/>
      <c r="T74" s="57"/>
      <c r="U74" s="91" t="e">
        <f>IF(AND(C74&gt;4,VLOOKUP(B74,'[1]Assessment - Detect'!E:AA,23,FALSE)&lt;&gt;7),LEFT(B74,3),"")</f>
        <v>#N/A</v>
      </c>
      <c r="V74" s="91" t="e">
        <f>VLOOKUP(B74,#REF!,5,FALSE)</f>
        <v>#REF!</v>
      </c>
      <c r="W74" s="91">
        <f>IF(VLOOKUP(B74,'[1]Assessment - Detect'!B:AA,26,FALSE)=7,0,1)</f>
        <v>1</v>
      </c>
      <c r="X74" s="91" t="e">
        <f t="shared" si="7"/>
        <v>#REF!</v>
      </c>
      <c r="Y74" s="57"/>
      <c r="Z74" s="57"/>
    </row>
    <row r="75" spans="1:26" s="55" customFormat="1" ht="19" x14ac:dyDescent="0.2">
      <c r="A75" s="27">
        <v>329</v>
      </c>
      <c r="B75" s="28" t="str">
        <f t="shared" si="5"/>
        <v>2.2.09a</v>
      </c>
      <c r="C75" s="29">
        <f t="shared" si="6"/>
        <v>6</v>
      </c>
      <c r="D75" s="3"/>
      <c r="E75" s="121"/>
      <c r="F75" s="36"/>
      <c r="G75" s="74" t="e">
        <f>VLOOKUP(E75,'[1]Assessment - Detect'!E:AB,24,FALSE)</f>
        <v>#N/A</v>
      </c>
      <c r="H75" s="74" t="e">
        <f>VLOOKUP(E75,'[1]Assessment - Detect'!E:I,5,FALSE)</f>
        <v>#N/A</v>
      </c>
      <c r="I75" s="31" t="e">
        <f>IF(VLOOKUP(E75,'[1]Assessment - Detect'!$E:$J,6,FALSE)=0,"",VLOOKUP(E75,'[1]Assessment - Detect'!$E:$J,6,FALSE))</f>
        <v>#N/A</v>
      </c>
      <c r="J75" s="29"/>
      <c r="K75" s="29"/>
      <c r="L75" s="29"/>
      <c r="M75" s="29"/>
      <c r="N75" s="29"/>
      <c r="O75" s="29"/>
      <c r="P75" s="29"/>
      <c r="Q75" s="29"/>
      <c r="R75" s="29"/>
      <c r="S75" s="29"/>
      <c r="T75" s="57"/>
      <c r="U75" s="91" t="e">
        <f>IF(AND(C75&gt;4,VLOOKUP(B75,'[1]Assessment - Detect'!E:AA,23,FALSE)&lt;&gt;7),LEFT(B75,3),"")</f>
        <v>#N/A</v>
      </c>
      <c r="V75" s="91" t="e">
        <f>VLOOKUP(B75,#REF!,5,FALSE)</f>
        <v>#REF!</v>
      </c>
      <c r="W75" s="91">
        <f>IF(VLOOKUP(B75,'[1]Assessment - Detect'!B:AA,26,FALSE)=7,0,1)</f>
        <v>1</v>
      </c>
      <c r="X75" s="91" t="e">
        <f t="shared" si="7"/>
        <v>#REF!</v>
      </c>
      <c r="Y75" s="57"/>
      <c r="Z75" s="57"/>
    </row>
    <row r="76" spans="1:26" s="55" customFormat="1" ht="30" customHeight="1" x14ac:dyDescent="0.2">
      <c r="A76" s="27">
        <v>330</v>
      </c>
      <c r="B76" s="28" t="str">
        <f t="shared" si="5"/>
        <v>2.2.09b</v>
      </c>
      <c r="C76" s="29">
        <f t="shared" si="6"/>
        <v>6</v>
      </c>
      <c r="D76" s="3"/>
      <c r="E76" s="121"/>
      <c r="F76" s="36"/>
      <c r="G76" s="74" t="e">
        <f>VLOOKUP(E76,'[1]Assessment - Detect'!E:AB,24,FALSE)</f>
        <v>#N/A</v>
      </c>
      <c r="H76" s="74" t="e">
        <f>VLOOKUP(E76,'[1]Assessment - Detect'!E:I,5,FALSE)</f>
        <v>#N/A</v>
      </c>
      <c r="I76" s="31" t="e">
        <f>IF(VLOOKUP(E76,'[1]Assessment - Detect'!$E:$J,6,FALSE)=0,"",VLOOKUP(E76,'[1]Assessment - Detect'!$E:$J,6,FALSE))</f>
        <v>#N/A</v>
      </c>
      <c r="J76" s="29"/>
      <c r="K76" s="29"/>
      <c r="L76" s="29"/>
      <c r="M76" s="29"/>
      <c r="N76" s="29"/>
      <c r="O76" s="29"/>
      <c r="P76" s="29"/>
      <c r="Q76" s="29"/>
      <c r="R76" s="29"/>
      <c r="S76" s="29"/>
      <c r="T76" s="57"/>
      <c r="U76" s="91" t="e">
        <f>IF(AND(C76&gt;4,VLOOKUP(B76,'[1]Assessment - Detect'!E:AA,23,FALSE)&lt;&gt;7),LEFT(B76,3),"")</f>
        <v>#N/A</v>
      </c>
      <c r="V76" s="91" t="e">
        <f>VLOOKUP(B76,#REF!,5,FALSE)</f>
        <v>#REF!</v>
      </c>
      <c r="W76" s="91">
        <f>IF(VLOOKUP(B76,'[1]Assessment - Detect'!B:AA,26,FALSE)=7,0,1)</f>
        <v>1</v>
      </c>
      <c r="X76" s="91" t="e">
        <f t="shared" si="7"/>
        <v>#REF!</v>
      </c>
      <c r="Y76" s="57"/>
      <c r="Z76" s="57"/>
    </row>
    <row r="77" spans="1:26" s="55" customFormat="1" ht="19" x14ac:dyDescent="0.2">
      <c r="A77" s="27">
        <v>331</v>
      </c>
      <c r="B77" s="28" t="str">
        <f t="shared" si="5"/>
        <v>2.2.09c</v>
      </c>
      <c r="C77" s="29">
        <f t="shared" si="6"/>
        <v>6</v>
      </c>
      <c r="D77" s="3"/>
      <c r="E77" s="121"/>
      <c r="F77" s="36"/>
      <c r="G77" s="74" t="e">
        <f>VLOOKUP(E77,'[1]Assessment - Detect'!E:AB,24,FALSE)</f>
        <v>#N/A</v>
      </c>
      <c r="H77" s="74" t="e">
        <f>VLOOKUP(E77,'[1]Assessment - Detect'!E:I,5,FALSE)</f>
        <v>#N/A</v>
      </c>
      <c r="I77" s="31" t="e">
        <f>IF(VLOOKUP(E77,'[1]Assessment - Detect'!$E:$J,6,FALSE)=0,"",VLOOKUP(E77,'[1]Assessment - Detect'!$E:$J,6,FALSE))</f>
        <v>#N/A</v>
      </c>
      <c r="J77" s="29"/>
      <c r="K77" s="29"/>
      <c r="L77" s="29"/>
      <c r="M77" s="29"/>
      <c r="N77" s="29"/>
      <c r="O77" s="29"/>
      <c r="P77" s="29"/>
      <c r="Q77" s="29"/>
      <c r="R77" s="29"/>
      <c r="S77" s="29"/>
      <c r="T77" s="57"/>
      <c r="U77" s="91" t="e">
        <f>IF(AND(C77&gt;4,VLOOKUP(B77,'[1]Assessment - Detect'!E:AA,23,FALSE)&lt;&gt;7),LEFT(B77,3),"")</f>
        <v>#N/A</v>
      </c>
      <c r="V77" s="91" t="e">
        <f>VLOOKUP(B77,#REF!,5,FALSE)</f>
        <v>#REF!</v>
      </c>
      <c r="W77" s="91">
        <f>IF(VLOOKUP(B77,'[1]Assessment - Detect'!B:AA,26,FALSE)=7,0,1)</f>
        <v>1</v>
      </c>
      <c r="X77" s="91" t="e">
        <f t="shared" si="7"/>
        <v>#REF!</v>
      </c>
      <c r="Y77" s="57"/>
      <c r="Z77" s="57"/>
    </row>
    <row r="78" spans="1:26" s="55" customFormat="1" ht="18.75" customHeight="1" x14ac:dyDescent="0.2">
      <c r="A78" s="27">
        <v>332</v>
      </c>
      <c r="B78" s="28" t="str">
        <f t="shared" si="5"/>
        <v/>
      </c>
      <c r="C78" s="29">
        <f t="shared" si="6"/>
        <v>3</v>
      </c>
      <c r="D78" s="3"/>
      <c r="E78" s="120"/>
      <c r="F78" s="35"/>
      <c r="G78" s="119"/>
      <c r="H78" s="119"/>
      <c r="I78" s="31"/>
      <c r="J78" s="29"/>
      <c r="K78" s="29"/>
      <c r="L78" s="29"/>
      <c r="M78" s="29"/>
      <c r="N78" s="29"/>
      <c r="O78" s="29"/>
      <c r="P78" s="29"/>
      <c r="Q78" s="29"/>
      <c r="R78" s="29"/>
      <c r="S78" s="29"/>
      <c r="T78" s="57"/>
      <c r="U78" s="91" t="e">
        <f>IF(AND(C78&gt;4,VLOOKUP(B78,'[1]Assessment - Detect'!E:AA,23,FALSE)&lt;&gt;7),LEFT(B78,3),"")</f>
        <v>#N/A</v>
      </c>
      <c r="V78" s="91" t="e">
        <f>VLOOKUP(B78,#REF!,5,FALSE)</f>
        <v>#REF!</v>
      </c>
      <c r="W78" s="91">
        <f>IF(VLOOKUP(B78,'[1]Assessment - Detect'!B:AA,26,FALSE)=7,0,1)</f>
        <v>1</v>
      </c>
      <c r="X78" s="91" t="e">
        <f t="shared" si="7"/>
        <v>#REF!</v>
      </c>
      <c r="Y78" s="57"/>
      <c r="Z78" s="57"/>
    </row>
    <row r="79" spans="1:26" s="55" customFormat="1" ht="19" x14ac:dyDescent="0.2">
      <c r="A79" s="27">
        <v>333</v>
      </c>
      <c r="B79" s="28" t="str">
        <f t="shared" si="5"/>
        <v>2.2.10</v>
      </c>
      <c r="C79" s="29">
        <f t="shared" si="6"/>
        <v>5</v>
      </c>
      <c r="D79" s="3"/>
      <c r="E79" s="121"/>
      <c r="F79" s="31"/>
      <c r="G79" s="74" t="e">
        <f>VLOOKUP(E79,'[1]Assessment - Detect'!E:AB,24,FALSE)</f>
        <v>#N/A</v>
      </c>
      <c r="H79" s="74" t="e">
        <f>VLOOKUP(E79,'[1]Assessment - Detect'!E:I,5,FALSE)</f>
        <v>#N/A</v>
      </c>
      <c r="I79" s="31" t="e">
        <f>IF(VLOOKUP(E79,'[1]Assessment - Detect'!$E:$J,6,FALSE)=0,"",VLOOKUP(E79,'[1]Assessment - Detect'!$E:$J,6,FALSE))</f>
        <v>#N/A</v>
      </c>
      <c r="J79" s="29"/>
      <c r="K79" s="29"/>
      <c r="L79" s="29"/>
      <c r="M79" s="29"/>
      <c r="N79" s="29"/>
      <c r="O79" s="29"/>
      <c r="P79" s="29"/>
      <c r="Q79" s="29"/>
      <c r="R79" s="29"/>
      <c r="S79" s="29"/>
      <c r="T79" s="57"/>
      <c r="U79" s="91" t="e">
        <f>IF(AND(C79&gt;4,VLOOKUP(B79,'[1]Assessment - Detect'!E:AA,23,FALSE)&lt;&gt;7),LEFT(B79,3),"")</f>
        <v>#N/A</v>
      </c>
      <c r="V79" s="91" t="e">
        <f>VLOOKUP(B79,#REF!,5,FALSE)</f>
        <v>#REF!</v>
      </c>
      <c r="W79" s="91">
        <f>IF(VLOOKUP(B79,'[1]Assessment - Detect'!B:AA,26,FALSE)=7,0,1)</f>
        <v>1</v>
      </c>
      <c r="X79" s="91" t="e">
        <f t="shared" si="7"/>
        <v>#REF!</v>
      </c>
      <c r="Y79" s="57"/>
      <c r="Z79" s="57"/>
    </row>
    <row r="80" spans="1:26" s="55" customFormat="1" ht="30" customHeight="1" x14ac:dyDescent="0.2">
      <c r="A80" s="27">
        <v>334</v>
      </c>
      <c r="B80" s="28" t="str">
        <f t="shared" si="5"/>
        <v>2.2.11</v>
      </c>
      <c r="C80" s="29">
        <f t="shared" si="6"/>
        <v>4</v>
      </c>
      <c r="D80" s="3"/>
      <c r="E80" s="121"/>
      <c r="F80" s="31"/>
      <c r="G80" s="74"/>
      <c r="H80" s="74"/>
      <c r="I80" s="31"/>
      <c r="J80" s="29"/>
      <c r="K80" s="29"/>
      <c r="L80" s="29"/>
      <c r="M80" s="29"/>
      <c r="N80" s="29"/>
      <c r="O80" s="29"/>
      <c r="P80" s="29"/>
      <c r="Q80" s="29"/>
      <c r="R80" s="29"/>
      <c r="S80" s="29"/>
      <c r="T80" s="57"/>
      <c r="U80" s="91" t="e">
        <f>IF(AND(C80&gt;4,VLOOKUP(B80,'[1]Assessment - Detect'!E:AA,23,FALSE)&lt;&gt;7),LEFT(B80,3),"")</f>
        <v>#N/A</v>
      </c>
      <c r="V80" s="91" t="e">
        <f>VLOOKUP(B80,#REF!,5,FALSE)</f>
        <v>#REF!</v>
      </c>
      <c r="W80" s="91">
        <f>IF(VLOOKUP(B80,'[1]Assessment - Detect'!B:AA,26,FALSE)=7,0,1)</f>
        <v>1</v>
      </c>
      <c r="X80" s="91" t="e">
        <f t="shared" si="7"/>
        <v>#REF!</v>
      </c>
      <c r="Y80" s="57"/>
      <c r="Z80" s="57"/>
    </row>
    <row r="81" spans="1:26" s="55" customFormat="1" ht="30" customHeight="1" x14ac:dyDescent="0.2">
      <c r="A81" s="27">
        <v>335</v>
      </c>
      <c r="B81" s="28" t="str">
        <f t="shared" si="5"/>
        <v>2.2.11a</v>
      </c>
      <c r="C81" s="29">
        <f t="shared" si="6"/>
        <v>6</v>
      </c>
      <c r="D81" s="3"/>
      <c r="E81" s="121"/>
      <c r="F81" s="36"/>
      <c r="G81" s="74" t="e">
        <f>VLOOKUP(E81,'[1]Assessment - Detect'!E:AB,24,FALSE)</f>
        <v>#N/A</v>
      </c>
      <c r="H81" s="74" t="e">
        <f>VLOOKUP(E81,'[1]Assessment - Detect'!E:I,5,FALSE)</f>
        <v>#N/A</v>
      </c>
      <c r="I81" s="31" t="e">
        <f>IF(VLOOKUP(E81,'[1]Assessment - Detect'!$E:$J,6,FALSE)=0,"",VLOOKUP(E81,'[1]Assessment - Detect'!$E:$J,6,FALSE))</f>
        <v>#N/A</v>
      </c>
      <c r="J81" s="29"/>
      <c r="K81" s="29"/>
      <c r="L81" s="29"/>
      <c r="M81" s="29"/>
      <c r="N81" s="29"/>
      <c r="O81" s="29"/>
      <c r="P81" s="29"/>
      <c r="Q81" s="29"/>
      <c r="R81" s="29"/>
      <c r="S81" s="29"/>
      <c r="T81" s="57"/>
      <c r="U81" s="91" t="e">
        <f>IF(AND(C81&gt;4,VLOOKUP(B81,'[1]Assessment - Detect'!E:AA,23,FALSE)&lt;&gt;7),LEFT(B81,3),"")</f>
        <v>#N/A</v>
      </c>
      <c r="V81" s="91" t="e">
        <f>VLOOKUP(B81,#REF!,5,FALSE)</f>
        <v>#REF!</v>
      </c>
      <c r="W81" s="91">
        <f>IF(VLOOKUP(B81,'[1]Assessment - Detect'!B:AA,26,FALSE)=7,0,1)</f>
        <v>1</v>
      </c>
      <c r="X81" s="91" t="e">
        <f t="shared" si="7"/>
        <v>#REF!</v>
      </c>
      <c r="Y81" s="57"/>
      <c r="Z81" s="57"/>
    </row>
    <row r="82" spans="1:26" s="55" customFormat="1" ht="19" x14ac:dyDescent="0.2">
      <c r="A82" s="27">
        <v>336</v>
      </c>
      <c r="B82" s="28" t="str">
        <f t="shared" si="5"/>
        <v>2.2.11b</v>
      </c>
      <c r="C82" s="29">
        <f t="shared" si="6"/>
        <v>6</v>
      </c>
      <c r="D82" s="3"/>
      <c r="E82" s="121"/>
      <c r="F82" s="36"/>
      <c r="G82" s="74" t="e">
        <f>VLOOKUP(E82,'[1]Assessment - Detect'!E:AB,24,FALSE)</f>
        <v>#N/A</v>
      </c>
      <c r="H82" s="74" t="e">
        <f>VLOOKUP(E82,'[1]Assessment - Detect'!E:I,5,FALSE)</f>
        <v>#N/A</v>
      </c>
      <c r="I82" s="31" t="e">
        <f>IF(VLOOKUP(E82,'[1]Assessment - Detect'!$E:$J,6,FALSE)=0,"",VLOOKUP(E82,'[1]Assessment - Detect'!$E:$J,6,FALSE))</f>
        <v>#N/A</v>
      </c>
      <c r="J82" s="29"/>
      <c r="K82" s="29"/>
      <c r="L82" s="29"/>
      <c r="M82" s="29"/>
      <c r="N82" s="29"/>
      <c r="O82" s="29"/>
      <c r="P82" s="29"/>
      <c r="Q82" s="29"/>
      <c r="R82" s="29"/>
      <c r="S82" s="29"/>
      <c r="T82" s="57"/>
      <c r="U82" s="91" t="e">
        <f>IF(AND(C82&gt;4,VLOOKUP(B82,'[1]Assessment - Detect'!E:AA,23,FALSE)&lt;&gt;7),LEFT(B82,3),"")</f>
        <v>#N/A</v>
      </c>
      <c r="V82" s="91" t="e">
        <f>VLOOKUP(B82,#REF!,5,FALSE)</f>
        <v>#REF!</v>
      </c>
      <c r="W82" s="91">
        <f>IF(VLOOKUP(B82,'[1]Assessment - Detect'!B:AA,26,FALSE)=7,0,1)</f>
        <v>1</v>
      </c>
      <c r="X82" s="91" t="e">
        <f t="shared" si="7"/>
        <v>#REF!</v>
      </c>
      <c r="Y82" s="57"/>
      <c r="Z82" s="57"/>
    </row>
    <row r="83" spans="1:26" s="55" customFormat="1" ht="19" x14ac:dyDescent="0.2">
      <c r="A83" s="27">
        <v>337</v>
      </c>
      <c r="B83" s="28" t="str">
        <f t="shared" si="5"/>
        <v>2.2.11c</v>
      </c>
      <c r="C83" s="29">
        <f t="shared" si="6"/>
        <v>6</v>
      </c>
      <c r="D83" s="3"/>
      <c r="E83" s="121"/>
      <c r="F83" s="36"/>
      <c r="G83" s="74" t="e">
        <f>VLOOKUP(E83,'[1]Assessment - Detect'!E:AB,24,FALSE)</f>
        <v>#N/A</v>
      </c>
      <c r="H83" s="74" t="e">
        <f>VLOOKUP(E83,'[1]Assessment - Detect'!E:I,5,FALSE)</f>
        <v>#N/A</v>
      </c>
      <c r="I83" s="31" t="e">
        <f>IF(VLOOKUP(E83,'[1]Assessment - Detect'!$E:$J,6,FALSE)=0,"",VLOOKUP(E83,'[1]Assessment - Detect'!$E:$J,6,FALSE))</f>
        <v>#N/A</v>
      </c>
      <c r="J83" s="29"/>
      <c r="K83" s="29"/>
      <c r="L83" s="29"/>
      <c r="M83" s="29"/>
      <c r="N83" s="29"/>
      <c r="O83" s="29"/>
      <c r="P83" s="29"/>
      <c r="Q83" s="29"/>
      <c r="R83" s="29"/>
      <c r="S83" s="29"/>
      <c r="T83" s="57"/>
      <c r="U83" s="91" t="e">
        <f>IF(AND(C83&gt;4,VLOOKUP(B83,'[1]Assessment - Detect'!E:AA,23,FALSE)&lt;&gt;7),LEFT(B83,3),"")</f>
        <v>#N/A</v>
      </c>
      <c r="V83" s="91" t="e">
        <f>VLOOKUP(B83,#REF!,5,FALSE)</f>
        <v>#REF!</v>
      </c>
      <c r="W83" s="91">
        <f>IF(VLOOKUP(B83,'[1]Assessment - Detect'!B:AA,26,FALSE)=7,0,1)</f>
        <v>1</v>
      </c>
      <c r="X83" s="91" t="e">
        <f t="shared" si="7"/>
        <v>#REF!</v>
      </c>
      <c r="Y83" s="57"/>
      <c r="Z83" s="57"/>
    </row>
    <row r="84" spans="1:26" s="55" customFormat="1" ht="19" x14ac:dyDescent="0.2">
      <c r="A84" s="27">
        <v>338</v>
      </c>
      <c r="B84" s="28" t="str">
        <f t="shared" si="5"/>
        <v>2.2.12</v>
      </c>
      <c r="C84" s="29">
        <f t="shared" si="6"/>
        <v>4</v>
      </c>
      <c r="D84" s="3"/>
      <c r="E84" s="121"/>
      <c r="F84" s="31"/>
      <c r="G84" s="74"/>
      <c r="H84" s="74"/>
      <c r="I84" s="31"/>
      <c r="J84" s="29"/>
      <c r="K84" s="29"/>
      <c r="L84" s="29"/>
      <c r="M84" s="29"/>
      <c r="N84" s="29"/>
      <c r="O84" s="29"/>
      <c r="P84" s="29"/>
      <c r="Q84" s="29"/>
      <c r="R84" s="29"/>
      <c r="S84" s="29"/>
      <c r="T84" s="57"/>
      <c r="U84" s="91" t="e">
        <f>IF(AND(C84&gt;4,VLOOKUP(B84,'[1]Assessment - Detect'!E:AA,23,FALSE)&lt;&gt;7),LEFT(B84,3),"")</f>
        <v>#N/A</v>
      </c>
      <c r="V84" s="91" t="e">
        <f>VLOOKUP(B84,#REF!,5,FALSE)</f>
        <v>#REF!</v>
      </c>
      <c r="W84" s="91">
        <f>IF(VLOOKUP(B84,'[1]Assessment - Detect'!B:AA,26,FALSE)=7,0,1)</f>
        <v>1</v>
      </c>
      <c r="X84" s="91" t="e">
        <f t="shared" si="7"/>
        <v>#REF!</v>
      </c>
      <c r="Y84" s="57"/>
      <c r="Z84" s="57"/>
    </row>
    <row r="85" spans="1:26" s="55" customFormat="1" ht="30" customHeight="1" x14ac:dyDescent="0.2">
      <c r="A85" s="27">
        <v>339</v>
      </c>
      <c r="B85" s="28" t="str">
        <f t="shared" si="5"/>
        <v>2.2.12a</v>
      </c>
      <c r="C85" s="29">
        <f t="shared" si="6"/>
        <v>6</v>
      </c>
      <c r="D85" s="3"/>
      <c r="E85" s="121"/>
      <c r="F85" s="36"/>
      <c r="G85" s="74" t="e">
        <f>VLOOKUP(E85,'[1]Assessment - Detect'!E:AB,24,FALSE)</f>
        <v>#N/A</v>
      </c>
      <c r="H85" s="74" t="e">
        <f>VLOOKUP(E85,'[1]Assessment - Detect'!E:I,5,FALSE)</f>
        <v>#N/A</v>
      </c>
      <c r="I85" s="31" t="e">
        <f>IF(VLOOKUP(E85,'[1]Assessment - Detect'!$E:$J,6,FALSE)=0,"",VLOOKUP(E85,'[1]Assessment - Detect'!$E:$J,6,FALSE))</f>
        <v>#N/A</v>
      </c>
      <c r="J85" s="29"/>
      <c r="K85" s="29"/>
      <c r="L85" s="29"/>
      <c r="M85" s="29"/>
      <c r="N85" s="29"/>
      <c r="O85" s="29"/>
      <c r="P85" s="29"/>
      <c r="Q85" s="29"/>
      <c r="R85" s="29"/>
      <c r="S85" s="29"/>
      <c r="T85" s="57"/>
      <c r="U85" s="91" t="e">
        <f>IF(AND(C85&gt;4,VLOOKUP(B85,'[1]Assessment - Detect'!E:AA,23,FALSE)&lt;&gt;7),LEFT(B85,3),"")</f>
        <v>#N/A</v>
      </c>
      <c r="V85" s="91" t="e">
        <f>VLOOKUP(B85,#REF!,5,FALSE)</f>
        <v>#REF!</v>
      </c>
      <c r="W85" s="91">
        <f>IF(VLOOKUP(B85,'[1]Assessment - Detect'!B:AA,26,FALSE)=7,0,1)</f>
        <v>1</v>
      </c>
      <c r="X85" s="91" t="e">
        <f t="shared" si="7"/>
        <v>#REF!</v>
      </c>
      <c r="Y85" s="57"/>
      <c r="Z85" s="57"/>
    </row>
    <row r="86" spans="1:26" s="55" customFormat="1" ht="30" customHeight="1" x14ac:dyDescent="0.2">
      <c r="A86" s="27">
        <v>340</v>
      </c>
      <c r="B86" s="28" t="str">
        <f t="shared" si="5"/>
        <v>2.2.12b</v>
      </c>
      <c r="C86" s="29">
        <f t="shared" si="6"/>
        <v>6</v>
      </c>
      <c r="D86" s="3"/>
      <c r="E86" s="121"/>
      <c r="F86" s="36"/>
      <c r="G86" s="74" t="e">
        <f>VLOOKUP(E86,'[1]Assessment - Detect'!E:AB,24,FALSE)</f>
        <v>#N/A</v>
      </c>
      <c r="H86" s="74" t="e">
        <f>VLOOKUP(E86,'[1]Assessment - Detect'!E:I,5,FALSE)</f>
        <v>#N/A</v>
      </c>
      <c r="I86" s="31" t="e">
        <f>IF(VLOOKUP(E86,'[1]Assessment - Detect'!$E:$J,6,FALSE)=0,"",VLOOKUP(E86,'[1]Assessment - Detect'!$E:$J,6,FALSE))</f>
        <v>#N/A</v>
      </c>
      <c r="J86" s="29"/>
      <c r="K86" s="29"/>
      <c r="L86" s="29"/>
      <c r="M86" s="29"/>
      <c r="N86" s="29"/>
      <c r="O86" s="29"/>
      <c r="P86" s="29"/>
      <c r="Q86" s="29"/>
      <c r="R86" s="29"/>
      <c r="S86" s="29"/>
      <c r="T86" s="57"/>
      <c r="U86" s="91" t="e">
        <f>IF(AND(C86&gt;4,VLOOKUP(B86,'[1]Assessment - Detect'!E:AA,23,FALSE)&lt;&gt;7),LEFT(B86,3),"")</f>
        <v>#N/A</v>
      </c>
      <c r="V86" s="91" t="e">
        <f>VLOOKUP(B86,#REF!,5,FALSE)</f>
        <v>#REF!</v>
      </c>
      <c r="W86" s="91">
        <f>IF(VLOOKUP(B86,'[1]Assessment - Detect'!B:AA,26,FALSE)=7,0,1)</f>
        <v>1</v>
      </c>
      <c r="X86" s="91" t="e">
        <f t="shared" si="7"/>
        <v>#REF!</v>
      </c>
      <c r="Y86" s="57"/>
      <c r="Z86" s="57"/>
    </row>
    <row r="87" spans="1:26" s="55" customFormat="1" ht="19" x14ac:dyDescent="0.2">
      <c r="A87" s="27">
        <v>341</v>
      </c>
      <c r="B87" s="28" t="str">
        <f t="shared" si="5"/>
        <v>2.2.13</v>
      </c>
      <c r="C87" s="29">
        <f t="shared" si="6"/>
        <v>5</v>
      </c>
      <c r="D87" s="3"/>
      <c r="E87" s="121"/>
      <c r="F87" s="31"/>
      <c r="G87" s="74" t="e">
        <f>VLOOKUP(E87,'[1]Assessment - Detect'!E:AB,24,FALSE)</f>
        <v>#N/A</v>
      </c>
      <c r="H87" s="74" t="e">
        <f>VLOOKUP(E87,'[1]Assessment - Detect'!E:I,5,FALSE)</f>
        <v>#N/A</v>
      </c>
      <c r="I87" s="31" t="e">
        <f>IF(VLOOKUP(E87,'[1]Assessment - Detect'!$E:$J,6,FALSE)=0,"",VLOOKUP(E87,'[1]Assessment - Detect'!$E:$J,6,FALSE))</f>
        <v>#N/A</v>
      </c>
      <c r="J87" s="29"/>
      <c r="K87" s="29"/>
      <c r="L87" s="29"/>
      <c r="M87" s="29"/>
      <c r="N87" s="29"/>
      <c r="O87" s="29"/>
      <c r="P87" s="29"/>
      <c r="Q87" s="29"/>
      <c r="R87" s="29"/>
      <c r="S87" s="29"/>
      <c r="T87" s="57"/>
      <c r="U87" s="91" t="e">
        <f>IF(AND(C87&gt;4,VLOOKUP(B87,'[1]Assessment - Detect'!E:AA,23,FALSE)&lt;&gt;7),LEFT(B87,3),"")</f>
        <v>#N/A</v>
      </c>
      <c r="V87" s="91" t="e">
        <f>VLOOKUP(B87,#REF!,5,FALSE)</f>
        <v>#REF!</v>
      </c>
      <c r="W87" s="91">
        <f>IF(VLOOKUP(B87,'[1]Assessment - Detect'!B:AA,26,FALSE)=7,0,1)</f>
        <v>1</v>
      </c>
      <c r="X87" s="91" t="e">
        <f t="shared" si="7"/>
        <v>#REF!</v>
      </c>
      <c r="Y87" s="57"/>
      <c r="Z87" s="57"/>
    </row>
    <row r="88" spans="1:26" s="55" customFormat="1" ht="19" x14ac:dyDescent="0.2">
      <c r="A88" s="27">
        <v>342</v>
      </c>
      <c r="B88" s="28" t="str">
        <f t="shared" si="5"/>
        <v>2.2.14</v>
      </c>
      <c r="C88" s="29">
        <f t="shared" si="6"/>
        <v>5</v>
      </c>
      <c r="D88" s="3"/>
      <c r="E88" s="121"/>
      <c r="F88" s="31"/>
      <c r="G88" s="74" t="e">
        <f>VLOOKUP(E88,'[1]Assessment - Detect'!E:AB,24,FALSE)</f>
        <v>#N/A</v>
      </c>
      <c r="H88" s="74" t="e">
        <f>VLOOKUP(E88,'[1]Assessment - Detect'!E:I,5,FALSE)</f>
        <v>#N/A</v>
      </c>
      <c r="I88" s="31" t="e">
        <f>IF(VLOOKUP(E88,'[1]Assessment - Detect'!$E:$J,6,FALSE)=0,"",VLOOKUP(E88,'[1]Assessment - Detect'!$E:$J,6,FALSE))</f>
        <v>#N/A</v>
      </c>
      <c r="J88" s="29"/>
      <c r="K88" s="29"/>
      <c r="L88" s="29"/>
      <c r="M88" s="29"/>
      <c r="N88" s="29"/>
      <c r="O88" s="29"/>
      <c r="P88" s="29"/>
      <c r="Q88" s="29"/>
      <c r="R88" s="29"/>
      <c r="S88" s="29"/>
      <c r="T88" s="57"/>
      <c r="U88" s="91" t="e">
        <f>IF(AND(C88&gt;4,VLOOKUP(B88,'[1]Assessment - Detect'!E:AA,23,FALSE)&lt;&gt;7),LEFT(B88,3),"")</f>
        <v>#N/A</v>
      </c>
      <c r="V88" s="91" t="e">
        <f>VLOOKUP(B88,#REF!,5,FALSE)</f>
        <v>#REF!</v>
      </c>
      <c r="W88" s="91">
        <f>IF(VLOOKUP(B88,'[1]Assessment - Detect'!B:AA,26,FALSE)=7,0,1)</f>
        <v>1</v>
      </c>
      <c r="X88" s="91" t="e">
        <f t="shared" si="7"/>
        <v>#REF!</v>
      </c>
      <c r="Y88" s="57"/>
      <c r="Z88" s="57"/>
    </row>
    <row r="89" spans="1:26" s="55" customFormat="1" ht="30" customHeight="1" x14ac:dyDescent="0.2">
      <c r="A89" s="27">
        <v>343</v>
      </c>
      <c r="B89" s="28" t="str">
        <f t="shared" si="5"/>
        <v>2.2.15</v>
      </c>
      <c r="C89" s="29">
        <f t="shared" si="6"/>
        <v>4</v>
      </c>
      <c r="D89" s="3"/>
      <c r="E89" s="121"/>
      <c r="F89" s="31"/>
      <c r="G89" s="74"/>
      <c r="H89" s="74"/>
      <c r="I89" s="31"/>
      <c r="J89" s="29"/>
      <c r="K89" s="29"/>
      <c r="L89" s="29"/>
      <c r="M89" s="29"/>
      <c r="N89" s="29"/>
      <c r="O89" s="29"/>
      <c r="P89" s="29"/>
      <c r="Q89" s="29"/>
      <c r="R89" s="29"/>
      <c r="S89" s="29"/>
      <c r="T89" s="57"/>
      <c r="U89" s="91" t="e">
        <f>IF(AND(C89&gt;4,VLOOKUP(B89,'[1]Assessment - Detect'!E:AA,23,FALSE)&lt;&gt;7),LEFT(B89,3),"")</f>
        <v>#N/A</v>
      </c>
      <c r="V89" s="91" t="e">
        <f>VLOOKUP(B89,#REF!,5,FALSE)</f>
        <v>#REF!</v>
      </c>
      <c r="W89" s="91">
        <f>IF(VLOOKUP(B89,'[1]Assessment - Detect'!B:AA,26,FALSE)=7,0,1)</f>
        <v>1</v>
      </c>
      <c r="X89" s="91" t="e">
        <f t="shared" si="7"/>
        <v>#REF!</v>
      </c>
      <c r="Y89" s="57"/>
      <c r="Z89" s="57"/>
    </row>
    <row r="90" spans="1:26" s="55" customFormat="1" ht="30" customHeight="1" x14ac:dyDescent="0.2">
      <c r="A90" s="27">
        <v>344</v>
      </c>
      <c r="B90" s="28" t="str">
        <f t="shared" si="5"/>
        <v>2.2.15a</v>
      </c>
      <c r="C90" s="29">
        <f t="shared" si="6"/>
        <v>6</v>
      </c>
      <c r="D90" s="3"/>
      <c r="E90" s="121"/>
      <c r="F90" s="36"/>
      <c r="G90" s="74" t="e">
        <f>VLOOKUP(E90,'[1]Assessment - Detect'!E:AB,24,FALSE)</f>
        <v>#N/A</v>
      </c>
      <c r="H90" s="74" t="e">
        <f>VLOOKUP(E90,'[1]Assessment - Detect'!E:I,5,FALSE)</f>
        <v>#N/A</v>
      </c>
      <c r="I90" s="31" t="e">
        <f>IF(VLOOKUP(E90,'[1]Assessment - Detect'!$E:$J,6,FALSE)=0,"",VLOOKUP(E90,'[1]Assessment - Detect'!$E:$J,6,FALSE))</f>
        <v>#N/A</v>
      </c>
      <c r="J90" s="29"/>
      <c r="K90" s="29"/>
      <c r="L90" s="29"/>
      <c r="M90" s="29"/>
      <c r="N90" s="29"/>
      <c r="O90" s="29"/>
      <c r="P90" s="29"/>
      <c r="Q90" s="29"/>
      <c r="R90" s="29"/>
      <c r="S90" s="29"/>
      <c r="T90" s="57"/>
      <c r="U90" s="91" t="e">
        <f>IF(AND(C90&gt;4,VLOOKUP(B90,'[1]Assessment - Detect'!E:AA,23,FALSE)&lt;&gt;7),LEFT(B90,3),"")</f>
        <v>#N/A</v>
      </c>
      <c r="V90" s="91" t="e">
        <f>VLOOKUP(B90,#REF!,5,FALSE)</f>
        <v>#REF!</v>
      </c>
      <c r="W90" s="91">
        <f>IF(VLOOKUP(B90,'[1]Assessment - Detect'!B:AA,26,FALSE)=7,0,1)</f>
        <v>1</v>
      </c>
      <c r="X90" s="91" t="e">
        <f t="shared" si="7"/>
        <v>#REF!</v>
      </c>
      <c r="Y90" s="57"/>
      <c r="Z90" s="57"/>
    </row>
    <row r="91" spans="1:26" s="55" customFormat="1" ht="30" customHeight="1" x14ac:dyDescent="0.2">
      <c r="A91" s="27">
        <v>345</v>
      </c>
      <c r="B91" s="28" t="str">
        <f t="shared" si="5"/>
        <v>2.2.15b</v>
      </c>
      <c r="C91" s="29">
        <f t="shared" si="6"/>
        <v>6</v>
      </c>
      <c r="D91" s="3"/>
      <c r="E91" s="121"/>
      <c r="F91" s="36"/>
      <c r="G91" s="74" t="e">
        <f>VLOOKUP(E91,'[1]Assessment - Detect'!E:AB,24,FALSE)</f>
        <v>#N/A</v>
      </c>
      <c r="H91" s="74" t="e">
        <f>VLOOKUP(E91,'[1]Assessment - Detect'!E:I,5,FALSE)</f>
        <v>#N/A</v>
      </c>
      <c r="I91" s="31" t="e">
        <f>IF(VLOOKUP(E91,'[1]Assessment - Detect'!$E:$J,6,FALSE)=0,"",VLOOKUP(E91,'[1]Assessment - Detect'!$E:$J,6,FALSE))</f>
        <v>#N/A</v>
      </c>
      <c r="J91" s="29"/>
      <c r="K91" s="29"/>
      <c r="L91" s="29"/>
      <c r="M91" s="29"/>
      <c r="N91" s="29"/>
      <c r="O91" s="29"/>
      <c r="P91" s="29"/>
      <c r="Q91" s="29"/>
      <c r="R91" s="29"/>
      <c r="S91" s="29"/>
      <c r="T91" s="57"/>
      <c r="U91" s="91" t="e">
        <f>IF(AND(C91&gt;4,VLOOKUP(B91,'[1]Assessment - Detect'!E:AA,23,FALSE)&lt;&gt;7),LEFT(B91,3),"")</f>
        <v>#N/A</v>
      </c>
      <c r="V91" s="91" t="e">
        <f>VLOOKUP(B91,#REF!,5,FALSE)</f>
        <v>#REF!</v>
      </c>
      <c r="W91" s="91">
        <f>IF(VLOOKUP(B91,'[1]Assessment - Detect'!B:AA,26,FALSE)=7,0,1)</f>
        <v>1</v>
      </c>
      <c r="X91" s="91" t="e">
        <f t="shared" si="7"/>
        <v>#REF!</v>
      </c>
      <c r="Y91" s="57"/>
      <c r="Z91" s="57"/>
    </row>
    <row r="92" spans="1:26" s="55" customFormat="1" ht="19" x14ac:dyDescent="0.2">
      <c r="A92" s="27">
        <v>346</v>
      </c>
      <c r="B92" s="28" t="str">
        <f t="shared" si="5"/>
        <v>2.2.15c</v>
      </c>
      <c r="C92" s="29">
        <f t="shared" si="6"/>
        <v>6</v>
      </c>
      <c r="D92" s="3"/>
      <c r="E92" s="121"/>
      <c r="F92" s="36"/>
      <c r="G92" s="74" t="e">
        <f>VLOOKUP(E92,'[1]Assessment - Detect'!E:AB,24,FALSE)</f>
        <v>#N/A</v>
      </c>
      <c r="H92" s="74" t="e">
        <f>VLOOKUP(E92,'[1]Assessment - Detect'!E:I,5,FALSE)</f>
        <v>#N/A</v>
      </c>
      <c r="I92" s="31" t="e">
        <f>IF(VLOOKUP(E92,'[1]Assessment - Detect'!$E:$J,6,FALSE)=0,"",VLOOKUP(E92,'[1]Assessment - Detect'!$E:$J,6,FALSE))</f>
        <v>#N/A</v>
      </c>
      <c r="J92" s="29"/>
      <c r="K92" s="29"/>
      <c r="L92" s="29"/>
      <c r="M92" s="29"/>
      <c r="N92" s="29"/>
      <c r="O92" s="29"/>
      <c r="P92" s="29"/>
      <c r="Q92" s="29"/>
      <c r="R92" s="29"/>
      <c r="S92" s="29"/>
      <c r="T92" s="57"/>
      <c r="U92" s="91" t="e">
        <f>IF(AND(C92&gt;4,VLOOKUP(B92,'[1]Assessment - Detect'!E:AA,23,FALSE)&lt;&gt;7),LEFT(B92,3),"")</f>
        <v>#N/A</v>
      </c>
      <c r="V92" s="91" t="e">
        <f>VLOOKUP(B92,#REF!,5,FALSE)</f>
        <v>#REF!</v>
      </c>
      <c r="W92" s="91">
        <f>IF(VLOOKUP(B92,'[1]Assessment - Detect'!B:AA,26,FALSE)=7,0,1)</f>
        <v>1</v>
      </c>
      <c r="X92" s="91" t="e">
        <f t="shared" si="7"/>
        <v>#REF!</v>
      </c>
      <c r="Y92" s="57"/>
      <c r="Z92" s="57"/>
    </row>
    <row r="93" spans="1:26" s="55" customFormat="1" ht="18.75" customHeight="1" x14ac:dyDescent="0.2">
      <c r="A93" s="27">
        <v>347</v>
      </c>
      <c r="B93" s="28" t="str">
        <f t="shared" si="5"/>
        <v/>
      </c>
      <c r="C93" s="29">
        <f t="shared" si="6"/>
        <v>3</v>
      </c>
      <c r="D93" s="3"/>
      <c r="E93" s="120"/>
      <c r="F93" s="35"/>
      <c r="G93" s="119"/>
      <c r="H93" s="119"/>
      <c r="I93" s="31"/>
      <c r="J93" s="29"/>
      <c r="K93" s="29"/>
      <c r="L93" s="29"/>
      <c r="M93" s="29"/>
      <c r="N93" s="29"/>
      <c r="O93" s="29"/>
      <c r="P93" s="29"/>
      <c r="Q93" s="29"/>
      <c r="R93" s="29"/>
      <c r="S93" s="29"/>
      <c r="T93" s="57"/>
      <c r="U93" s="91" t="e">
        <f>IF(AND(C93&gt;4,VLOOKUP(B93,'[1]Assessment - Detect'!E:AA,23,FALSE)&lt;&gt;7),LEFT(B93,3),"")</f>
        <v>#N/A</v>
      </c>
      <c r="V93" s="91" t="e">
        <f>VLOOKUP(B93,#REF!,5,FALSE)</f>
        <v>#REF!</v>
      </c>
      <c r="W93" s="91">
        <f>IF(VLOOKUP(B93,'[1]Assessment - Detect'!B:AA,26,FALSE)=7,0,1)</f>
        <v>1</v>
      </c>
      <c r="X93" s="91" t="e">
        <f t="shared" si="7"/>
        <v>#REF!</v>
      </c>
      <c r="Y93" s="57"/>
      <c r="Z93" s="57"/>
    </row>
    <row r="94" spans="1:26" s="55" customFormat="1" ht="19" x14ac:dyDescent="0.2">
      <c r="A94" s="27">
        <v>348</v>
      </c>
      <c r="B94" s="28" t="str">
        <f t="shared" si="5"/>
        <v>2.2.16</v>
      </c>
      <c r="C94" s="29">
        <f t="shared" si="6"/>
        <v>5</v>
      </c>
      <c r="D94" s="3"/>
      <c r="E94" s="121"/>
      <c r="F94" s="31"/>
      <c r="G94" s="74" t="e">
        <f>VLOOKUP(E94,'[1]Assessment - Detect'!E:AB,24,FALSE)</f>
        <v>#N/A</v>
      </c>
      <c r="H94" s="74" t="e">
        <f>VLOOKUP(E94,'[1]Assessment - Detect'!E:I,5,FALSE)</f>
        <v>#N/A</v>
      </c>
      <c r="I94" s="31" t="e">
        <f>IF(VLOOKUP(E94,'[1]Assessment - Detect'!$E:$J,6,FALSE)=0,"",VLOOKUP(E94,'[1]Assessment - Detect'!$E:$J,6,FALSE))</f>
        <v>#N/A</v>
      </c>
      <c r="J94" s="29"/>
      <c r="K94" s="29"/>
      <c r="L94" s="29"/>
      <c r="M94" s="29"/>
      <c r="N94" s="29"/>
      <c r="O94" s="29"/>
      <c r="P94" s="29"/>
      <c r="Q94" s="29"/>
      <c r="R94" s="29"/>
      <c r="S94" s="29"/>
      <c r="T94" s="57"/>
      <c r="U94" s="91" t="e">
        <f>IF(AND(C94&gt;4,VLOOKUP(B94,'[1]Assessment - Detect'!E:AA,23,FALSE)&lt;&gt;7),LEFT(B94,3),"")</f>
        <v>#N/A</v>
      </c>
      <c r="V94" s="91" t="e">
        <f>VLOOKUP(B94,#REF!,5,FALSE)</f>
        <v>#REF!</v>
      </c>
      <c r="W94" s="91">
        <f>IF(VLOOKUP(B94,'[1]Assessment - Detect'!B:AA,26,FALSE)=7,0,1)</f>
        <v>1</v>
      </c>
      <c r="X94" s="91" t="e">
        <f t="shared" si="7"/>
        <v>#REF!</v>
      </c>
      <c r="Y94" s="57"/>
      <c r="Z94" s="57"/>
    </row>
    <row r="95" spans="1:26" s="55" customFormat="1" ht="30" customHeight="1" x14ac:dyDescent="0.2">
      <c r="A95" s="27">
        <v>349</v>
      </c>
      <c r="B95" s="28" t="str">
        <f t="shared" si="5"/>
        <v>2.2.17</v>
      </c>
      <c r="C95" s="29">
        <f t="shared" si="6"/>
        <v>4</v>
      </c>
      <c r="D95" s="3"/>
      <c r="E95" s="121"/>
      <c r="F95" s="31"/>
      <c r="G95" s="74"/>
      <c r="H95" s="74"/>
      <c r="I95" s="31"/>
      <c r="J95" s="29"/>
      <c r="K95" s="29"/>
      <c r="L95" s="29"/>
      <c r="M95" s="29"/>
      <c r="N95" s="29"/>
      <c r="O95" s="29"/>
      <c r="P95" s="29"/>
      <c r="Q95" s="29"/>
      <c r="R95" s="29"/>
      <c r="S95" s="29"/>
      <c r="T95" s="57"/>
      <c r="U95" s="91" t="e">
        <f>IF(AND(C95&gt;4,VLOOKUP(B95,'[1]Assessment - Detect'!E:AA,23,FALSE)&lt;&gt;7),LEFT(B95,3),"")</f>
        <v>#N/A</v>
      </c>
      <c r="V95" s="91" t="e">
        <f>VLOOKUP(B95,#REF!,5,FALSE)</f>
        <v>#REF!</v>
      </c>
      <c r="W95" s="91">
        <f>IF(VLOOKUP(B95,'[1]Assessment - Detect'!B:AA,26,FALSE)=7,0,1)</f>
        <v>1</v>
      </c>
      <c r="X95" s="91" t="e">
        <f t="shared" si="7"/>
        <v>#REF!</v>
      </c>
      <c r="Y95" s="57"/>
      <c r="Z95" s="57"/>
    </row>
    <row r="96" spans="1:26" s="55" customFormat="1" ht="19" x14ac:dyDescent="0.2">
      <c r="A96" s="27">
        <v>350</v>
      </c>
      <c r="B96" s="28" t="str">
        <f t="shared" si="5"/>
        <v>2.2.17a</v>
      </c>
      <c r="C96" s="29">
        <f t="shared" si="6"/>
        <v>6</v>
      </c>
      <c r="D96" s="3"/>
      <c r="E96" s="121"/>
      <c r="F96" s="36"/>
      <c r="G96" s="74" t="e">
        <f>VLOOKUP(E96,'[1]Assessment - Detect'!E:AB,24,FALSE)</f>
        <v>#N/A</v>
      </c>
      <c r="H96" s="74" t="e">
        <f>VLOOKUP(E96,'[1]Assessment - Detect'!E:I,5,FALSE)</f>
        <v>#N/A</v>
      </c>
      <c r="I96" s="31" t="e">
        <f>IF(VLOOKUP(E96,'[1]Assessment - Detect'!$E:$J,6,FALSE)=0,"",VLOOKUP(E96,'[1]Assessment - Detect'!$E:$J,6,FALSE))</f>
        <v>#N/A</v>
      </c>
      <c r="J96" s="29"/>
      <c r="K96" s="29"/>
      <c r="L96" s="29"/>
      <c r="M96" s="29"/>
      <c r="N96" s="29"/>
      <c r="O96" s="29"/>
      <c r="P96" s="29"/>
      <c r="Q96" s="29"/>
      <c r="R96" s="29"/>
      <c r="S96" s="29"/>
      <c r="T96" s="57"/>
      <c r="U96" s="91" t="e">
        <f>IF(AND(C96&gt;4,VLOOKUP(B96,'[1]Assessment - Detect'!E:AA,23,FALSE)&lt;&gt;7),LEFT(B96,3),"")</f>
        <v>#N/A</v>
      </c>
      <c r="V96" s="91" t="e">
        <f>VLOOKUP(B96,#REF!,5,FALSE)</f>
        <v>#REF!</v>
      </c>
      <c r="W96" s="91">
        <f>IF(VLOOKUP(B96,'[1]Assessment - Detect'!B:AA,26,FALSE)=7,0,1)</f>
        <v>1</v>
      </c>
      <c r="X96" s="91" t="e">
        <f t="shared" si="7"/>
        <v>#REF!</v>
      </c>
      <c r="Y96" s="57"/>
      <c r="Z96" s="57"/>
    </row>
    <row r="97" spans="1:26" s="55" customFormat="1" ht="19" x14ac:dyDescent="0.2">
      <c r="A97" s="27">
        <v>351</v>
      </c>
      <c r="B97" s="28" t="str">
        <f t="shared" si="5"/>
        <v>2.2.17b</v>
      </c>
      <c r="C97" s="29">
        <f t="shared" si="6"/>
        <v>6</v>
      </c>
      <c r="D97" s="3"/>
      <c r="E97" s="121"/>
      <c r="F97" s="36"/>
      <c r="G97" s="74" t="e">
        <f>VLOOKUP(E97,'[1]Assessment - Detect'!E:AB,24,FALSE)</f>
        <v>#N/A</v>
      </c>
      <c r="H97" s="74" t="e">
        <f>VLOOKUP(E97,'[1]Assessment - Detect'!E:I,5,FALSE)</f>
        <v>#N/A</v>
      </c>
      <c r="I97" s="31" t="e">
        <f>IF(VLOOKUP(E97,'[1]Assessment - Detect'!$E:$J,6,FALSE)=0,"",VLOOKUP(E97,'[1]Assessment - Detect'!$E:$J,6,FALSE))</f>
        <v>#N/A</v>
      </c>
      <c r="J97" s="29"/>
      <c r="K97" s="29"/>
      <c r="L97" s="29"/>
      <c r="M97" s="29"/>
      <c r="N97" s="29"/>
      <c r="O97" s="29"/>
      <c r="P97" s="29"/>
      <c r="Q97" s="29"/>
      <c r="R97" s="29"/>
      <c r="S97" s="29"/>
      <c r="T97" s="57"/>
      <c r="U97" s="91" t="e">
        <f>IF(AND(C97&gt;4,VLOOKUP(B97,'[1]Assessment - Detect'!E:AA,23,FALSE)&lt;&gt;7),LEFT(B97,3),"")</f>
        <v>#N/A</v>
      </c>
      <c r="V97" s="91" t="e">
        <f>VLOOKUP(B97,#REF!,5,FALSE)</f>
        <v>#REF!</v>
      </c>
      <c r="W97" s="91">
        <f>IF(VLOOKUP(B97,'[1]Assessment - Detect'!B:AA,26,FALSE)=7,0,1)</f>
        <v>1</v>
      </c>
      <c r="X97" s="91" t="e">
        <f t="shared" si="7"/>
        <v>#REF!</v>
      </c>
      <c r="Y97" s="57"/>
      <c r="Z97" s="57"/>
    </row>
    <row r="98" spans="1:26" s="55" customFormat="1" ht="30" customHeight="1" x14ac:dyDescent="0.2">
      <c r="A98" s="27">
        <v>352</v>
      </c>
      <c r="B98" s="28" t="str">
        <f t="shared" si="5"/>
        <v>2.2.18</v>
      </c>
      <c r="C98" s="29">
        <f t="shared" si="6"/>
        <v>4</v>
      </c>
      <c r="D98" s="3"/>
      <c r="E98" s="121"/>
      <c r="F98" s="31"/>
      <c r="G98" s="74"/>
      <c r="H98" s="74"/>
      <c r="I98" s="31"/>
      <c r="J98" s="29"/>
      <c r="K98" s="29"/>
      <c r="L98" s="29"/>
      <c r="M98" s="29"/>
      <c r="N98" s="29"/>
      <c r="O98" s="29"/>
      <c r="P98" s="29"/>
      <c r="Q98" s="29"/>
      <c r="R98" s="29"/>
      <c r="S98" s="29"/>
      <c r="T98" s="57"/>
      <c r="U98" s="91" t="e">
        <f>IF(AND(C98&gt;4,VLOOKUP(B98,'[1]Assessment - Detect'!E:AA,23,FALSE)&lt;&gt;7),LEFT(B98,3),"")</f>
        <v>#N/A</v>
      </c>
      <c r="V98" s="91" t="e">
        <f>VLOOKUP(B98,#REF!,5,FALSE)</f>
        <v>#REF!</v>
      </c>
      <c r="W98" s="91">
        <f>IF(VLOOKUP(B98,'[1]Assessment - Detect'!B:AA,26,FALSE)=7,0,1)</f>
        <v>1</v>
      </c>
      <c r="X98" s="91" t="e">
        <f t="shared" si="7"/>
        <v>#REF!</v>
      </c>
      <c r="Y98" s="57"/>
      <c r="Z98" s="57"/>
    </row>
    <row r="99" spans="1:26" s="55" customFormat="1" ht="19" x14ac:dyDescent="0.2">
      <c r="A99" s="27">
        <v>353</v>
      </c>
      <c r="B99" s="28" t="str">
        <f t="shared" si="5"/>
        <v>2.2.18a</v>
      </c>
      <c r="C99" s="29">
        <f t="shared" si="6"/>
        <v>6</v>
      </c>
      <c r="D99" s="3"/>
      <c r="E99" s="121"/>
      <c r="F99" s="36"/>
      <c r="G99" s="74" t="e">
        <f>VLOOKUP(E99,'[1]Assessment - Detect'!E:AB,24,FALSE)</f>
        <v>#N/A</v>
      </c>
      <c r="H99" s="74" t="e">
        <f>VLOOKUP(E99,'[1]Assessment - Detect'!E:I,5,FALSE)</f>
        <v>#N/A</v>
      </c>
      <c r="I99" s="31" t="e">
        <f>IF(VLOOKUP(E99,'[1]Assessment - Detect'!$E:$J,6,FALSE)=0,"",VLOOKUP(E99,'[1]Assessment - Detect'!$E:$J,6,FALSE))</f>
        <v>#N/A</v>
      </c>
      <c r="J99" s="29"/>
      <c r="K99" s="29"/>
      <c r="L99" s="29"/>
      <c r="M99" s="29"/>
      <c r="N99" s="29"/>
      <c r="O99" s="29"/>
      <c r="P99" s="29"/>
      <c r="Q99" s="29"/>
      <c r="R99" s="29"/>
      <c r="S99" s="29"/>
      <c r="T99" s="57"/>
      <c r="U99" s="91" t="e">
        <f>IF(AND(C99&gt;4,VLOOKUP(B99,'[1]Assessment - Detect'!E:AA,23,FALSE)&lt;&gt;7),LEFT(B99,3),"")</f>
        <v>#N/A</v>
      </c>
      <c r="V99" s="91" t="e">
        <f>VLOOKUP(B99,#REF!,5,FALSE)</f>
        <v>#REF!</v>
      </c>
      <c r="W99" s="91">
        <f>IF(VLOOKUP(B99,'[1]Assessment - Detect'!B:AA,26,FALSE)=7,0,1)</f>
        <v>1</v>
      </c>
      <c r="X99" s="91" t="e">
        <f t="shared" si="7"/>
        <v>#REF!</v>
      </c>
      <c r="Y99" s="57"/>
      <c r="Z99" s="57"/>
    </row>
    <row r="100" spans="1:26" s="55" customFormat="1" ht="19" x14ac:dyDescent="0.2">
      <c r="A100" s="27">
        <v>354</v>
      </c>
      <c r="B100" s="28" t="str">
        <f t="shared" si="5"/>
        <v>2.2.18b</v>
      </c>
      <c r="C100" s="29">
        <f t="shared" si="6"/>
        <v>6</v>
      </c>
      <c r="D100" s="3"/>
      <c r="E100" s="121"/>
      <c r="F100" s="36"/>
      <c r="G100" s="74" t="e">
        <f>VLOOKUP(E100,'[1]Assessment - Detect'!E:AB,24,FALSE)</f>
        <v>#N/A</v>
      </c>
      <c r="H100" s="74" t="e">
        <f>VLOOKUP(E100,'[1]Assessment - Detect'!E:I,5,FALSE)</f>
        <v>#N/A</v>
      </c>
      <c r="I100" s="31" t="e">
        <f>IF(VLOOKUP(E100,'[1]Assessment - Detect'!$E:$J,6,FALSE)=0,"",VLOOKUP(E100,'[1]Assessment - Detect'!$E:$J,6,FALSE))</f>
        <v>#N/A</v>
      </c>
      <c r="J100" s="29"/>
      <c r="K100" s="29"/>
      <c r="L100" s="29"/>
      <c r="M100" s="29"/>
      <c r="N100" s="29"/>
      <c r="O100" s="29"/>
      <c r="P100" s="29"/>
      <c r="Q100" s="29"/>
      <c r="R100" s="29"/>
      <c r="S100" s="29"/>
      <c r="T100" s="57"/>
      <c r="U100" s="91" t="e">
        <f>IF(AND(C100&gt;4,VLOOKUP(B100,'[1]Assessment - Detect'!E:AA,23,FALSE)&lt;&gt;7),LEFT(B100,3),"")</f>
        <v>#N/A</v>
      </c>
      <c r="V100" s="91" t="e">
        <f>VLOOKUP(B100,#REF!,5,FALSE)</f>
        <v>#REF!</v>
      </c>
      <c r="W100" s="91">
        <f>IF(VLOOKUP(B100,'[1]Assessment - Detect'!B:AA,26,FALSE)=7,0,1)</f>
        <v>1</v>
      </c>
      <c r="X100" s="91" t="e">
        <f t="shared" si="7"/>
        <v>#REF!</v>
      </c>
      <c r="Y100" s="57"/>
      <c r="Z100" s="57"/>
    </row>
    <row r="101" spans="1:26" s="55" customFormat="1" ht="19" x14ac:dyDescent="0.2">
      <c r="A101" s="27">
        <v>355</v>
      </c>
      <c r="B101" s="28" t="str">
        <f t="shared" si="5"/>
        <v>2.2.18c</v>
      </c>
      <c r="C101" s="29">
        <f t="shared" si="6"/>
        <v>6</v>
      </c>
      <c r="D101" s="3"/>
      <c r="E101" s="121"/>
      <c r="F101" s="36"/>
      <c r="G101" s="74" t="e">
        <f>VLOOKUP(E101,'[1]Assessment - Detect'!E:AB,24,FALSE)</f>
        <v>#N/A</v>
      </c>
      <c r="H101" s="74" t="e">
        <f>VLOOKUP(E101,'[1]Assessment - Detect'!E:I,5,FALSE)</f>
        <v>#N/A</v>
      </c>
      <c r="I101" s="31" t="e">
        <f>IF(VLOOKUP(E101,'[1]Assessment - Detect'!$E:$J,6,FALSE)=0,"",VLOOKUP(E101,'[1]Assessment - Detect'!$E:$J,6,FALSE))</f>
        <v>#N/A</v>
      </c>
      <c r="J101" s="29"/>
      <c r="K101" s="29"/>
      <c r="L101" s="29"/>
      <c r="M101" s="29"/>
      <c r="N101" s="29"/>
      <c r="O101" s="29"/>
      <c r="P101" s="29"/>
      <c r="Q101" s="29"/>
      <c r="R101" s="29"/>
      <c r="S101" s="29"/>
      <c r="T101" s="57"/>
      <c r="U101" s="91" t="e">
        <f>IF(AND(C101&gt;4,VLOOKUP(B101,'[1]Assessment - Detect'!E:AA,23,FALSE)&lt;&gt;7),LEFT(B101,3),"")</f>
        <v>#N/A</v>
      </c>
      <c r="V101" s="91" t="e">
        <f>VLOOKUP(B101,#REF!,5,FALSE)</f>
        <v>#REF!</v>
      </c>
      <c r="W101" s="91">
        <f>IF(VLOOKUP(B101,'[1]Assessment - Detect'!B:AA,26,FALSE)=7,0,1)</f>
        <v>1</v>
      </c>
      <c r="X101" s="91" t="e">
        <f t="shared" si="7"/>
        <v>#REF!</v>
      </c>
      <c r="Y101" s="57"/>
      <c r="Z101" s="57"/>
    </row>
    <row r="102" spans="1:26" s="55" customFormat="1" ht="30" customHeight="1" x14ac:dyDescent="0.2">
      <c r="A102" s="27">
        <v>356</v>
      </c>
      <c r="B102" s="28" t="str">
        <f t="shared" si="5"/>
        <v>2.2.18d</v>
      </c>
      <c r="C102" s="29">
        <f t="shared" si="6"/>
        <v>6</v>
      </c>
      <c r="D102" s="3"/>
      <c r="E102" s="121"/>
      <c r="F102" s="36"/>
      <c r="G102" s="74" t="e">
        <f>VLOOKUP(E102,'[1]Assessment - Detect'!E:AB,24,FALSE)</f>
        <v>#N/A</v>
      </c>
      <c r="H102" s="74" t="e">
        <f>VLOOKUP(E102,'[1]Assessment - Detect'!E:I,5,FALSE)</f>
        <v>#N/A</v>
      </c>
      <c r="I102" s="31" t="e">
        <f>IF(VLOOKUP(E102,'[1]Assessment - Detect'!$E:$J,6,FALSE)=0,"",VLOOKUP(E102,'[1]Assessment - Detect'!$E:$J,6,FALSE))</f>
        <v>#N/A</v>
      </c>
      <c r="J102" s="29"/>
      <c r="K102" s="29"/>
      <c r="L102" s="29"/>
      <c r="M102" s="29"/>
      <c r="N102" s="29"/>
      <c r="O102" s="29"/>
      <c r="P102" s="29"/>
      <c r="Q102" s="29"/>
      <c r="R102" s="29"/>
      <c r="S102" s="29"/>
      <c r="T102" s="57"/>
      <c r="U102" s="91" t="e">
        <f>IF(AND(C102&gt;4,VLOOKUP(B102,'[1]Assessment - Detect'!E:AA,23,FALSE)&lt;&gt;7),LEFT(B102,3),"")</f>
        <v>#N/A</v>
      </c>
      <c r="V102" s="91" t="e">
        <f>VLOOKUP(B102,#REF!,5,FALSE)</f>
        <v>#REF!</v>
      </c>
      <c r="W102" s="91">
        <f>IF(VLOOKUP(B102,'[1]Assessment - Detect'!B:AA,26,FALSE)=7,0,1)</f>
        <v>1</v>
      </c>
      <c r="X102" s="91" t="e">
        <f t="shared" si="7"/>
        <v>#REF!</v>
      </c>
      <c r="Y102" s="57"/>
      <c r="Z102" s="57"/>
    </row>
    <row r="103" spans="1:26" s="55" customFormat="1" ht="30" customHeight="1" x14ac:dyDescent="0.2">
      <c r="A103" s="27">
        <v>357</v>
      </c>
      <c r="B103" s="28" t="str">
        <f t="shared" si="5"/>
        <v>2.2.19</v>
      </c>
      <c r="C103" s="29">
        <f t="shared" si="6"/>
        <v>4</v>
      </c>
      <c r="D103" s="3"/>
      <c r="E103" s="121"/>
      <c r="F103" s="31"/>
      <c r="G103" s="74"/>
      <c r="H103" s="74"/>
      <c r="I103" s="31"/>
      <c r="J103" s="29"/>
      <c r="K103" s="29"/>
      <c r="L103" s="29"/>
      <c r="M103" s="29"/>
      <c r="N103" s="29"/>
      <c r="O103" s="29"/>
      <c r="P103" s="29"/>
      <c r="Q103" s="29"/>
      <c r="R103" s="29"/>
      <c r="S103" s="29"/>
      <c r="T103" s="57"/>
      <c r="U103" s="91" t="e">
        <f>IF(AND(C103&gt;4,VLOOKUP(B103,'[1]Assessment - Detect'!E:AA,23,FALSE)&lt;&gt;7),LEFT(B103,3),"")</f>
        <v>#N/A</v>
      </c>
      <c r="V103" s="91" t="e">
        <f>VLOOKUP(B103,#REF!,5,FALSE)</f>
        <v>#REF!</v>
      </c>
      <c r="W103" s="91">
        <f>IF(VLOOKUP(B103,'[1]Assessment - Detect'!B:AA,26,FALSE)=7,0,1)</f>
        <v>1</v>
      </c>
      <c r="X103" s="91" t="e">
        <f t="shared" si="7"/>
        <v>#REF!</v>
      </c>
      <c r="Y103" s="57"/>
      <c r="Z103" s="57"/>
    </row>
    <row r="104" spans="1:26" s="55" customFormat="1" ht="30" customHeight="1" x14ac:dyDescent="0.2">
      <c r="A104" s="27">
        <v>358</v>
      </c>
      <c r="B104" s="28" t="str">
        <f t="shared" si="5"/>
        <v>2.2.19a</v>
      </c>
      <c r="C104" s="29">
        <f t="shared" si="6"/>
        <v>6</v>
      </c>
      <c r="D104" s="3"/>
      <c r="E104" s="121"/>
      <c r="F104" s="36"/>
      <c r="G104" s="74" t="e">
        <f>VLOOKUP(E104,'[1]Assessment - Detect'!E:AB,24,FALSE)</f>
        <v>#N/A</v>
      </c>
      <c r="H104" s="74" t="e">
        <f>VLOOKUP(E104,'[1]Assessment - Detect'!E:I,5,FALSE)</f>
        <v>#N/A</v>
      </c>
      <c r="I104" s="31" t="e">
        <f>IF(VLOOKUP(E104,'[1]Assessment - Detect'!$E:$J,6,FALSE)=0,"",VLOOKUP(E104,'[1]Assessment - Detect'!$E:$J,6,FALSE))</f>
        <v>#N/A</v>
      </c>
      <c r="J104" s="29"/>
      <c r="K104" s="29"/>
      <c r="L104" s="29"/>
      <c r="M104" s="29"/>
      <c r="N104" s="29"/>
      <c r="O104" s="29"/>
      <c r="P104" s="29"/>
      <c r="Q104" s="29"/>
      <c r="R104" s="29"/>
      <c r="S104" s="29"/>
      <c r="T104" s="57"/>
      <c r="U104" s="91" t="e">
        <f>IF(AND(C104&gt;4,VLOOKUP(B104,'[1]Assessment - Detect'!E:AA,23,FALSE)&lt;&gt;7),LEFT(B104,3),"")</f>
        <v>#N/A</v>
      </c>
      <c r="V104" s="91" t="e">
        <f>VLOOKUP(B104,#REF!,5,FALSE)</f>
        <v>#REF!</v>
      </c>
      <c r="W104" s="91">
        <f>IF(VLOOKUP(B104,'[1]Assessment - Detect'!B:AA,26,FALSE)=7,0,1)</f>
        <v>1</v>
      </c>
      <c r="X104" s="91" t="e">
        <f t="shared" si="7"/>
        <v>#REF!</v>
      </c>
      <c r="Y104" s="57"/>
      <c r="Z104" s="57"/>
    </row>
    <row r="105" spans="1:26" s="55" customFormat="1" ht="30" customHeight="1" x14ac:dyDescent="0.2">
      <c r="A105" s="27">
        <v>359</v>
      </c>
      <c r="B105" s="28" t="str">
        <f t="shared" si="5"/>
        <v>2.2.19b</v>
      </c>
      <c r="C105" s="29">
        <f t="shared" si="6"/>
        <v>6</v>
      </c>
      <c r="D105" s="3"/>
      <c r="E105" s="121"/>
      <c r="F105" s="36"/>
      <c r="G105" s="74" t="e">
        <f>VLOOKUP(E105,'[1]Assessment - Detect'!E:AB,24,FALSE)</f>
        <v>#N/A</v>
      </c>
      <c r="H105" s="74" t="e">
        <f>VLOOKUP(E105,'[1]Assessment - Detect'!E:I,5,FALSE)</f>
        <v>#N/A</v>
      </c>
      <c r="I105" s="31" t="e">
        <f>IF(VLOOKUP(E105,'[1]Assessment - Detect'!$E:$J,6,FALSE)=0,"",VLOOKUP(E105,'[1]Assessment - Detect'!$E:$J,6,FALSE))</f>
        <v>#N/A</v>
      </c>
      <c r="J105" s="29"/>
      <c r="K105" s="29"/>
      <c r="L105" s="29"/>
      <c r="M105" s="29"/>
      <c r="N105" s="29"/>
      <c r="O105" s="29"/>
      <c r="P105" s="29"/>
      <c r="Q105" s="29"/>
      <c r="R105" s="29"/>
      <c r="S105" s="29"/>
      <c r="T105" s="57"/>
      <c r="U105" s="91" t="e">
        <f>IF(AND(C105&gt;4,VLOOKUP(B105,'[1]Assessment - Detect'!E:AA,23,FALSE)&lt;&gt;7),LEFT(B105,3),"")</f>
        <v>#N/A</v>
      </c>
      <c r="V105" s="91" t="e">
        <f>VLOOKUP(B105,#REF!,5,FALSE)</f>
        <v>#REF!</v>
      </c>
      <c r="W105" s="91">
        <f>IF(VLOOKUP(B105,'[1]Assessment - Detect'!B:AA,26,FALSE)=7,0,1)</f>
        <v>1</v>
      </c>
      <c r="X105" s="91" t="e">
        <f t="shared" si="7"/>
        <v>#REF!</v>
      </c>
      <c r="Y105" s="57"/>
      <c r="Z105" s="57"/>
    </row>
    <row r="106" spans="1:26" s="55" customFormat="1" ht="30" customHeight="1" x14ac:dyDescent="0.2">
      <c r="A106" s="27">
        <v>360</v>
      </c>
      <c r="B106" s="28" t="str">
        <f t="shared" si="5"/>
        <v>2.2.19c</v>
      </c>
      <c r="C106" s="29">
        <f t="shared" si="6"/>
        <v>6</v>
      </c>
      <c r="D106" s="3"/>
      <c r="E106" s="121"/>
      <c r="F106" s="36"/>
      <c r="G106" s="74" t="e">
        <f>VLOOKUP(E106,'[1]Assessment - Detect'!E:AB,24,FALSE)</f>
        <v>#N/A</v>
      </c>
      <c r="H106" s="74" t="e">
        <f>VLOOKUP(E106,'[1]Assessment - Detect'!E:I,5,FALSE)</f>
        <v>#N/A</v>
      </c>
      <c r="I106" s="31" t="e">
        <f>IF(VLOOKUP(E106,'[1]Assessment - Detect'!$E:$J,6,FALSE)=0,"",VLOOKUP(E106,'[1]Assessment - Detect'!$E:$J,6,FALSE))</f>
        <v>#N/A</v>
      </c>
      <c r="J106" s="29"/>
      <c r="K106" s="29"/>
      <c r="L106" s="29"/>
      <c r="M106" s="29"/>
      <c r="N106" s="29"/>
      <c r="O106" s="29"/>
      <c r="P106" s="29"/>
      <c r="Q106" s="29"/>
      <c r="R106" s="29"/>
      <c r="S106" s="29"/>
      <c r="T106" s="57"/>
      <c r="U106" s="91" t="e">
        <f>IF(AND(C106&gt;4,VLOOKUP(B106,'[1]Assessment - Detect'!E:AA,23,FALSE)&lt;&gt;7),LEFT(B106,3),"")</f>
        <v>#N/A</v>
      </c>
      <c r="V106" s="91" t="e">
        <f>VLOOKUP(B106,#REF!,5,FALSE)</f>
        <v>#REF!</v>
      </c>
      <c r="W106" s="91">
        <f>IF(VLOOKUP(B106,'[1]Assessment - Detect'!B:AA,26,FALSE)=7,0,1)</f>
        <v>1</v>
      </c>
      <c r="X106" s="91" t="e">
        <f t="shared" si="7"/>
        <v>#REF!</v>
      </c>
      <c r="Y106" s="57"/>
      <c r="Z106" s="57"/>
    </row>
    <row r="107" spans="1:26" s="55" customFormat="1" ht="19" x14ac:dyDescent="0.2">
      <c r="A107" s="27">
        <v>361</v>
      </c>
      <c r="B107" s="28" t="str">
        <f t="shared" si="5"/>
        <v>2.2.19d</v>
      </c>
      <c r="C107" s="29">
        <f t="shared" si="6"/>
        <v>6</v>
      </c>
      <c r="D107" s="3"/>
      <c r="E107" s="121"/>
      <c r="F107" s="36"/>
      <c r="G107" s="74" t="e">
        <f>VLOOKUP(E107,'[1]Assessment - Detect'!E:AB,24,FALSE)</f>
        <v>#N/A</v>
      </c>
      <c r="H107" s="74" t="e">
        <f>VLOOKUP(E107,'[1]Assessment - Detect'!E:I,5,FALSE)</f>
        <v>#N/A</v>
      </c>
      <c r="I107" s="31" t="e">
        <f>IF(VLOOKUP(E107,'[1]Assessment - Detect'!$E:$J,6,FALSE)=0,"",VLOOKUP(E107,'[1]Assessment - Detect'!$E:$J,6,FALSE))</f>
        <v>#N/A</v>
      </c>
      <c r="J107" s="29"/>
      <c r="K107" s="29"/>
      <c r="L107" s="29"/>
      <c r="M107" s="29"/>
      <c r="N107" s="29"/>
      <c r="O107" s="29"/>
      <c r="P107" s="29"/>
      <c r="Q107" s="29"/>
      <c r="R107" s="29"/>
      <c r="S107" s="29"/>
      <c r="T107" s="57"/>
      <c r="U107" s="91" t="e">
        <f>IF(AND(C107&gt;4,VLOOKUP(B107,'[1]Assessment - Detect'!E:AA,23,FALSE)&lt;&gt;7),LEFT(B107,3),"")</f>
        <v>#N/A</v>
      </c>
      <c r="V107" s="91" t="e">
        <f>VLOOKUP(B107,#REF!,5,FALSE)</f>
        <v>#REF!</v>
      </c>
      <c r="W107" s="91">
        <f>IF(VLOOKUP(B107,'[1]Assessment - Detect'!B:AA,26,FALSE)=7,0,1)</f>
        <v>1</v>
      </c>
      <c r="X107" s="91" t="e">
        <f t="shared" si="7"/>
        <v>#REF!</v>
      </c>
      <c r="Y107" s="57"/>
      <c r="Z107" s="57"/>
    </row>
    <row r="108" spans="1:26" s="55" customFormat="1" ht="30" customHeight="1" x14ac:dyDescent="0.2">
      <c r="A108" s="27">
        <v>362</v>
      </c>
      <c r="B108" s="28" t="str">
        <f t="shared" si="5"/>
        <v>2.2.20</v>
      </c>
      <c r="C108" s="29">
        <f t="shared" si="6"/>
        <v>4</v>
      </c>
      <c r="D108" s="3"/>
      <c r="E108" s="121"/>
      <c r="F108" s="31"/>
      <c r="G108" s="74"/>
      <c r="H108" s="74"/>
      <c r="I108" s="31"/>
      <c r="J108" s="29"/>
      <c r="K108" s="29"/>
      <c r="L108" s="29"/>
      <c r="M108" s="29"/>
      <c r="N108" s="29"/>
      <c r="O108" s="29"/>
      <c r="P108" s="29"/>
      <c r="Q108" s="29"/>
      <c r="R108" s="29"/>
      <c r="S108" s="29"/>
      <c r="T108" s="57"/>
      <c r="U108" s="91" t="e">
        <f>IF(AND(C108&gt;4,VLOOKUP(B108,'[1]Assessment - Detect'!E:AA,23,FALSE)&lt;&gt;7),LEFT(B108,3),"")</f>
        <v>#N/A</v>
      </c>
      <c r="V108" s="91" t="e">
        <f>VLOOKUP(B108,#REF!,5,FALSE)</f>
        <v>#REF!</v>
      </c>
      <c r="W108" s="91">
        <f>IF(VLOOKUP(B108,'[1]Assessment - Detect'!B:AA,26,FALSE)=7,0,1)</f>
        <v>1</v>
      </c>
      <c r="X108" s="91" t="e">
        <f t="shared" si="7"/>
        <v>#REF!</v>
      </c>
      <c r="Y108" s="57"/>
      <c r="Z108" s="57"/>
    </row>
    <row r="109" spans="1:26" s="55" customFormat="1" ht="30" customHeight="1" x14ac:dyDescent="0.2">
      <c r="A109" s="27">
        <v>363</v>
      </c>
      <c r="B109" s="28" t="str">
        <f t="shared" si="5"/>
        <v>2.2.20a</v>
      </c>
      <c r="C109" s="29">
        <f t="shared" si="6"/>
        <v>6</v>
      </c>
      <c r="D109" s="3"/>
      <c r="E109" s="121"/>
      <c r="F109" s="36"/>
      <c r="G109" s="74" t="e">
        <f>VLOOKUP(E109,'[1]Assessment - Detect'!E:AB,24,FALSE)</f>
        <v>#N/A</v>
      </c>
      <c r="H109" s="74" t="e">
        <f>VLOOKUP(E109,'[1]Assessment - Detect'!E:I,5,FALSE)</f>
        <v>#N/A</v>
      </c>
      <c r="I109" s="31" t="e">
        <f>IF(VLOOKUP(E109,'[1]Assessment - Detect'!$E:$J,6,FALSE)=0,"",VLOOKUP(E109,'[1]Assessment - Detect'!$E:$J,6,FALSE))</f>
        <v>#N/A</v>
      </c>
      <c r="J109" s="29"/>
      <c r="K109" s="29"/>
      <c r="L109" s="29"/>
      <c r="M109" s="29"/>
      <c r="N109" s="29"/>
      <c r="O109" s="29"/>
      <c r="P109" s="29"/>
      <c r="Q109" s="29"/>
      <c r="R109" s="29"/>
      <c r="S109" s="29"/>
      <c r="T109" s="57"/>
      <c r="U109" s="91" t="e">
        <f>IF(AND(C109&gt;4,VLOOKUP(B109,'[1]Assessment - Detect'!E:AA,23,FALSE)&lt;&gt;7),LEFT(B109,3),"")</f>
        <v>#N/A</v>
      </c>
      <c r="V109" s="91" t="e">
        <f>VLOOKUP(B109,#REF!,5,FALSE)</f>
        <v>#REF!</v>
      </c>
      <c r="W109" s="91">
        <f>IF(VLOOKUP(B109,'[1]Assessment - Detect'!B:AA,26,FALSE)=7,0,1)</f>
        <v>1</v>
      </c>
      <c r="X109" s="91" t="e">
        <f t="shared" si="7"/>
        <v>#REF!</v>
      </c>
      <c r="Y109" s="57"/>
      <c r="Z109" s="57"/>
    </row>
    <row r="110" spans="1:26" s="55" customFormat="1" ht="30" customHeight="1" x14ac:dyDescent="0.2">
      <c r="A110" s="27">
        <v>364</v>
      </c>
      <c r="B110" s="28" t="str">
        <f t="shared" si="5"/>
        <v>2.2.20b</v>
      </c>
      <c r="C110" s="29">
        <f t="shared" si="6"/>
        <v>6</v>
      </c>
      <c r="D110" s="3"/>
      <c r="E110" s="121"/>
      <c r="F110" s="36"/>
      <c r="G110" s="74" t="e">
        <f>VLOOKUP(E110,'[1]Assessment - Detect'!E:AB,24,FALSE)</f>
        <v>#N/A</v>
      </c>
      <c r="H110" s="74" t="e">
        <f>VLOOKUP(E110,'[1]Assessment - Detect'!E:I,5,FALSE)</f>
        <v>#N/A</v>
      </c>
      <c r="I110" s="31" t="e">
        <f>IF(VLOOKUP(E110,'[1]Assessment - Detect'!$E:$J,6,FALSE)=0,"",VLOOKUP(E110,'[1]Assessment - Detect'!$E:$J,6,FALSE))</f>
        <v>#N/A</v>
      </c>
      <c r="J110" s="29"/>
      <c r="K110" s="29"/>
      <c r="L110" s="29"/>
      <c r="M110" s="29"/>
      <c r="N110" s="29"/>
      <c r="O110" s="29"/>
      <c r="P110" s="29"/>
      <c r="Q110" s="29"/>
      <c r="R110" s="29"/>
      <c r="S110" s="29"/>
      <c r="T110" s="57"/>
      <c r="U110" s="91" t="e">
        <f>IF(AND(C110&gt;4,VLOOKUP(B110,'[1]Assessment - Detect'!E:AA,23,FALSE)&lt;&gt;7),LEFT(B110,3),"")</f>
        <v>#N/A</v>
      </c>
      <c r="V110" s="91" t="e">
        <f>VLOOKUP(B110,#REF!,5,FALSE)</f>
        <v>#REF!</v>
      </c>
      <c r="W110" s="91">
        <f>IF(VLOOKUP(B110,'[1]Assessment - Detect'!B:AA,26,FALSE)=7,0,1)</f>
        <v>1</v>
      </c>
      <c r="X110" s="91" t="e">
        <f t="shared" si="7"/>
        <v>#REF!</v>
      </c>
      <c r="Y110" s="57"/>
      <c r="Z110" s="57"/>
    </row>
    <row r="111" spans="1:26" s="55" customFormat="1" ht="18.75" customHeight="1" x14ac:dyDescent="0.2">
      <c r="A111" s="27">
        <v>365</v>
      </c>
      <c r="B111" s="28" t="str">
        <f t="shared" si="5"/>
        <v/>
      </c>
      <c r="C111" s="29">
        <f t="shared" si="6"/>
        <v>3</v>
      </c>
      <c r="D111" s="3"/>
      <c r="E111" s="120"/>
      <c r="F111" s="35"/>
      <c r="G111" s="119"/>
      <c r="H111" s="119"/>
      <c r="I111" s="31"/>
      <c r="J111" s="29"/>
      <c r="K111" s="29"/>
      <c r="L111" s="29"/>
      <c r="M111" s="29"/>
      <c r="N111" s="29"/>
      <c r="O111" s="29"/>
      <c r="P111" s="29"/>
      <c r="Q111" s="29"/>
      <c r="R111" s="29"/>
      <c r="S111" s="29"/>
      <c r="T111" s="57"/>
      <c r="U111" s="91" t="e">
        <f>IF(AND(C111&gt;4,VLOOKUP(B111,'[1]Assessment - Detect'!E:AA,23,FALSE)&lt;&gt;7),LEFT(B111,3),"")</f>
        <v>#N/A</v>
      </c>
      <c r="V111" s="91" t="e">
        <f>VLOOKUP(B111,#REF!,5,FALSE)</f>
        <v>#REF!</v>
      </c>
      <c r="W111" s="91">
        <f>IF(VLOOKUP(B111,'[1]Assessment - Detect'!B:AA,26,FALSE)=7,0,1)</f>
        <v>1</v>
      </c>
      <c r="X111" s="91" t="e">
        <f t="shared" si="7"/>
        <v>#REF!</v>
      </c>
      <c r="Y111" s="57"/>
      <c r="Z111" s="57"/>
    </row>
    <row r="112" spans="1:26" s="55" customFormat="1" ht="30" customHeight="1" x14ac:dyDescent="0.2">
      <c r="A112" s="27">
        <v>366</v>
      </c>
      <c r="B112" s="28" t="str">
        <f t="shared" si="5"/>
        <v>2.2.21</v>
      </c>
      <c r="C112" s="29">
        <f t="shared" si="6"/>
        <v>5</v>
      </c>
      <c r="D112" s="3"/>
      <c r="E112" s="121"/>
      <c r="F112" s="31"/>
      <c r="G112" s="74" t="e">
        <f>VLOOKUP(E112,'[1]Assessment - Detect'!E:AB,24,FALSE)</f>
        <v>#N/A</v>
      </c>
      <c r="H112" s="74" t="e">
        <f>VLOOKUP(E112,'[1]Assessment - Detect'!E:I,5,FALSE)</f>
        <v>#N/A</v>
      </c>
      <c r="I112" s="31" t="e">
        <f>IF(VLOOKUP(E112,'[1]Assessment - Detect'!$E:$J,6,FALSE)=0,"",VLOOKUP(E112,'[1]Assessment - Detect'!$E:$J,6,FALSE))</f>
        <v>#N/A</v>
      </c>
      <c r="J112" s="29"/>
      <c r="K112" s="29"/>
      <c r="L112" s="29"/>
      <c r="M112" s="29"/>
      <c r="N112" s="29"/>
      <c r="O112" s="29"/>
      <c r="P112" s="29"/>
      <c r="Q112" s="29"/>
      <c r="R112" s="29"/>
      <c r="S112" s="29"/>
      <c r="T112" s="57"/>
      <c r="U112" s="91" t="e">
        <f>IF(AND(C112&gt;4,VLOOKUP(B112,'[1]Assessment - Detect'!E:AA,23,FALSE)&lt;&gt;7),LEFT(B112,3),"")</f>
        <v>#N/A</v>
      </c>
      <c r="V112" s="91" t="e">
        <f>VLOOKUP(B112,#REF!,5,FALSE)</f>
        <v>#REF!</v>
      </c>
      <c r="W112" s="91">
        <f>IF(VLOOKUP(B112,'[1]Assessment - Detect'!B:AA,26,FALSE)=7,0,1)</f>
        <v>1</v>
      </c>
      <c r="X112" s="91" t="e">
        <f t="shared" si="7"/>
        <v>#REF!</v>
      </c>
      <c r="Y112" s="57"/>
      <c r="Z112" s="57"/>
    </row>
    <row r="113" spans="1:26" s="55" customFormat="1" ht="30" customHeight="1" x14ac:dyDescent="0.2">
      <c r="A113" s="27">
        <v>367</v>
      </c>
      <c r="B113" s="28" t="str">
        <f t="shared" si="5"/>
        <v>2.2.22</v>
      </c>
      <c r="C113" s="29">
        <f t="shared" si="6"/>
        <v>4</v>
      </c>
      <c r="D113" s="3"/>
      <c r="E113" s="121"/>
      <c r="F113" s="31"/>
      <c r="G113" s="74"/>
      <c r="H113" s="74"/>
      <c r="I113" s="31"/>
      <c r="J113" s="29"/>
      <c r="K113" s="29"/>
      <c r="L113" s="29"/>
      <c r="M113" s="29"/>
      <c r="N113" s="29"/>
      <c r="O113" s="29"/>
      <c r="P113" s="29"/>
      <c r="Q113" s="29"/>
      <c r="R113" s="29"/>
      <c r="S113" s="29"/>
      <c r="T113" s="57"/>
      <c r="U113" s="91" t="e">
        <f>IF(AND(C113&gt;4,VLOOKUP(B113,'[1]Assessment - Detect'!E:AA,23,FALSE)&lt;&gt;7),LEFT(B113,3),"")</f>
        <v>#N/A</v>
      </c>
      <c r="V113" s="91" t="e">
        <f>VLOOKUP(B113,#REF!,5,FALSE)</f>
        <v>#REF!</v>
      </c>
      <c r="W113" s="91">
        <f>IF(VLOOKUP(B113,'[1]Assessment - Detect'!B:AA,26,FALSE)=7,0,1)</f>
        <v>1</v>
      </c>
      <c r="X113" s="91" t="e">
        <f t="shared" si="7"/>
        <v>#REF!</v>
      </c>
      <c r="Y113" s="57"/>
      <c r="Z113" s="57"/>
    </row>
    <row r="114" spans="1:26" s="55" customFormat="1" ht="30" customHeight="1" x14ac:dyDescent="0.2">
      <c r="A114" s="27">
        <v>368</v>
      </c>
      <c r="B114" s="28" t="str">
        <f t="shared" si="5"/>
        <v>2.2.22a</v>
      </c>
      <c r="C114" s="29">
        <f t="shared" si="6"/>
        <v>6</v>
      </c>
      <c r="D114" s="3"/>
      <c r="E114" s="121"/>
      <c r="F114" s="36"/>
      <c r="G114" s="74" t="e">
        <f>VLOOKUP(E114,'[1]Assessment - Detect'!E:AB,24,FALSE)</f>
        <v>#N/A</v>
      </c>
      <c r="H114" s="74" t="e">
        <f>VLOOKUP(E114,'[1]Assessment - Detect'!E:I,5,FALSE)</f>
        <v>#N/A</v>
      </c>
      <c r="I114" s="31" t="e">
        <f>IF(VLOOKUP(E114,'[1]Assessment - Detect'!$E:$J,6,FALSE)=0,"",VLOOKUP(E114,'[1]Assessment - Detect'!$E:$J,6,FALSE))</f>
        <v>#N/A</v>
      </c>
      <c r="J114" s="29"/>
      <c r="K114" s="29"/>
      <c r="L114" s="29"/>
      <c r="M114" s="29"/>
      <c r="N114" s="29"/>
      <c r="O114" s="29"/>
      <c r="P114" s="29"/>
      <c r="Q114" s="29"/>
      <c r="R114" s="29"/>
      <c r="S114" s="29"/>
      <c r="T114" s="57"/>
      <c r="U114" s="91" t="e">
        <f>IF(AND(C114&gt;4,VLOOKUP(B114,'[1]Assessment - Detect'!E:AA,23,FALSE)&lt;&gt;7),LEFT(B114,3),"")</f>
        <v>#N/A</v>
      </c>
      <c r="V114" s="91" t="e">
        <f>VLOOKUP(B114,#REF!,5,FALSE)</f>
        <v>#REF!</v>
      </c>
      <c r="W114" s="91">
        <f>IF(VLOOKUP(B114,'[1]Assessment - Detect'!B:AA,26,FALSE)=7,0,1)</f>
        <v>1</v>
      </c>
      <c r="X114" s="91" t="e">
        <f t="shared" si="7"/>
        <v>#REF!</v>
      </c>
      <c r="Y114" s="57"/>
      <c r="Z114" s="57"/>
    </row>
    <row r="115" spans="1:26" s="55" customFormat="1" ht="19" x14ac:dyDescent="0.2">
      <c r="A115" s="27">
        <v>369</v>
      </c>
      <c r="B115" s="28" t="str">
        <f t="shared" si="5"/>
        <v>2.2.22b</v>
      </c>
      <c r="C115" s="29">
        <f t="shared" si="6"/>
        <v>6</v>
      </c>
      <c r="D115" s="3"/>
      <c r="E115" s="126"/>
      <c r="F115" s="39"/>
      <c r="G115" s="75" t="e">
        <f>VLOOKUP(E115,'[1]Assessment - Detect'!E:AB,24,FALSE)</f>
        <v>#N/A</v>
      </c>
      <c r="H115" s="75" t="e">
        <f>VLOOKUP(E115,'[1]Assessment - Detect'!E:I,5,FALSE)</f>
        <v>#N/A</v>
      </c>
      <c r="I115" s="40" t="e">
        <f>IF(VLOOKUP(E115,'[1]Assessment - Detect'!$E:$J,6,FALSE)=0,"",VLOOKUP(E115,'[1]Assessment - Detect'!$E:$J,6,FALSE))</f>
        <v>#N/A</v>
      </c>
      <c r="J115" s="37"/>
      <c r="K115" s="37"/>
      <c r="L115" s="37"/>
      <c r="M115" s="37"/>
      <c r="N115" s="37"/>
      <c r="O115" s="37"/>
      <c r="P115" s="37"/>
      <c r="Q115" s="37"/>
      <c r="R115" s="37"/>
      <c r="S115" s="37"/>
      <c r="T115" s="77"/>
      <c r="U115" s="124" t="e">
        <f>IF(AND(C115&gt;4,VLOOKUP(B115,'[1]Assessment - Detect'!E:AA,23,FALSE)&lt;&gt;7),LEFT(B115,3),"")</f>
        <v>#N/A</v>
      </c>
      <c r="V115" s="124" t="e">
        <f>VLOOKUP(B115,#REF!,5,FALSE)</f>
        <v>#REF!</v>
      </c>
      <c r="W115" s="124">
        <f>IF(VLOOKUP(B115,'[1]Assessment - Detect'!B:AA,26,FALSE)=7,0,1)</f>
        <v>1</v>
      </c>
      <c r="X115" s="124" t="e">
        <f t="shared" si="7"/>
        <v>#REF!</v>
      </c>
      <c r="Y115" s="77"/>
      <c r="Z115" s="77"/>
    </row>
    <row r="116" spans="1:26" s="55" customFormat="1" ht="30" customHeight="1" x14ac:dyDescent="0.2">
      <c r="A116" s="27">
        <v>370</v>
      </c>
      <c r="B116" s="28" t="str">
        <f t="shared" si="5"/>
        <v>2.3</v>
      </c>
      <c r="C116" s="29">
        <f t="shared" si="6"/>
        <v>2</v>
      </c>
      <c r="D116" s="3"/>
      <c r="E116" s="26"/>
      <c r="F116" s="47"/>
      <c r="G116" s="48" t="str">
        <f>"Maturity level:  "&amp;O116</f>
        <v xml:space="preserve">Maturity level:  </v>
      </c>
      <c r="H116" s="49"/>
      <c r="I116" s="137"/>
      <c r="J116" s="49"/>
      <c r="K116" s="49"/>
      <c r="L116" s="49" t="str">
        <f>TEXT(B116,"0.0")</f>
        <v>2.3</v>
      </c>
      <c r="M116" s="48" t="e">
        <f>SUMIF(U:U,L116,H:H)/(SUMIF(U:U,L116,X:X))</f>
        <v>#DIV/0!</v>
      </c>
      <c r="N116" s="48" t="e">
        <f>HLOOKUP(M116*100,level_ref,2,TRUE)</f>
        <v>#DIV/0!</v>
      </c>
      <c r="O116" s="48" t="str">
        <f>IF(ISERROR(N116),"",N116)</f>
        <v/>
      </c>
      <c r="P116" s="48" t="e">
        <f>HLOOKUP(M116*100,level_ref,3,TRUE)</f>
        <v>#DIV/0!</v>
      </c>
      <c r="Q116" s="48" t="str">
        <f>IF(ISERROR(P116),"",P116)</f>
        <v/>
      </c>
      <c r="R116" s="49"/>
      <c r="S116" s="49"/>
      <c r="T116" s="49"/>
      <c r="U116" s="49" t="e">
        <f>IF(AND(C116&gt;4,VLOOKUP(B116,'[1]Assessment - Detect'!E:AA,23,FALSE)&lt;&gt;7),LEFT(B116,3),"")</f>
        <v>#N/A</v>
      </c>
      <c r="V116" s="49" t="e">
        <f>VLOOKUP(B116,#REF!,5,FALSE)</f>
        <v>#REF!</v>
      </c>
      <c r="W116" s="49">
        <f>IF(VLOOKUP(B116,'[1]Assessment - Detect'!B:AA,26,FALSE)=7,0,1)</f>
        <v>1</v>
      </c>
      <c r="X116" s="49" t="e">
        <f t="shared" si="7"/>
        <v>#REF!</v>
      </c>
      <c r="Y116" s="49"/>
      <c r="Z116" s="49"/>
    </row>
    <row r="117" spans="1:26" s="55" customFormat="1" ht="18.75" customHeight="1" x14ac:dyDescent="0.2">
      <c r="A117" s="27">
        <v>371</v>
      </c>
      <c r="B117" s="28" t="str">
        <f t="shared" si="5"/>
        <v/>
      </c>
      <c r="C117" s="29">
        <f t="shared" si="6"/>
        <v>3</v>
      </c>
      <c r="D117" s="3"/>
      <c r="E117" s="125"/>
      <c r="F117" s="46"/>
      <c r="G117" s="129"/>
      <c r="H117" s="129"/>
      <c r="I117" s="45"/>
      <c r="J117" s="43"/>
      <c r="K117" s="43"/>
      <c r="L117" s="43"/>
      <c r="M117" s="43"/>
      <c r="N117" s="43"/>
      <c r="O117" s="43"/>
      <c r="P117" s="43"/>
      <c r="Q117" s="43"/>
      <c r="R117" s="43"/>
      <c r="S117" s="43"/>
      <c r="T117" s="78"/>
      <c r="U117" s="128" t="e">
        <f>IF(AND(C117&gt;4,VLOOKUP(B117,'[1]Assessment - Detect'!E:AA,23,FALSE)&lt;&gt;7),LEFT(B117,3),"")</f>
        <v>#N/A</v>
      </c>
      <c r="V117" s="128" t="e">
        <f>VLOOKUP(B117,#REF!,5,FALSE)</f>
        <v>#REF!</v>
      </c>
      <c r="W117" s="128">
        <f>IF(VLOOKUP(B117,'[1]Assessment - Detect'!B:AA,26,FALSE)=7,0,1)</f>
        <v>1</v>
      </c>
      <c r="X117" s="128" t="e">
        <f t="shared" si="7"/>
        <v>#REF!</v>
      </c>
      <c r="Y117" s="78"/>
      <c r="Z117" s="78"/>
    </row>
    <row r="118" spans="1:26" s="55" customFormat="1" ht="19" x14ac:dyDescent="0.2">
      <c r="A118" s="27">
        <v>372</v>
      </c>
      <c r="B118" s="28" t="str">
        <f t="shared" si="5"/>
        <v>2.3.01</v>
      </c>
      <c r="C118" s="29">
        <f t="shared" si="6"/>
        <v>5</v>
      </c>
      <c r="D118" s="3"/>
      <c r="E118" s="121"/>
      <c r="F118" s="31"/>
      <c r="G118" s="74" t="e">
        <f>VLOOKUP(E118,'[1]Assessment - Detect'!E:AB,24,FALSE)</f>
        <v>#N/A</v>
      </c>
      <c r="H118" s="74" t="e">
        <f>VLOOKUP(E118,'[1]Assessment - Detect'!E:I,5,FALSE)</f>
        <v>#N/A</v>
      </c>
      <c r="I118" s="121" t="e">
        <f>IF(VLOOKUP(E118,'[1]Assessment - Detect'!$E:$J,6,FALSE)=0,"",VLOOKUP(E118,'[1]Assessment - Detect'!$E:$J,6,FALSE))</f>
        <v>#N/A</v>
      </c>
      <c r="J118" s="29"/>
      <c r="K118" s="29"/>
      <c r="L118" s="29"/>
      <c r="M118" s="29"/>
      <c r="N118" s="29"/>
      <c r="O118" s="29"/>
      <c r="P118" s="29"/>
      <c r="Q118" s="29"/>
      <c r="R118" s="29"/>
      <c r="S118" s="29"/>
      <c r="T118" s="57"/>
      <c r="U118" s="91" t="e">
        <f>IF(AND(C118&gt;4,VLOOKUP(B118,'[1]Assessment - Detect'!E:AA,23,FALSE)&lt;&gt;7),LEFT(B118,3),"")</f>
        <v>#N/A</v>
      </c>
      <c r="V118" s="91" t="e">
        <f>VLOOKUP(B118,#REF!,5,FALSE)</f>
        <v>#REF!</v>
      </c>
      <c r="W118" s="91">
        <f>IF(VLOOKUP(B118,'[1]Assessment - Detect'!B:AA,26,FALSE)=7,0,1)</f>
        <v>1</v>
      </c>
      <c r="X118" s="91" t="e">
        <f t="shared" si="7"/>
        <v>#REF!</v>
      </c>
      <c r="Y118" s="57"/>
      <c r="Z118" s="57"/>
    </row>
    <row r="119" spans="1:26" s="55" customFormat="1" ht="30" customHeight="1" x14ac:dyDescent="0.2">
      <c r="A119" s="27">
        <v>373</v>
      </c>
      <c r="B119" s="28" t="str">
        <f t="shared" si="5"/>
        <v>2.3.02</v>
      </c>
      <c r="C119" s="29">
        <f t="shared" si="6"/>
        <v>4</v>
      </c>
      <c r="D119" s="3"/>
      <c r="E119" s="121"/>
      <c r="F119" s="31"/>
      <c r="G119" s="74"/>
      <c r="H119" s="74"/>
      <c r="I119" s="121"/>
      <c r="J119" s="29"/>
      <c r="K119" s="29"/>
      <c r="L119" s="29"/>
      <c r="M119" s="29"/>
      <c r="N119" s="29"/>
      <c r="O119" s="29"/>
      <c r="P119" s="29"/>
      <c r="Q119" s="29"/>
      <c r="R119" s="29"/>
      <c r="S119" s="29"/>
      <c r="T119" s="57"/>
      <c r="U119" s="91" t="e">
        <f>IF(AND(C119&gt;4,VLOOKUP(B119,'[1]Assessment - Detect'!E:AA,23,FALSE)&lt;&gt;7),LEFT(B119,3),"")</f>
        <v>#N/A</v>
      </c>
      <c r="V119" s="91" t="e">
        <f>VLOOKUP(B119,#REF!,5,FALSE)</f>
        <v>#REF!</v>
      </c>
      <c r="W119" s="91">
        <f>IF(VLOOKUP(B119,'[1]Assessment - Detect'!B:AA,26,FALSE)=7,0,1)</f>
        <v>1</v>
      </c>
      <c r="X119" s="91" t="e">
        <f t="shared" si="7"/>
        <v>#REF!</v>
      </c>
      <c r="Y119" s="57"/>
      <c r="Z119" s="57"/>
    </row>
    <row r="120" spans="1:26" s="55" customFormat="1" ht="30" customHeight="1" x14ac:dyDescent="0.2">
      <c r="A120" s="27">
        <v>374</v>
      </c>
      <c r="B120" s="28" t="str">
        <f t="shared" si="5"/>
        <v>2.3.02a</v>
      </c>
      <c r="C120" s="29">
        <f t="shared" si="6"/>
        <v>6</v>
      </c>
      <c r="D120" s="3"/>
      <c r="E120" s="121"/>
      <c r="F120" s="36"/>
      <c r="G120" s="74" t="e">
        <f>VLOOKUP(E120,'[1]Assessment - Detect'!E:AB,24,FALSE)</f>
        <v>#N/A</v>
      </c>
      <c r="H120" s="74" t="e">
        <f>VLOOKUP(E120,'[1]Assessment - Detect'!E:I,5,FALSE)</f>
        <v>#N/A</v>
      </c>
      <c r="I120" s="121" t="e">
        <f>IF(VLOOKUP(E120,'[1]Assessment - Detect'!$E:$J,6,FALSE)=0,"",VLOOKUP(E120,'[1]Assessment - Detect'!$E:$J,6,FALSE))</f>
        <v>#N/A</v>
      </c>
      <c r="J120" s="29"/>
      <c r="K120" s="29"/>
      <c r="L120" s="29"/>
      <c r="M120" s="29"/>
      <c r="N120" s="29"/>
      <c r="O120" s="29"/>
      <c r="P120" s="29"/>
      <c r="Q120" s="29"/>
      <c r="R120" s="29"/>
      <c r="S120" s="29"/>
      <c r="T120" s="57"/>
      <c r="U120" s="91" t="e">
        <f>IF(AND(C120&gt;4,VLOOKUP(B120,'[1]Assessment - Detect'!E:AA,23,FALSE)&lt;&gt;7),LEFT(B120,3),"")</f>
        <v>#N/A</v>
      </c>
      <c r="V120" s="91" t="e">
        <f>VLOOKUP(B120,#REF!,5,FALSE)</f>
        <v>#REF!</v>
      </c>
      <c r="W120" s="91">
        <f>IF(VLOOKUP(B120,'[1]Assessment - Detect'!B:AA,26,FALSE)=7,0,1)</f>
        <v>1</v>
      </c>
      <c r="X120" s="91" t="e">
        <f t="shared" si="7"/>
        <v>#REF!</v>
      </c>
      <c r="Y120" s="57"/>
      <c r="Z120" s="57"/>
    </row>
    <row r="121" spans="1:26" s="55" customFormat="1" ht="30" customHeight="1" x14ac:dyDescent="0.2">
      <c r="A121" s="27">
        <v>375</v>
      </c>
      <c r="B121" s="28" t="str">
        <f t="shared" si="5"/>
        <v>2.3.02b</v>
      </c>
      <c r="C121" s="29">
        <f t="shared" si="6"/>
        <v>6</v>
      </c>
      <c r="D121" s="3"/>
      <c r="E121" s="121"/>
      <c r="F121" s="36"/>
      <c r="G121" s="74" t="e">
        <f>VLOOKUP(E121,'[1]Assessment - Detect'!E:AB,24,FALSE)</f>
        <v>#N/A</v>
      </c>
      <c r="H121" s="74" t="e">
        <f>VLOOKUP(E121,'[1]Assessment - Detect'!E:I,5,FALSE)</f>
        <v>#N/A</v>
      </c>
      <c r="I121" s="121" t="e">
        <f>IF(VLOOKUP(E121,'[1]Assessment - Detect'!$E:$J,6,FALSE)=0,"",VLOOKUP(E121,'[1]Assessment - Detect'!$E:$J,6,FALSE))</f>
        <v>#N/A</v>
      </c>
      <c r="J121" s="29"/>
      <c r="K121" s="29"/>
      <c r="L121" s="29"/>
      <c r="M121" s="29"/>
      <c r="N121" s="29"/>
      <c r="O121" s="29"/>
      <c r="P121" s="29"/>
      <c r="Q121" s="29"/>
      <c r="R121" s="29"/>
      <c r="S121" s="29"/>
      <c r="T121" s="57"/>
      <c r="U121" s="91" t="e">
        <f>IF(AND(C121&gt;4,VLOOKUP(B121,'[1]Assessment - Detect'!E:AA,23,FALSE)&lt;&gt;7),LEFT(B121,3),"")</f>
        <v>#N/A</v>
      </c>
      <c r="V121" s="91" t="e">
        <f>VLOOKUP(B121,#REF!,5,FALSE)</f>
        <v>#REF!</v>
      </c>
      <c r="W121" s="91">
        <f>IF(VLOOKUP(B121,'[1]Assessment - Detect'!B:AA,26,FALSE)=7,0,1)</f>
        <v>1</v>
      </c>
      <c r="X121" s="91" t="e">
        <f t="shared" si="7"/>
        <v>#REF!</v>
      </c>
      <c r="Y121" s="57"/>
      <c r="Z121" s="57"/>
    </row>
    <row r="122" spans="1:26" s="55" customFormat="1" ht="30" customHeight="1" x14ac:dyDescent="0.2">
      <c r="A122" s="27">
        <v>376</v>
      </c>
      <c r="B122" s="28" t="str">
        <f t="shared" si="5"/>
        <v>2.3.02c</v>
      </c>
      <c r="C122" s="29">
        <f t="shared" si="6"/>
        <v>6</v>
      </c>
      <c r="D122" s="3"/>
      <c r="E122" s="121"/>
      <c r="F122" s="36"/>
      <c r="G122" s="74" t="e">
        <f>VLOOKUP(E122,'[1]Assessment - Detect'!E:AB,24,FALSE)</f>
        <v>#N/A</v>
      </c>
      <c r="H122" s="74" t="e">
        <f>VLOOKUP(E122,'[1]Assessment - Detect'!E:I,5,FALSE)</f>
        <v>#N/A</v>
      </c>
      <c r="I122" s="121" t="e">
        <f>IF(VLOOKUP(E122,'[1]Assessment - Detect'!$E:$J,6,FALSE)=0,"",VLOOKUP(E122,'[1]Assessment - Detect'!$E:$J,6,FALSE))</f>
        <v>#N/A</v>
      </c>
      <c r="J122" s="29"/>
      <c r="K122" s="29"/>
      <c r="L122" s="29"/>
      <c r="M122" s="29"/>
      <c r="N122" s="29"/>
      <c r="O122" s="29"/>
      <c r="P122" s="29"/>
      <c r="Q122" s="29"/>
      <c r="R122" s="29"/>
      <c r="S122" s="29"/>
      <c r="T122" s="57"/>
      <c r="U122" s="91" t="e">
        <f>IF(AND(C122&gt;4,VLOOKUP(B122,'[1]Assessment - Detect'!E:AA,23,FALSE)&lt;&gt;7),LEFT(B122,3),"")</f>
        <v>#N/A</v>
      </c>
      <c r="V122" s="91" t="e">
        <f>VLOOKUP(B122,#REF!,5,FALSE)</f>
        <v>#REF!</v>
      </c>
      <c r="W122" s="91">
        <f>IF(VLOOKUP(B122,'[1]Assessment - Detect'!B:AA,26,FALSE)=7,0,1)</f>
        <v>1</v>
      </c>
      <c r="X122" s="91" t="e">
        <f t="shared" si="7"/>
        <v>#REF!</v>
      </c>
      <c r="Y122" s="57"/>
      <c r="Z122" s="57"/>
    </row>
    <row r="123" spans="1:26" s="55" customFormat="1" ht="30" customHeight="1" x14ac:dyDescent="0.2">
      <c r="A123" s="27">
        <v>377</v>
      </c>
      <c r="B123" s="28" t="str">
        <f t="shared" si="5"/>
        <v>2.3.02d</v>
      </c>
      <c r="C123" s="29">
        <f t="shared" si="6"/>
        <v>6</v>
      </c>
      <c r="D123" s="3"/>
      <c r="E123" s="121"/>
      <c r="F123" s="36"/>
      <c r="G123" s="74" t="e">
        <f>VLOOKUP(E123,'[1]Assessment - Detect'!E:AB,24,FALSE)</f>
        <v>#N/A</v>
      </c>
      <c r="H123" s="74" t="e">
        <f>VLOOKUP(E123,'[1]Assessment - Detect'!E:I,5,FALSE)</f>
        <v>#N/A</v>
      </c>
      <c r="I123" s="121" t="e">
        <f>IF(VLOOKUP(E123,'[1]Assessment - Detect'!$E:$J,6,FALSE)=0,"",VLOOKUP(E123,'[1]Assessment - Detect'!$E:$J,6,FALSE))</f>
        <v>#N/A</v>
      </c>
      <c r="J123" s="29"/>
      <c r="K123" s="29"/>
      <c r="L123" s="29"/>
      <c r="M123" s="29"/>
      <c r="N123" s="29"/>
      <c r="O123" s="29"/>
      <c r="P123" s="29"/>
      <c r="Q123" s="29"/>
      <c r="R123" s="29"/>
      <c r="S123" s="29"/>
      <c r="T123" s="57"/>
      <c r="U123" s="91" t="e">
        <f>IF(AND(C123&gt;4,VLOOKUP(B123,'[1]Assessment - Detect'!E:AA,23,FALSE)&lt;&gt;7),LEFT(B123,3),"")</f>
        <v>#N/A</v>
      </c>
      <c r="V123" s="91" t="e">
        <f>VLOOKUP(B123,#REF!,5,FALSE)</f>
        <v>#REF!</v>
      </c>
      <c r="W123" s="91">
        <f>IF(VLOOKUP(B123,'[1]Assessment - Detect'!B:AA,26,FALSE)=7,0,1)</f>
        <v>1</v>
      </c>
      <c r="X123" s="91" t="e">
        <f t="shared" si="7"/>
        <v>#REF!</v>
      </c>
      <c r="Y123" s="57"/>
      <c r="Z123" s="57"/>
    </row>
    <row r="124" spans="1:26" s="55" customFormat="1" ht="30" customHeight="1" x14ac:dyDescent="0.2">
      <c r="A124" s="27">
        <v>378</v>
      </c>
      <c r="B124" s="28" t="str">
        <f t="shared" si="5"/>
        <v>2.3.03</v>
      </c>
      <c r="C124" s="29">
        <f t="shared" si="6"/>
        <v>4</v>
      </c>
      <c r="D124" s="3"/>
      <c r="E124" s="121"/>
      <c r="F124" s="31"/>
      <c r="G124" s="74"/>
      <c r="H124" s="74"/>
      <c r="I124" s="121"/>
      <c r="J124" s="29"/>
      <c r="K124" s="29"/>
      <c r="L124" s="29"/>
      <c r="M124" s="29"/>
      <c r="N124" s="29"/>
      <c r="O124" s="29"/>
      <c r="P124" s="29"/>
      <c r="Q124" s="29"/>
      <c r="R124" s="29"/>
      <c r="S124" s="29"/>
      <c r="T124" s="57"/>
      <c r="U124" s="91" t="e">
        <f>IF(AND(C124&gt;4,VLOOKUP(B124,'[1]Assessment - Detect'!E:AA,23,FALSE)&lt;&gt;7),LEFT(B124,3),"")</f>
        <v>#N/A</v>
      </c>
      <c r="V124" s="91" t="e">
        <f>VLOOKUP(B124,#REF!,5,FALSE)</f>
        <v>#REF!</v>
      </c>
      <c r="W124" s="91">
        <f>IF(VLOOKUP(B124,'[1]Assessment - Detect'!B:AA,26,FALSE)=7,0,1)</f>
        <v>1</v>
      </c>
      <c r="X124" s="91" t="e">
        <f t="shared" si="7"/>
        <v>#REF!</v>
      </c>
      <c r="Y124" s="57"/>
      <c r="Z124" s="57"/>
    </row>
    <row r="125" spans="1:26" s="55" customFormat="1" ht="30" customHeight="1" x14ac:dyDescent="0.2">
      <c r="A125" s="27">
        <v>379</v>
      </c>
      <c r="B125" s="28" t="str">
        <f t="shared" si="5"/>
        <v>2.3.03a</v>
      </c>
      <c r="C125" s="29">
        <f t="shared" si="6"/>
        <v>6</v>
      </c>
      <c r="D125" s="3"/>
      <c r="E125" s="121"/>
      <c r="F125" s="36"/>
      <c r="G125" s="74" t="e">
        <f>VLOOKUP(E125,'[1]Assessment - Detect'!E:AB,24,FALSE)</f>
        <v>#N/A</v>
      </c>
      <c r="H125" s="74" t="e">
        <f>VLOOKUP(E125,'[1]Assessment - Detect'!E:I,5,FALSE)</f>
        <v>#N/A</v>
      </c>
      <c r="I125" s="121" t="e">
        <f>IF(VLOOKUP(E125,'[1]Assessment - Detect'!$E:$J,6,FALSE)=0,"",VLOOKUP(E125,'[1]Assessment - Detect'!$E:$J,6,FALSE))</f>
        <v>#N/A</v>
      </c>
      <c r="J125" s="29"/>
      <c r="K125" s="29"/>
      <c r="L125" s="29"/>
      <c r="M125" s="29"/>
      <c r="N125" s="29"/>
      <c r="O125" s="29"/>
      <c r="P125" s="29"/>
      <c r="Q125" s="29"/>
      <c r="R125" s="29"/>
      <c r="S125" s="29"/>
      <c r="T125" s="57"/>
      <c r="U125" s="91" t="e">
        <f>IF(AND(C125&gt;4,VLOOKUP(B125,'[1]Assessment - Detect'!E:AA,23,FALSE)&lt;&gt;7),LEFT(B125,3),"")</f>
        <v>#N/A</v>
      </c>
      <c r="V125" s="91" t="e">
        <f>VLOOKUP(B125,#REF!,5,FALSE)</f>
        <v>#REF!</v>
      </c>
      <c r="W125" s="91">
        <f>IF(VLOOKUP(B125,'[1]Assessment - Detect'!B:AA,26,FALSE)=7,0,1)</f>
        <v>1</v>
      </c>
      <c r="X125" s="91" t="e">
        <f t="shared" si="7"/>
        <v>#REF!</v>
      </c>
      <c r="Y125" s="57"/>
      <c r="Z125" s="57"/>
    </row>
    <row r="126" spans="1:26" s="55" customFormat="1" ht="30" customHeight="1" x14ac:dyDescent="0.2">
      <c r="A126" s="27">
        <v>380</v>
      </c>
      <c r="B126" s="28" t="str">
        <f t="shared" si="5"/>
        <v>2.3.03b</v>
      </c>
      <c r="C126" s="29">
        <f t="shared" si="6"/>
        <v>6</v>
      </c>
      <c r="D126" s="3"/>
      <c r="E126" s="121"/>
      <c r="F126" s="36"/>
      <c r="G126" s="74" t="e">
        <f>VLOOKUP(E126,'[1]Assessment - Detect'!E:AB,24,FALSE)</f>
        <v>#N/A</v>
      </c>
      <c r="H126" s="74" t="e">
        <f>VLOOKUP(E126,'[1]Assessment - Detect'!E:I,5,FALSE)</f>
        <v>#N/A</v>
      </c>
      <c r="I126" s="121" t="e">
        <f>IF(VLOOKUP(E126,'[1]Assessment - Detect'!$E:$J,6,FALSE)=0,"",VLOOKUP(E126,'[1]Assessment - Detect'!$E:$J,6,FALSE))</f>
        <v>#N/A</v>
      </c>
      <c r="J126" s="29"/>
      <c r="K126" s="29"/>
      <c r="L126" s="29"/>
      <c r="M126" s="29"/>
      <c r="N126" s="29"/>
      <c r="O126" s="29"/>
      <c r="P126" s="29"/>
      <c r="Q126" s="29"/>
      <c r="R126" s="29"/>
      <c r="S126" s="29"/>
      <c r="T126" s="57"/>
      <c r="U126" s="91" t="e">
        <f>IF(AND(C126&gt;4,VLOOKUP(B126,'[1]Assessment - Detect'!E:AA,23,FALSE)&lt;&gt;7),LEFT(B126,3),"")</f>
        <v>#N/A</v>
      </c>
      <c r="V126" s="91" t="e">
        <f>VLOOKUP(B126,#REF!,5,FALSE)</f>
        <v>#REF!</v>
      </c>
      <c r="W126" s="91">
        <f>IF(VLOOKUP(B126,'[1]Assessment - Detect'!B:AA,26,FALSE)=7,0,1)</f>
        <v>1</v>
      </c>
      <c r="X126" s="91" t="e">
        <f t="shared" si="7"/>
        <v>#REF!</v>
      </c>
      <c r="Y126" s="57"/>
      <c r="Z126" s="57"/>
    </row>
    <row r="127" spans="1:26" s="55" customFormat="1" ht="30" customHeight="1" x14ac:dyDescent="0.2">
      <c r="A127" s="27">
        <v>381</v>
      </c>
      <c r="B127" s="28" t="str">
        <f t="shared" si="5"/>
        <v>2.3.03c</v>
      </c>
      <c r="C127" s="29">
        <f t="shared" si="6"/>
        <v>6</v>
      </c>
      <c r="D127" s="3"/>
      <c r="E127" s="121"/>
      <c r="F127" s="36"/>
      <c r="G127" s="74" t="e">
        <f>VLOOKUP(E127,'[1]Assessment - Detect'!E:AB,24,FALSE)</f>
        <v>#N/A</v>
      </c>
      <c r="H127" s="74" t="e">
        <f>VLOOKUP(E127,'[1]Assessment - Detect'!E:I,5,FALSE)</f>
        <v>#N/A</v>
      </c>
      <c r="I127" s="121" t="e">
        <f>IF(VLOOKUP(E127,'[1]Assessment - Detect'!$E:$J,6,FALSE)=0,"",VLOOKUP(E127,'[1]Assessment - Detect'!$E:$J,6,FALSE))</f>
        <v>#N/A</v>
      </c>
      <c r="J127" s="29"/>
      <c r="K127" s="29"/>
      <c r="L127" s="29"/>
      <c r="M127" s="29"/>
      <c r="N127" s="29"/>
      <c r="O127" s="29"/>
      <c r="P127" s="29"/>
      <c r="Q127" s="29"/>
      <c r="R127" s="29"/>
      <c r="S127" s="29"/>
      <c r="T127" s="57"/>
      <c r="U127" s="91" t="e">
        <f>IF(AND(C127&gt;4,VLOOKUP(B127,'[1]Assessment - Detect'!E:AA,23,FALSE)&lt;&gt;7),LEFT(B127,3),"")</f>
        <v>#N/A</v>
      </c>
      <c r="V127" s="91" t="e">
        <f>VLOOKUP(B127,#REF!,5,FALSE)</f>
        <v>#REF!</v>
      </c>
      <c r="W127" s="91">
        <f>IF(VLOOKUP(B127,'[1]Assessment - Detect'!B:AA,26,FALSE)=7,0,1)</f>
        <v>1</v>
      </c>
      <c r="X127" s="91" t="e">
        <f t="shared" si="7"/>
        <v>#REF!</v>
      </c>
      <c r="Y127" s="57"/>
      <c r="Z127" s="57"/>
    </row>
    <row r="128" spans="1:26" s="55" customFormat="1" ht="30" customHeight="1" x14ac:dyDescent="0.2">
      <c r="A128" s="27">
        <v>382</v>
      </c>
      <c r="B128" s="28" t="str">
        <f t="shared" si="5"/>
        <v>2.3.03d</v>
      </c>
      <c r="C128" s="29">
        <f t="shared" si="6"/>
        <v>6</v>
      </c>
      <c r="D128" s="3"/>
      <c r="E128" s="121"/>
      <c r="F128" s="36"/>
      <c r="G128" s="74" t="e">
        <f>VLOOKUP(E128,'[1]Assessment - Detect'!E:AB,24,FALSE)</f>
        <v>#N/A</v>
      </c>
      <c r="H128" s="74" t="e">
        <f>VLOOKUP(E128,'[1]Assessment - Detect'!E:I,5,FALSE)</f>
        <v>#N/A</v>
      </c>
      <c r="I128" s="121" t="e">
        <f>IF(VLOOKUP(E128,'[1]Assessment - Detect'!$E:$J,6,FALSE)=0,"",VLOOKUP(E128,'[1]Assessment - Detect'!$E:$J,6,FALSE))</f>
        <v>#N/A</v>
      </c>
      <c r="J128" s="29"/>
      <c r="K128" s="29"/>
      <c r="L128" s="29"/>
      <c r="M128" s="29"/>
      <c r="N128" s="29"/>
      <c r="O128" s="29"/>
      <c r="P128" s="29"/>
      <c r="Q128" s="29"/>
      <c r="R128" s="29"/>
      <c r="S128" s="29"/>
      <c r="T128" s="57"/>
      <c r="U128" s="91" t="e">
        <f>IF(AND(C128&gt;4,VLOOKUP(B128,'[1]Assessment - Detect'!E:AA,23,FALSE)&lt;&gt;7),LEFT(B128,3),"")</f>
        <v>#N/A</v>
      </c>
      <c r="V128" s="91" t="e">
        <f>VLOOKUP(B128,#REF!,5,FALSE)</f>
        <v>#REF!</v>
      </c>
      <c r="W128" s="91">
        <f>IF(VLOOKUP(B128,'[1]Assessment - Detect'!B:AA,26,FALSE)=7,0,1)</f>
        <v>1</v>
      </c>
      <c r="X128" s="91" t="e">
        <f t="shared" si="7"/>
        <v>#REF!</v>
      </c>
      <c r="Y128" s="57"/>
      <c r="Z128" s="57"/>
    </row>
    <row r="129" spans="1:26" s="55" customFormat="1" ht="19" x14ac:dyDescent="0.2">
      <c r="A129" s="27">
        <v>383</v>
      </c>
      <c r="B129" s="28" t="str">
        <f t="shared" si="5"/>
        <v>2.3.04</v>
      </c>
      <c r="C129" s="29">
        <f t="shared" si="6"/>
        <v>5</v>
      </c>
      <c r="D129" s="3"/>
      <c r="E129" s="121"/>
      <c r="F129" s="31"/>
      <c r="G129" s="74" t="e">
        <f>VLOOKUP(E129,'[1]Assessment - Detect'!E:AB,24,FALSE)</f>
        <v>#N/A</v>
      </c>
      <c r="H129" s="74" t="e">
        <f>VLOOKUP(E129,'[1]Assessment - Detect'!E:I,5,FALSE)</f>
        <v>#N/A</v>
      </c>
      <c r="I129" s="121" t="e">
        <f>IF(VLOOKUP(E129,'[1]Assessment - Detect'!$E:$J,6,FALSE)=0,"",VLOOKUP(E129,'[1]Assessment - Detect'!$E:$J,6,FALSE))</f>
        <v>#N/A</v>
      </c>
      <c r="J129" s="29"/>
      <c r="K129" s="29"/>
      <c r="L129" s="29"/>
      <c r="M129" s="29"/>
      <c r="N129" s="29"/>
      <c r="O129" s="29"/>
      <c r="P129" s="29"/>
      <c r="Q129" s="29"/>
      <c r="R129" s="29"/>
      <c r="S129" s="29"/>
      <c r="T129" s="57"/>
      <c r="U129" s="91" t="e">
        <f>IF(AND(C129&gt;4,VLOOKUP(B129,'[1]Assessment - Detect'!E:AA,23,FALSE)&lt;&gt;7),LEFT(B129,3),"")</f>
        <v>#N/A</v>
      </c>
      <c r="V129" s="91" t="e">
        <f>VLOOKUP(B129,#REF!,5,FALSE)</f>
        <v>#REF!</v>
      </c>
      <c r="W129" s="91">
        <f>IF(VLOOKUP(B129,'[1]Assessment - Detect'!B:AA,26,FALSE)=7,0,1)</f>
        <v>1</v>
      </c>
      <c r="X129" s="91" t="e">
        <f t="shared" si="7"/>
        <v>#REF!</v>
      </c>
      <c r="Y129" s="57"/>
      <c r="Z129" s="57"/>
    </row>
    <row r="130" spans="1:26" s="55" customFormat="1" ht="19" x14ac:dyDescent="0.2">
      <c r="A130" s="27">
        <v>384</v>
      </c>
      <c r="B130" s="28" t="str">
        <f t="shared" si="5"/>
        <v>2.3.05</v>
      </c>
      <c r="C130" s="29">
        <f t="shared" si="6"/>
        <v>5</v>
      </c>
      <c r="D130" s="3"/>
      <c r="E130" s="121"/>
      <c r="F130" s="31"/>
      <c r="G130" s="74" t="e">
        <f>VLOOKUP(E130,'[1]Assessment - Detect'!E:AB,24,FALSE)</f>
        <v>#N/A</v>
      </c>
      <c r="H130" s="74" t="e">
        <f>VLOOKUP(E130,'[1]Assessment - Detect'!E:I,5,FALSE)</f>
        <v>#N/A</v>
      </c>
      <c r="I130" s="121" t="e">
        <f>IF(VLOOKUP(E130,'[1]Assessment - Detect'!$E:$J,6,FALSE)=0,"",VLOOKUP(E130,'[1]Assessment - Detect'!$E:$J,6,FALSE))</f>
        <v>#N/A</v>
      </c>
      <c r="J130" s="29"/>
      <c r="K130" s="29"/>
      <c r="L130" s="29"/>
      <c r="M130" s="29"/>
      <c r="N130" s="29"/>
      <c r="O130" s="29"/>
      <c r="P130" s="29"/>
      <c r="Q130" s="29"/>
      <c r="R130" s="29"/>
      <c r="S130" s="29"/>
      <c r="T130" s="57"/>
      <c r="U130" s="91" t="e">
        <f>IF(AND(C130&gt;4,VLOOKUP(B130,'[1]Assessment - Detect'!E:AA,23,FALSE)&lt;&gt;7),LEFT(B130,3),"")</f>
        <v>#N/A</v>
      </c>
      <c r="V130" s="91" t="e">
        <f>VLOOKUP(B130,#REF!,5,FALSE)</f>
        <v>#REF!</v>
      </c>
      <c r="W130" s="91">
        <f>IF(VLOOKUP(B130,'[1]Assessment - Detect'!B:AA,26,FALSE)=7,0,1)</f>
        <v>1</v>
      </c>
      <c r="X130" s="91" t="e">
        <f t="shared" si="7"/>
        <v>#REF!</v>
      </c>
      <c r="Y130" s="57"/>
      <c r="Z130" s="57"/>
    </row>
    <row r="131" spans="1:26" s="55" customFormat="1" ht="30" customHeight="1" x14ac:dyDescent="0.2">
      <c r="A131" s="27">
        <v>385</v>
      </c>
      <c r="B131" s="28" t="str">
        <f t="shared" si="5"/>
        <v>2.3.06</v>
      </c>
      <c r="C131" s="29">
        <f t="shared" si="6"/>
        <v>4</v>
      </c>
      <c r="D131" s="3"/>
      <c r="E131" s="121"/>
      <c r="F131" s="31"/>
      <c r="G131" s="74"/>
      <c r="H131" s="74"/>
      <c r="I131" s="121"/>
      <c r="J131" s="29"/>
      <c r="K131" s="29"/>
      <c r="L131" s="29"/>
      <c r="M131" s="29"/>
      <c r="N131" s="29"/>
      <c r="O131" s="29"/>
      <c r="P131" s="29"/>
      <c r="Q131" s="29"/>
      <c r="R131" s="29"/>
      <c r="S131" s="29"/>
      <c r="T131" s="57"/>
      <c r="U131" s="91" t="e">
        <f>IF(AND(C131&gt;4,VLOOKUP(B131,'[1]Assessment - Detect'!E:AA,23,FALSE)&lt;&gt;7),LEFT(B131,3),"")</f>
        <v>#N/A</v>
      </c>
      <c r="V131" s="91" t="e">
        <f>VLOOKUP(B131,#REF!,5,FALSE)</f>
        <v>#REF!</v>
      </c>
      <c r="W131" s="91">
        <f>IF(VLOOKUP(B131,'[1]Assessment - Detect'!B:AA,26,FALSE)=7,0,1)</f>
        <v>1</v>
      </c>
      <c r="X131" s="91" t="e">
        <f t="shared" si="7"/>
        <v>#REF!</v>
      </c>
      <c r="Y131" s="57"/>
      <c r="Z131" s="57"/>
    </row>
    <row r="132" spans="1:26" s="55" customFormat="1" ht="30" customHeight="1" x14ac:dyDescent="0.2">
      <c r="A132" s="27">
        <v>386</v>
      </c>
      <c r="B132" s="28" t="str">
        <f t="shared" si="5"/>
        <v>2.3.06a</v>
      </c>
      <c r="C132" s="29">
        <f t="shared" si="6"/>
        <v>6</v>
      </c>
      <c r="D132" s="3"/>
      <c r="E132" s="121"/>
      <c r="F132" s="36"/>
      <c r="G132" s="74" t="e">
        <f>VLOOKUP(E132,'[1]Assessment - Detect'!E:AB,24,FALSE)</f>
        <v>#N/A</v>
      </c>
      <c r="H132" s="74" t="e">
        <f>VLOOKUP(E132,'[1]Assessment - Detect'!E:I,5,FALSE)</f>
        <v>#N/A</v>
      </c>
      <c r="I132" s="121" t="e">
        <f>IF(VLOOKUP(E132,'[1]Assessment - Detect'!$E:$J,6,FALSE)=0,"",VLOOKUP(E132,'[1]Assessment - Detect'!$E:$J,6,FALSE))</f>
        <v>#N/A</v>
      </c>
      <c r="J132" s="29"/>
      <c r="K132" s="29"/>
      <c r="L132" s="29"/>
      <c r="M132" s="29"/>
      <c r="N132" s="29"/>
      <c r="O132" s="29"/>
      <c r="P132" s="29"/>
      <c r="Q132" s="29"/>
      <c r="R132" s="29"/>
      <c r="S132" s="29"/>
      <c r="T132" s="57"/>
      <c r="U132" s="91" t="e">
        <f>IF(AND(C132&gt;4,VLOOKUP(B132,'[1]Assessment - Detect'!E:AA,23,FALSE)&lt;&gt;7),LEFT(B132,3),"")</f>
        <v>#N/A</v>
      </c>
      <c r="V132" s="91" t="e">
        <f>VLOOKUP(B132,#REF!,5,FALSE)</f>
        <v>#REF!</v>
      </c>
      <c r="W132" s="91">
        <f>IF(VLOOKUP(B132,'[1]Assessment - Detect'!B:AA,26,FALSE)=7,0,1)</f>
        <v>1</v>
      </c>
      <c r="X132" s="91" t="e">
        <f t="shared" si="7"/>
        <v>#REF!</v>
      </c>
      <c r="Y132" s="57"/>
      <c r="Z132" s="57"/>
    </row>
    <row r="133" spans="1:26" s="55" customFormat="1" ht="30" customHeight="1" x14ac:dyDescent="0.2">
      <c r="A133" s="27">
        <v>387</v>
      </c>
      <c r="B133" s="28" t="str">
        <f t="shared" si="5"/>
        <v>2.3.06b</v>
      </c>
      <c r="C133" s="29">
        <f t="shared" si="6"/>
        <v>6</v>
      </c>
      <c r="D133" s="3"/>
      <c r="E133" s="121"/>
      <c r="F133" s="36"/>
      <c r="G133" s="74" t="e">
        <f>VLOOKUP(E133,'[1]Assessment - Detect'!E:AB,24,FALSE)</f>
        <v>#N/A</v>
      </c>
      <c r="H133" s="74" t="e">
        <f>VLOOKUP(E133,'[1]Assessment - Detect'!E:I,5,FALSE)</f>
        <v>#N/A</v>
      </c>
      <c r="I133" s="121" t="e">
        <f>IF(VLOOKUP(E133,'[1]Assessment - Detect'!$E:$J,6,FALSE)=0,"",VLOOKUP(E133,'[1]Assessment - Detect'!$E:$J,6,FALSE))</f>
        <v>#N/A</v>
      </c>
      <c r="J133" s="29"/>
      <c r="K133" s="29"/>
      <c r="L133" s="29"/>
      <c r="M133" s="29"/>
      <c r="N133" s="29"/>
      <c r="O133" s="29"/>
      <c r="P133" s="29"/>
      <c r="Q133" s="29"/>
      <c r="R133" s="29"/>
      <c r="S133" s="29"/>
      <c r="T133" s="57"/>
      <c r="U133" s="91" t="e">
        <f>IF(AND(C133&gt;4,VLOOKUP(B133,'[1]Assessment - Detect'!E:AA,23,FALSE)&lt;&gt;7),LEFT(B133,3),"")</f>
        <v>#N/A</v>
      </c>
      <c r="V133" s="91" t="e">
        <f>VLOOKUP(B133,#REF!,5,FALSE)</f>
        <v>#REF!</v>
      </c>
      <c r="W133" s="91">
        <f>IF(VLOOKUP(B133,'[1]Assessment - Detect'!B:AA,26,FALSE)=7,0,1)</f>
        <v>1</v>
      </c>
      <c r="X133" s="91" t="e">
        <f t="shared" si="7"/>
        <v>#REF!</v>
      </c>
      <c r="Y133" s="57"/>
      <c r="Z133" s="57"/>
    </row>
    <row r="134" spans="1:26" s="55" customFormat="1" ht="30" customHeight="1" x14ac:dyDescent="0.2">
      <c r="A134" s="27">
        <v>388</v>
      </c>
      <c r="B134" s="28" t="str">
        <f t="shared" si="5"/>
        <v>2.3.06c</v>
      </c>
      <c r="C134" s="29">
        <f t="shared" si="6"/>
        <v>6</v>
      </c>
      <c r="D134" s="3"/>
      <c r="E134" s="121"/>
      <c r="F134" s="36"/>
      <c r="G134" s="74" t="e">
        <f>VLOOKUP(E134,'[1]Assessment - Detect'!E:AB,24,FALSE)</f>
        <v>#N/A</v>
      </c>
      <c r="H134" s="74" t="e">
        <f>VLOOKUP(E134,'[1]Assessment - Detect'!E:I,5,FALSE)</f>
        <v>#N/A</v>
      </c>
      <c r="I134" s="121" t="e">
        <f>IF(VLOOKUP(E134,'[1]Assessment - Detect'!$E:$J,6,FALSE)=0,"",VLOOKUP(E134,'[1]Assessment - Detect'!$E:$J,6,FALSE))</f>
        <v>#N/A</v>
      </c>
      <c r="J134" s="29"/>
      <c r="K134" s="29"/>
      <c r="L134" s="29"/>
      <c r="M134" s="29"/>
      <c r="N134" s="29"/>
      <c r="O134" s="29"/>
      <c r="P134" s="29"/>
      <c r="Q134" s="29"/>
      <c r="R134" s="29"/>
      <c r="S134" s="29"/>
      <c r="T134" s="57"/>
      <c r="U134" s="91" t="e">
        <f>IF(AND(C134&gt;4,VLOOKUP(B134,'[1]Assessment - Detect'!E:AA,23,FALSE)&lt;&gt;7),LEFT(B134,3),"")</f>
        <v>#N/A</v>
      </c>
      <c r="V134" s="91" t="e">
        <f>VLOOKUP(B134,#REF!,5,FALSE)</f>
        <v>#REF!</v>
      </c>
      <c r="W134" s="91">
        <f>IF(VLOOKUP(B134,'[1]Assessment - Detect'!B:AA,26,FALSE)=7,0,1)</f>
        <v>1</v>
      </c>
      <c r="X134" s="91" t="e">
        <f t="shared" si="7"/>
        <v>#REF!</v>
      </c>
      <c r="Y134" s="57"/>
      <c r="Z134" s="57"/>
    </row>
    <row r="135" spans="1:26" s="55" customFormat="1" ht="30" customHeight="1" x14ac:dyDescent="0.2">
      <c r="A135" s="27">
        <v>389</v>
      </c>
      <c r="B135" s="28" t="str">
        <f t="shared" si="5"/>
        <v>2.3.06d</v>
      </c>
      <c r="C135" s="29">
        <f t="shared" si="6"/>
        <v>6</v>
      </c>
      <c r="D135" s="3"/>
      <c r="E135" s="121"/>
      <c r="F135" s="36"/>
      <c r="G135" s="74" t="e">
        <f>VLOOKUP(E135,'[1]Assessment - Detect'!E:AB,24,FALSE)</f>
        <v>#N/A</v>
      </c>
      <c r="H135" s="74" t="e">
        <f>VLOOKUP(E135,'[1]Assessment - Detect'!E:I,5,FALSE)</f>
        <v>#N/A</v>
      </c>
      <c r="I135" s="121" t="e">
        <f>IF(VLOOKUP(E135,'[1]Assessment - Detect'!$E:$J,6,FALSE)=0,"",VLOOKUP(E135,'[1]Assessment - Detect'!$E:$J,6,FALSE))</f>
        <v>#N/A</v>
      </c>
      <c r="J135" s="29"/>
      <c r="K135" s="29"/>
      <c r="L135" s="29"/>
      <c r="M135" s="29"/>
      <c r="N135" s="29"/>
      <c r="O135" s="29"/>
      <c r="P135" s="29"/>
      <c r="Q135" s="29"/>
      <c r="R135" s="29"/>
      <c r="S135" s="29"/>
      <c r="T135" s="57"/>
      <c r="U135" s="91" t="e">
        <f>IF(AND(C135&gt;4,VLOOKUP(B135,'[1]Assessment - Detect'!E:AA,23,FALSE)&lt;&gt;7),LEFT(B135,3),"")</f>
        <v>#N/A</v>
      </c>
      <c r="V135" s="91" t="e">
        <f>VLOOKUP(B135,#REF!,5,FALSE)</f>
        <v>#REF!</v>
      </c>
      <c r="W135" s="91">
        <f>IF(VLOOKUP(B135,'[1]Assessment - Detect'!B:AA,26,FALSE)=7,0,1)</f>
        <v>1</v>
      </c>
      <c r="X135" s="91" t="e">
        <f t="shared" si="7"/>
        <v>#REF!</v>
      </c>
      <c r="Y135" s="57"/>
      <c r="Z135" s="57"/>
    </row>
    <row r="136" spans="1:26" s="55" customFormat="1" ht="30" customHeight="1" x14ac:dyDescent="0.2">
      <c r="A136" s="27">
        <v>390</v>
      </c>
      <c r="B136" s="28" t="str">
        <f t="shared" ref="B136:B199" si="8">VLOOKUP(A136,contentref,2,FALSE)</f>
        <v>2.3.06e</v>
      </c>
      <c r="C136" s="29">
        <f t="shared" ref="C136:C199" si="9">VLOOKUP(A136,contentref,15,FALSE)</f>
        <v>6</v>
      </c>
      <c r="D136" s="3"/>
      <c r="E136" s="121"/>
      <c r="F136" s="36"/>
      <c r="G136" s="74" t="e">
        <f>VLOOKUP(E136,'[1]Assessment - Detect'!E:AB,24,FALSE)</f>
        <v>#N/A</v>
      </c>
      <c r="H136" s="74" t="e">
        <f>VLOOKUP(E136,'[1]Assessment - Detect'!E:I,5,FALSE)</f>
        <v>#N/A</v>
      </c>
      <c r="I136" s="121" t="e">
        <f>IF(VLOOKUP(E136,'[1]Assessment - Detect'!$E:$J,6,FALSE)=0,"",VLOOKUP(E136,'[1]Assessment - Detect'!$E:$J,6,FALSE))</f>
        <v>#N/A</v>
      </c>
      <c r="J136" s="29"/>
      <c r="K136" s="29"/>
      <c r="L136" s="29"/>
      <c r="M136" s="29"/>
      <c r="N136" s="29"/>
      <c r="O136" s="29"/>
      <c r="P136" s="29"/>
      <c r="Q136" s="29"/>
      <c r="R136" s="29"/>
      <c r="S136" s="29"/>
      <c r="T136" s="57"/>
      <c r="U136" s="91" t="e">
        <f>IF(AND(C136&gt;4,VLOOKUP(B136,'[1]Assessment - Detect'!E:AA,23,FALSE)&lt;&gt;7),LEFT(B136,3),"")</f>
        <v>#N/A</v>
      </c>
      <c r="V136" s="91" t="e">
        <f>VLOOKUP(B136,#REF!,5,FALSE)</f>
        <v>#REF!</v>
      </c>
      <c r="W136" s="91">
        <f>IF(VLOOKUP(B136,'[1]Assessment - Detect'!B:AA,26,FALSE)=7,0,1)</f>
        <v>1</v>
      </c>
      <c r="X136" s="91" t="e">
        <f t="shared" ref="X136:X199" si="10">W136*V136*3</f>
        <v>#REF!</v>
      </c>
      <c r="Y136" s="57"/>
      <c r="Z136" s="57"/>
    </row>
    <row r="137" spans="1:26" s="55" customFormat="1" ht="30" customHeight="1" x14ac:dyDescent="0.2">
      <c r="A137" s="27">
        <v>391</v>
      </c>
      <c r="B137" s="28" t="str">
        <f t="shared" si="8"/>
        <v>2.3.06f</v>
      </c>
      <c r="C137" s="29">
        <f t="shared" si="9"/>
        <v>6</v>
      </c>
      <c r="D137" s="3"/>
      <c r="E137" s="121"/>
      <c r="F137" s="36"/>
      <c r="G137" s="74" t="e">
        <f>VLOOKUP(E137,'[1]Assessment - Detect'!E:AB,24,FALSE)</f>
        <v>#N/A</v>
      </c>
      <c r="H137" s="74" t="e">
        <f>VLOOKUP(E137,'[1]Assessment - Detect'!E:I,5,FALSE)</f>
        <v>#N/A</v>
      </c>
      <c r="I137" s="121" t="e">
        <f>IF(VLOOKUP(E137,'[1]Assessment - Detect'!$E:$J,6,FALSE)=0,"",VLOOKUP(E137,'[1]Assessment - Detect'!$E:$J,6,FALSE))</f>
        <v>#N/A</v>
      </c>
      <c r="J137" s="29"/>
      <c r="K137" s="29"/>
      <c r="L137" s="29"/>
      <c r="M137" s="29"/>
      <c r="N137" s="29"/>
      <c r="O137" s="29"/>
      <c r="P137" s="29"/>
      <c r="Q137" s="29"/>
      <c r="R137" s="29"/>
      <c r="S137" s="29"/>
      <c r="T137" s="57"/>
      <c r="U137" s="91" t="e">
        <f>IF(AND(C137&gt;4,VLOOKUP(B137,'[1]Assessment - Detect'!E:AA,23,FALSE)&lt;&gt;7),LEFT(B137,3),"")</f>
        <v>#N/A</v>
      </c>
      <c r="V137" s="91" t="e">
        <f>VLOOKUP(B137,#REF!,5,FALSE)</f>
        <v>#REF!</v>
      </c>
      <c r="W137" s="91">
        <f>IF(VLOOKUP(B137,'[1]Assessment - Detect'!B:AA,26,FALSE)=7,0,1)</f>
        <v>1</v>
      </c>
      <c r="X137" s="91" t="e">
        <f t="shared" si="10"/>
        <v>#REF!</v>
      </c>
      <c r="Y137" s="57"/>
      <c r="Z137" s="57"/>
    </row>
    <row r="138" spans="1:26" s="55" customFormat="1" ht="30" customHeight="1" x14ac:dyDescent="0.2">
      <c r="A138" s="27">
        <v>392</v>
      </c>
      <c r="B138" s="28" t="str">
        <f t="shared" si="8"/>
        <v>2.3.06g</v>
      </c>
      <c r="C138" s="29">
        <f t="shared" si="9"/>
        <v>6</v>
      </c>
      <c r="D138" s="3"/>
      <c r="E138" s="121"/>
      <c r="F138" s="36"/>
      <c r="G138" s="74" t="e">
        <f>VLOOKUP(E138,'[1]Assessment - Detect'!E:AB,24,FALSE)</f>
        <v>#N/A</v>
      </c>
      <c r="H138" s="74" t="e">
        <f>VLOOKUP(E138,'[1]Assessment - Detect'!E:I,5,FALSE)</f>
        <v>#N/A</v>
      </c>
      <c r="I138" s="121" t="e">
        <f>IF(VLOOKUP(E138,'[1]Assessment - Detect'!$E:$J,6,FALSE)=0,"",VLOOKUP(E138,'[1]Assessment - Detect'!$E:$J,6,FALSE))</f>
        <v>#N/A</v>
      </c>
      <c r="J138" s="29"/>
      <c r="K138" s="29"/>
      <c r="L138" s="29"/>
      <c r="M138" s="29"/>
      <c r="N138" s="29"/>
      <c r="O138" s="29"/>
      <c r="P138" s="29"/>
      <c r="Q138" s="29"/>
      <c r="R138" s="29"/>
      <c r="S138" s="29"/>
      <c r="T138" s="57"/>
      <c r="U138" s="91" t="e">
        <f>IF(AND(C138&gt;4,VLOOKUP(B138,'[1]Assessment - Detect'!E:AA,23,FALSE)&lt;&gt;7),LEFT(B138,3),"")</f>
        <v>#N/A</v>
      </c>
      <c r="V138" s="91" t="e">
        <f>VLOOKUP(B138,#REF!,5,FALSE)</f>
        <v>#REF!</v>
      </c>
      <c r="W138" s="91">
        <f>IF(VLOOKUP(B138,'[1]Assessment - Detect'!B:AA,26,FALSE)=7,0,1)</f>
        <v>1</v>
      </c>
      <c r="X138" s="91" t="e">
        <f t="shared" si="10"/>
        <v>#REF!</v>
      </c>
      <c r="Y138" s="57"/>
      <c r="Z138" s="57"/>
    </row>
    <row r="139" spans="1:26" s="55" customFormat="1" ht="30" customHeight="1" x14ac:dyDescent="0.2">
      <c r="A139" s="27">
        <v>393</v>
      </c>
      <c r="B139" s="28" t="str">
        <f t="shared" si="8"/>
        <v>2.3.07</v>
      </c>
      <c r="C139" s="29">
        <f t="shared" si="9"/>
        <v>4</v>
      </c>
      <c r="D139" s="3"/>
      <c r="E139" s="121"/>
      <c r="F139" s="31"/>
      <c r="G139" s="74"/>
      <c r="H139" s="74"/>
      <c r="I139" s="121"/>
      <c r="J139" s="29"/>
      <c r="K139" s="29"/>
      <c r="L139" s="29"/>
      <c r="M139" s="29"/>
      <c r="N139" s="29"/>
      <c r="O139" s="29"/>
      <c r="P139" s="29"/>
      <c r="Q139" s="29"/>
      <c r="R139" s="29"/>
      <c r="S139" s="29"/>
      <c r="T139" s="57"/>
      <c r="U139" s="91" t="e">
        <f>IF(AND(C139&gt;4,VLOOKUP(B139,'[1]Assessment - Detect'!E:AA,23,FALSE)&lt;&gt;7),LEFT(B139,3),"")</f>
        <v>#N/A</v>
      </c>
      <c r="V139" s="91" t="e">
        <f>VLOOKUP(B139,#REF!,5,FALSE)</f>
        <v>#REF!</v>
      </c>
      <c r="W139" s="91">
        <f>IF(VLOOKUP(B139,'[1]Assessment - Detect'!B:AA,26,FALSE)=7,0,1)</f>
        <v>1</v>
      </c>
      <c r="X139" s="91" t="e">
        <f t="shared" si="10"/>
        <v>#REF!</v>
      </c>
      <c r="Y139" s="57"/>
      <c r="Z139" s="57"/>
    </row>
    <row r="140" spans="1:26" s="55" customFormat="1" ht="30" customHeight="1" x14ac:dyDescent="0.2">
      <c r="A140" s="27">
        <v>394</v>
      </c>
      <c r="B140" s="28" t="str">
        <f t="shared" si="8"/>
        <v>2.3.07a</v>
      </c>
      <c r="C140" s="29">
        <f t="shared" si="9"/>
        <v>6</v>
      </c>
      <c r="D140" s="3"/>
      <c r="E140" s="121"/>
      <c r="F140" s="36"/>
      <c r="G140" s="74" t="e">
        <f>VLOOKUP(E140,'[1]Assessment - Detect'!E:AB,24,FALSE)</f>
        <v>#N/A</v>
      </c>
      <c r="H140" s="74" t="e">
        <f>VLOOKUP(E140,'[1]Assessment - Detect'!E:I,5,FALSE)</f>
        <v>#N/A</v>
      </c>
      <c r="I140" s="121" t="e">
        <f>IF(VLOOKUP(E140,'[1]Assessment - Detect'!$E:$J,6,FALSE)=0,"",VLOOKUP(E140,'[1]Assessment - Detect'!$E:$J,6,FALSE))</f>
        <v>#N/A</v>
      </c>
      <c r="J140" s="29"/>
      <c r="K140" s="29"/>
      <c r="L140" s="29"/>
      <c r="M140" s="29"/>
      <c r="N140" s="29"/>
      <c r="O140" s="29"/>
      <c r="P140" s="29"/>
      <c r="Q140" s="29"/>
      <c r="R140" s="29"/>
      <c r="S140" s="29"/>
      <c r="T140" s="57"/>
      <c r="U140" s="91" t="e">
        <f>IF(AND(C140&gt;4,VLOOKUP(B140,'[1]Assessment - Detect'!E:AA,23,FALSE)&lt;&gt;7),LEFT(B140,3),"")</f>
        <v>#N/A</v>
      </c>
      <c r="V140" s="91" t="e">
        <f>VLOOKUP(B140,#REF!,5,FALSE)</f>
        <v>#REF!</v>
      </c>
      <c r="W140" s="91">
        <f>IF(VLOOKUP(B140,'[1]Assessment - Detect'!B:AA,26,FALSE)=7,0,1)</f>
        <v>1</v>
      </c>
      <c r="X140" s="91" t="e">
        <f t="shared" si="10"/>
        <v>#REF!</v>
      </c>
      <c r="Y140" s="57"/>
      <c r="Z140" s="57"/>
    </row>
    <row r="141" spans="1:26" s="55" customFormat="1" ht="30" customHeight="1" x14ac:dyDescent="0.2">
      <c r="A141" s="27">
        <v>395</v>
      </c>
      <c r="B141" s="28" t="str">
        <f t="shared" si="8"/>
        <v>2.3.07b</v>
      </c>
      <c r="C141" s="29">
        <f t="shared" si="9"/>
        <v>6</v>
      </c>
      <c r="D141" s="3"/>
      <c r="E141" s="121"/>
      <c r="F141" s="36"/>
      <c r="G141" s="74" t="e">
        <f>VLOOKUP(E141,'[1]Assessment - Detect'!E:AB,24,FALSE)</f>
        <v>#N/A</v>
      </c>
      <c r="H141" s="74" t="e">
        <f>VLOOKUP(E141,'[1]Assessment - Detect'!E:I,5,FALSE)</f>
        <v>#N/A</v>
      </c>
      <c r="I141" s="121" t="e">
        <f>IF(VLOOKUP(E141,'[1]Assessment - Detect'!$E:$J,6,FALSE)=0,"",VLOOKUP(E141,'[1]Assessment - Detect'!$E:$J,6,FALSE))</f>
        <v>#N/A</v>
      </c>
      <c r="J141" s="29"/>
      <c r="K141" s="29"/>
      <c r="L141" s="29"/>
      <c r="M141" s="29"/>
      <c r="N141" s="29"/>
      <c r="O141" s="29"/>
      <c r="P141" s="29"/>
      <c r="Q141" s="29"/>
      <c r="R141" s="29"/>
      <c r="S141" s="29"/>
      <c r="T141" s="57"/>
      <c r="U141" s="91" t="e">
        <f>IF(AND(C141&gt;4,VLOOKUP(B141,'[1]Assessment - Detect'!E:AA,23,FALSE)&lt;&gt;7),LEFT(B141,3),"")</f>
        <v>#N/A</v>
      </c>
      <c r="V141" s="91" t="e">
        <f>VLOOKUP(B141,#REF!,5,FALSE)</f>
        <v>#REF!</v>
      </c>
      <c r="W141" s="91">
        <f>IF(VLOOKUP(B141,'[1]Assessment - Detect'!B:AA,26,FALSE)=7,0,1)</f>
        <v>1</v>
      </c>
      <c r="X141" s="91" t="e">
        <f t="shared" si="10"/>
        <v>#REF!</v>
      </c>
      <c r="Y141" s="57"/>
      <c r="Z141" s="57"/>
    </row>
    <row r="142" spans="1:26" s="55" customFormat="1" ht="19" x14ac:dyDescent="0.2">
      <c r="A142" s="27">
        <v>396</v>
      </c>
      <c r="B142" s="28" t="str">
        <f t="shared" si="8"/>
        <v>2.3.08</v>
      </c>
      <c r="C142" s="29">
        <f t="shared" si="9"/>
        <v>5</v>
      </c>
      <c r="D142" s="3"/>
      <c r="E142" s="121"/>
      <c r="F142" s="31"/>
      <c r="G142" s="74" t="e">
        <f>VLOOKUP(E142,'[1]Assessment - Detect'!E:AB,24,FALSE)</f>
        <v>#N/A</v>
      </c>
      <c r="H142" s="74" t="e">
        <f>VLOOKUP(E142,'[1]Assessment - Detect'!E:I,5,FALSE)</f>
        <v>#N/A</v>
      </c>
      <c r="I142" s="121" t="e">
        <f>IF(VLOOKUP(E142,'[1]Assessment - Detect'!$E:$J,6,FALSE)=0,"",VLOOKUP(E142,'[1]Assessment - Detect'!$E:$J,6,FALSE))</f>
        <v>#N/A</v>
      </c>
      <c r="J142" s="29"/>
      <c r="K142" s="29"/>
      <c r="L142" s="29"/>
      <c r="M142" s="29"/>
      <c r="N142" s="29"/>
      <c r="O142" s="29"/>
      <c r="P142" s="29"/>
      <c r="Q142" s="29"/>
      <c r="R142" s="29"/>
      <c r="S142" s="29"/>
      <c r="T142" s="57"/>
      <c r="U142" s="91" t="e">
        <f>IF(AND(C142&gt;4,VLOOKUP(B142,'[1]Assessment - Detect'!E:AA,23,FALSE)&lt;&gt;7),LEFT(B142,3),"")</f>
        <v>#N/A</v>
      </c>
      <c r="V142" s="91" t="e">
        <f>VLOOKUP(B142,#REF!,5,FALSE)</f>
        <v>#REF!</v>
      </c>
      <c r="W142" s="91">
        <f>IF(VLOOKUP(B142,'[1]Assessment - Detect'!B:AA,26,FALSE)=7,0,1)</f>
        <v>1</v>
      </c>
      <c r="X142" s="91" t="e">
        <f t="shared" si="10"/>
        <v>#REF!</v>
      </c>
      <c r="Y142" s="57"/>
      <c r="Z142" s="57"/>
    </row>
    <row r="143" spans="1:26" s="55" customFormat="1" ht="30" customHeight="1" x14ac:dyDescent="0.2">
      <c r="A143" s="27">
        <v>397</v>
      </c>
      <c r="B143" s="28" t="str">
        <f t="shared" si="8"/>
        <v>2.3.09</v>
      </c>
      <c r="C143" s="29">
        <f t="shared" si="9"/>
        <v>4</v>
      </c>
      <c r="D143" s="3"/>
      <c r="E143" s="121"/>
      <c r="F143" s="31"/>
      <c r="G143" s="74"/>
      <c r="H143" s="74"/>
      <c r="I143" s="121"/>
      <c r="J143" s="29"/>
      <c r="K143" s="29"/>
      <c r="L143" s="29"/>
      <c r="M143" s="29"/>
      <c r="N143" s="29"/>
      <c r="O143" s="29"/>
      <c r="P143" s="29"/>
      <c r="Q143" s="29"/>
      <c r="R143" s="29"/>
      <c r="S143" s="29"/>
      <c r="T143" s="57"/>
      <c r="U143" s="91" t="e">
        <f>IF(AND(C143&gt;4,VLOOKUP(B143,'[1]Assessment - Detect'!E:AA,23,FALSE)&lt;&gt;7),LEFT(B143,3),"")</f>
        <v>#N/A</v>
      </c>
      <c r="V143" s="91" t="e">
        <f>VLOOKUP(B143,#REF!,5,FALSE)</f>
        <v>#REF!</v>
      </c>
      <c r="W143" s="91">
        <f>IF(VLOOKUP(B143,'[1]Assessment - Detect'!B:AA,26,FALSE)=7,0,1)</f>
        <v>1</v>
      </c>
      <c r="X143" s="91" t="e">
        <f t="shared" si="10"/>
        <v>#REF!</v>
      </c>
      <c r="Y143" s="57"/>
      <c r="Z143" s="57"/>
    </row>
    <row r="144" spans="1:26" s="55" customFormat="1" ht="30" customHeight="1" x14ac:dyDescent="0.2">
      <c r="A144" s="27">
        <v>398</v>
      </c>
      <c r="B144" s="28" t="str">
        <f t="shared" si="8"/>
        <v>2.3.09a</v>
      </c>
      <c r="C144" s="29">
        <f t="shared" si="9"/>
        <v>6</v>
      </c>
      <c r="D144" s="3"/>
      <c r="E144" s="121"/>
      <c r="F144" s="36"/>
      <c r="G144" s="74" t="e">
        <f>VLOOKUP(E144,'[1]Assessment - Detect'!E:AB,24,FALSE)</f>
        <v>#N/A</v>
      </c>
      <c r="H144" s="74" t="e">
        <f>VLOOKUP(E144,'[1]Assessment - Detect'!E:I,5,FALSE)</f>
        <v>#N/A</v>
      </c>
      <c r="I144" s="121" t="e">
        <f>IF(VLOOKUP(E144,'[1]Assessment - Detect'!$E:$J,6,FALSE)=0,"",VLOOKUP(E144,'[1]Assessment - Detect'!$E:$J,6,FALSE))</f>
        <v>#N/A</v>
      </c>
      <c r="J144" s="29"/>
      <c r="K144" s="29"/>
      <c r="L144" s="29"/>
      <c r="M144" s="29"/>
      <c r="N144" s="29"/>
      <c r="O144" s="29"/>
      <c r="P144" s="29"/>
      <c r="Q144" s="29"/>
      <c r="R144" s="29"/>
      <c r="S144" s="29"/>
      <c r="T144" s="57"/>
      <c r="U144" s="91" t="e">
        <f>IF(AND(C144&gt;4,VLOOKUP(B144,'[1]Assessment - Detect'!E:AA,23,FALSE)&lt;&gt;7),LEFT(B144,3),"")</f>
        <v>#N/A</v>
      </c>
      <c r="V144" s="91" t="e">
        <f>VLOOKUP(B144,#REF!,5,FALSE)</f>
        <v>#REF!</v>
      </c>
      <c r="W144" s="91">
        <f>IF(VLOOKUP(B144,'[1]Assessment - Detect'!B:AA,26,FALSE)=7,0,1)</f>
        <v>1</v>
      </c>
      <c r="X144" s="91" t="e">
        <f t="shared" si="10"/>
        <v>#REF!</v>
      </c>
      <c r="Y144" s="57"/>
      <c r="Z144" s="57"/>
    </row>
    <row r="145" spans="1:26" s="55" customFormat="1" ht="30" customHeight="1" x14ac:dyDescent="0.2">
      <c r="A145" s="27">
        <v>399</v>
      </c>
      <c r="B145" s="28" t="str">
        <f t="shared" si="8"/>
        <v>2.3.09b</v>
      </c>
      <c r="C145" s="29">
        <f t="shared" si="9"/>
        <v>6</v>
      </c>
      <c r="D145" s="3"/>
      <c r="E145" s="121"/>
      <c r="F145" s="36"/>
      <c r="G145" s="74" t="e">
        <f>VLOOKUP(E145,'[1]Assessment - Detect'!E:AB,24,FALSE)</f>
        <v>#N/A</v>
      </c>
      <c r="H145" s="74" t="e">
        <f>VLOOKUP(E145,'[1]Assessment - Detect'!E:I,5,FALSE)</f>
        <v>#N/A</v>
      </c>
      <c r="I145" s="121" t="e">
        <f>IF(VLOOKUP(E145,'[1]Assessment - Detect'!$E:$J,6,FALSE)=0,"",VLOOKUP(E145,'[1]Assessment - Detect'!$E:$J,6,FALSE))</f>
        <v>#N/A</v>
      </c>
      <c r="J145" s="29"/>
      <c r="K145" s="29"/>
      <c r="L145" s="29"/>
      <c r="M145" s="29"/>
      <c r="N145" s="29"/>
      <c r="O145" s="29"/>
      <c r="P145" s="29"/>
      <c r="Q145" s="29"/>
      <c r="R145" s="29"/>
      <c r="S145" s="29"/>
      <c r="T145" s="57"/>
      <c r="U145" s="91" t="e">
        <f>IF(AND(C145&gt;4,VLOOKUP(B145,'[1]Assessment - Detect'!E:AA,23,FALSE)&lt;&gt;7),LEFT(B145,3),"")</f>
        <v>#N/A</v>
      </c>
      <c r="V145" s="91" t="e">
        <f>VLOOKUP(B145,#REF!,5,FALSE)</f>
        <v>#REF!</v>
      </c>
      <c r="W145" s="91">
        <f>IF(VLOOKUP(B145,'[1]Assessment - Detect'!B:AA,26,FALSE)=7,0,1)</f>
        <v>1</v>
      </c>
      <c r="X145" s="91" t="e">
        <f t="shared" si="10"/>
        <v>#REF!</v>
      </c>
      <c r="Y145" s="57"/>
      <c r="Z145" s="57"/>
    </row>
    <row r="146" spans="1:26" s="55" customFormat="1" ht="19" x14ac:dyDescent="0.2">
      <c r="A146" s="27">
        <v>400</v>
      </c>
      <c r="B146" s="28" t="str">
        <f t="shared" si="8"/>
        <v>2.3.09c</v>
      </c>
      <c r="C146" s="29">
        <f t="shared" si="9"/>
        <v>6</v>
      </c>
      <c r="D146" s="3"/>
      <c r="E146" s="121"/>
      <c r="F146" s="36"/>
      <c r="G146" s="74" t="e">
        <f>VLOOKUP(E146,'[1]Assessment - Detect'!E:AB,24,FALSE)</f>
        <v>#N/A</v>
      </c>
      <c r="H146" s="74" t="e">
        <f>VLOOKUP(E146,'[1]Assessment - Detect'!E:I,5,FALSE)</f>
        <v>#N/A</v>
      </c>
      <c r="I146" s="121" t="e">
        <f>IF(VLOOKUP(E146,'[1]Assessment - Detect'!$E:$J,6,FALSE)=0,"",VLOOKUP(E146,'[1]Assessment - Detect'!$E:$J,6,FALSE))</f>
        <v>#N/A</v>
      </c>
      <c r="J146" s="29"/>
      <c r="K146" s="29"/>
      <c r="L146" s="29"/>
      <c r="M146" s="29"/>
      <c r="N146" s="29"/>
      <c r="O146" s="29"/>
      <c r="P146" s="29"/>
      <c r="Q146" s="29"/>
      <c r="R146" s="29"/>
      <c r="S146" s="29"/>
      <c r="T146" s="57"/>
      <c r="U146" s="91" t="e">
        <f>IF(AND(C146&gt;4,VLOOKUP(B146,'[1]Assessment - Detect'!E:AA,23,FALSE)&lt;&gt;7),LEFT(B146,3),"")</f>
        <v>#N/A</v>
      </c>
      <c r="V146" s="91" t="e">
        <f>VLOOKUP(B146,#REF!,5,FALSE)</f>
        <v>#REF!</v>
      </c>
      <c r="W146" s="91">
        <f>IF(VLOOKUP(B146,'[1]Assessment - Detect'!B:AA,26,FALSE)=7,0,1)</f>
        <v>1</v>
      </c>
      <c r="X146" s="91" t="e">
        <f t="shared" si="10"/>
        <v>#REF!</v>
      </c>
      <c r="Y146" s="57"/>
      <c r="Z146" s="57"/>
    </row>
    <row r="147" spans="1:26" s="55" customFormat="1" ht="30" customHeight="1" x14ac:dyDescent="0.2">
      <c r="A147" s="27">
        <v>401</v>
      </c>
      <c r="B147" s="28" t="str">
        <f t="shared" si="8"/>
        <v>2.3.09d</v>
      </c>
      <c r="C147" s="29">
        <f t="shared" si="9"/>
        <v>6</v>
      </c>
      <c r="D147" s="3"/>
      <c r="E147" s="121"/>
      <c r="F147" s="36"/>
      <c r="G147" s="74" t="e">
        <f>VLOOKUP(E147,'[1]Assessment - Detect'!E:AB,24,FALSE)</f>
        <v>#N/A</v>
      </c>
      <c r="H147" s="74" t="e">
        <f>VLOOKUP(E147,'[1]Assessment - Detect'!E:I,5,FALSE)</f>
        <v>#N/A</v>
      </c>
      <c r="I147" s="121" t="e">
        <f>IF(VLOOKUP(E147,'[1]Assessment - Detect'!$E:$J,6,FALSE)=0,"",VLOOKUP(E147,'[1]Assessment - Detect'!$E:$J,6,FALSE))</f>
        <v>#N/A</v>
      </c>
      <c r="J147" s="29"/>
      <c r="K147" s="29"/>
      <c r="L147" s="29"/>
      <c r="M147" s="29"/>
      <c r="N147" s="29"/>
      <c r="O147" s="29"/>
      <c r="P147" s="29"/>
      <c r="Q147" s="29"/>
      <c r="R147" s="29"/>
      <c r="S147" s="29"/>
      <c r="T147" s="57"/>
      <c r="U147" s="91" t="e">
        <f>IF(AND(C147&gt;4,VLOOKUP(B147,'[1]Assessment - Detect'!E:AA,23,FALSE)&lt;&gt;7),LEFT(B147,3),"")</f>
        <v>#N/A</v>
      </c>
      <c r="V147" s="91" t="e">
        <f>VLOOKUP(B147,#REF!,5,FALSE)</f>
        <v>#REF!</v>
      </c>
      <c r="W147" s="91">
        <f>IF(VLOOKUP(B147,'[1]Assessment - Detect'!B:AA,26,FALSE)=7,0,1)</f>
        <v>1</v>
      </c>
      <c r="X147" s="91" t="e">
        <f t="shared" si="10"/>
        <v>#REF!</v>
      </c>
      <c r="Y147" s="57"/>
      <c r="Z147" s="57"/>
    </row>
    <row r="148" spans="1:26" s="55" customFormat="1" ht="19" x14ac:dyDescent="0.2">
      <c r="A148" s="27">
        <v>402</v>
      </c>
      <c r="B148" s="28" t="str">
        <f t="shared" si="8"/>
        <v>2.3.09e</v>
      </c>
      <c r="C148" s="29">
        <f t="shared" si="9"/>
        <v>6</v>
      </c>
      <c r="D148" s="3"/>
      <c r="E148" s="121"/>
      <c r="F148" s="36"/>
      <c r="G148" s="74" t="e">
        <f>VLOOKUP(E148,'[1]Assessment - Detect'!E:AB,24,FALSE)</f>
        <v>#N/A</v>
      </c>
      <c r="H148" s="74" t="e">
        <f>VLOOKUP(E148,'[1]Assessment - Detect'!E:I,5,FALSE)</f>
        <v>#N/A</v>
      </c>
      <c r="I148" s="121" t="e">
        <f>IF(VLOOKUP(E148,'[1]Assessment - Detect'!$E:$J,6,FALSE)=0,"",VLOOKUP(E148,'[1]Assessment - Detect'!$E:$J,6,FALSE))</f>
        <v>#N/A</v>
      </c>
      <c r="J148" s="29"/>
      <c r="K148" s="29"/>
      <c r="L148" s="29"/>
      <c r="M148" s="29"/>
      <c r="N148" s="29"/>
      <c r="O148" s="29"/>
      <c r="P148" s="29"/>
      <c r="Q148" s="29"/>
      <c r="R148" s="29"/>
      <c r="S148" s="29"/>
      <c r="T148" s="57"/>
      <c r="U148" s="91" t="e">
        <f>IF(AND(C148&gt;4,VLOOKUP(B148,'[1]Assessment - Detect'!E:AA,23,FALSE)&lt;&gt;7),LEFT(B148,3),"")</f>
        <v>#N/A</v>
      </c>
      <c r="V148" s="91" t="e">
        <f>VLOOKUP(B148,#REF!,5,FALSE)</f>
        <v>#REF!</v>
      </c>
      <c r="W148" s="91">
        <f>IF(VLOOKUP(B148,'[1]Assessment - Detect'!B:AA,26,FALSE)=7,0,1)</f>
        <v>1</v>
      </c>
      <c r="X148" s="91" t="e">
        <f t="shared" si="10"/>
        <v>#REF!</v>
      </c>
      <c r="Y148" s="57"/>
      <c r="Z148" s="57"/>
    </row>
    <row r="149" spans="1:26" s="55" customFormat="1" ht="19" x14ac:dyDescent="0.2">
      <c r="A149" s="27">
        <v>403</v>
      </c>
      <c r="B149" s="28" t="str">
        <f t="shared" si="8"/>
        <v>2.3.09f</v>
      </c>
      <c r="C149" s="29">
        <f t="shared" si="9"/>
        <v>6</v>
      </c>
      <c r="D149" s="3"/>
      <c r="E149" s="121"/>
      <c r="F149" s="36"/>
      <c r="G149" s="74" t="e">
        <f>VLOOKUP(E149,'[1]Assessment - Detect'!E:AB,24,FALSE)</f>
        <v>#N/A</v>
      </c>
      <c r="H149" s="74" t="e">
        <f>VLOOKUP(E149,'[1]Assessment - Detect'!E:I,5,FALSE)</f>
        <v>#N/A</v>
      </c>
      <c r="I149" s="121" t="e">
        <f>IF(VLOOKUP(E149,'[1]Assessment - Detect'!$E:$J,6,FALSE)=0,"",VLOOKUP(E149,'[1]Assessment - Detect'!$E:$J,6,FALSE))</f>
        <v>#N/A</v>
      </c>
      <c r="J149" s="29"/>
      <c r="K149" s="29"/>
      <c r="L149" s="29"/>
      <c r="M149" s="29"/>
      <c r="N149" s="29"/>
      <c r="O149" s="29"/>
      <c r="P149" s="29"/>
      <c r="Q149" s="29"/>
      <c r="R149" s="29"/>
      <c r="S149" s="29"/>
      <c r="T149" s="57"/>
      <c r="U149" s="91" t="e">
        <f>IF(AND(C149&gt;4,VLOOKUP(B149,'[1]Assessment - Detect'!E:AA,23,FALSE)&lt;&gt;7),LEFT(B149,3),"")</f>
        <v>#N/A</v>
      </c>
      <c r="V149" s="91" t="e">
        <f>VLOOKUP(B149,#REF!,5,FALSE)</f>
        <v>#REF!</v>
      </c>
      <c r="W149" s="91">
        <f>IF(VLOOKUP(B149,'[1]Assessment - Detect'!B:AA,26,FALSE)=7,0,1)</f>
        <v>1</v>
      </c>
      <c r="X149" s="91" t="e">
        <f t="shared" si="10"/>
        <v>#REF!</v>
      </c>
      <c r="Y149" s="57"/>
      <c r="Z149" s="57"/>
    </row>
    <row r="150" spans="1:26" s="55" customFormat="1" ht="30" customHeight="1" x14ac:dyDescent="0.2">
      <c r="A150" s="27">
        <v>404</v>
      </c>
      <c r="B150" s="28" t="str">
        <f t="shared" si="8"/>
        <v>2.3.10</v>
      </c>
      <c r="C150" s="29">
        <f t="shared" si="9"/>
        <v>4</v>
      </c>
      <c r="D150" s="3"/>
      <c r="E150" s="121"/>
      <c r="F150" s="31"/>
      <c r="G150" s="74"/>
      <c r="H150" s="74"/>
      <c r="I150" s="121"/>
      <c r="J150" s="29"/>
      <c r="K150" s="29"/>
      <c r="L150" s="29"/>
      <c r="M150" s="29"/>
      <c r="N150" s="29"/>
      <c r="O150" s="29"/>
      <c r="P150" s="29"/>
      <c r="Q150" s="29"/>
      <c r="R150" s="29"/>
      <c r="S150" s="29"/>
      <c r="T150" s="57"/>
      <c r="U150" s="91" t="e">
        <f>IF(AND(C150&gt;4,VLOOKUP(B150,'[1]Assessment - Detect'!E:AA,23,FALSE)&lt;&gt;7),LEFT(B150,3),"")</f>
        <v>#N/A</v>
      </c>
      <c r="V150" s="91" t="e">
        <f>VLOOKUP(B150,#REF!,5,FALSE)</f>
        <v>#REF!</v>
      </c>
      <c r="W150" s="91">
        <f>IF(VLOOKUP(B150,'[1]Assessment - Detect'!B:AA,26,FALSE)=7,0,1)</f>
        <v>1</v>
      </c>
      <c r="X150" s="91" t="e">
        <f t="shared" si="10"/>
        <v>#REF!</v>
      </c>
      <c r="Y150" s="57"/>
      <c r="Z150" s="57"/>
    </row>
    <row r="151" spans="1:26" s="55" customFormat="1" ht="19" x14ac:dyDescent="0.2">
      <c r="A151" s="27">
        <v>405</v>
      </c>
      <c r="B151" s="28" t="str">
        <f t="shared" si="8"/>
        <v>2.3.10a</v>
      </c>
      <c r="C151" s="29">
        <f t="shared" si="9"/>
        <v>6</v>
      </c>
      <c r="D151" s="3"/>
      <c r="E151" s="121"/>
      <c r="F151" s="36"/>
      <c r="G151" s="74" t="e">
        <f>VLOOKUP(E151,'[1]Assessment - Detect'!E:AB,24,FALSE)</f>
        <v>#N/A</v>
      </c>
      <c r="H151" s="74" t="e">
        <f>VLOOKUP(E151,'[1]Assessment - Detect'!E:I,5,FALSE)</f>
        <v>#N/A</v>
      </c>
      <c r="I151" s="121" t="e">
        <f>IF(VLOOKUP(E151,'[1]Assessment - Detect'!$E:$J,6,FALSE)=0,"",VLOOKUP(E151,'[1]Assessment - Detect'!$E:$J,6,FALSE))</f>
        <v>#N/A</v>
      </c>
      <c r="J151" s="29"/>
      <c r="K151" s="29"/>
      <c r="L151" s="29"/>
      <c r="M151" s="29"/>
      <c r="N151" s="29"/>
      <c r="O151" s="29"/>
      <c r="P151" s="29"/>
      <c r="Q151" s="29"/>
      <c r="R151" s="29"/>
      <c r="S151" s="29"/>
      <c r="T151" s="57"/>
      <c r="U151" s="91" t="e">
        <f>IF(AND(C151&gt;4,VLOOKUP(B151,'[1]Assessment - Detect'!E:AA,23,FALSE)&lt;&gt;7),LEFT(B151,3),"")</f>
        <v>#N/A</v>
      </c>
      <c r="V151" s="91" t="e">
        <f>VLOOKUP(B151,#REF!,5,FALSE)</f>
        <v>#REF!</v>
      </c>
      <c r="W151" s="91">
        <f>IF(VLOOKUP(B151,'[1]Assessment - Detect'!B:AA,26,FALSE)=7,0,1)</f>
        <v>1</v>
      </c>
      <c r="X151" s="91" t="e">
        <f t="shared" si="10"/>
        <v>#REF!</v>
      </c>
      <c r="Y151" s="57"/>
      <c r="Z151" s="57"/>
    </row>
    <row r="152" spans="1:26" s="55" customFormat="1" ht="19" x14ac:dyDescent="0.2">
      <c r="A152" s="27">
        <v>406</v>
      </c>
      <c r="B152" s="28" t="str">
        <f t="shared" si="8"/>
        <v>2.3.10b</v>
      </c>
      <c r="C152" s="29">
        <f t="shared" si="9"/>
        <v>6</v>
      </c>
      <c r="D152" s="3"/>
      <c r="E152" s="121"/>
      <c r="F152" s="36"/>
      <c r="G152" s="74" t="e">
        <f>VLOOKUP(E152,'[1]Assessment - Detect'!E:AB,24,FALSE)</f>
        <v>#N/A</v>
      </c>
      <c r="H152" s="74" t="e">
        <f>VLOOKUP(E152,'[1]Assessment - Detect'!E:I,5,FALSE)</f>
        <v>#N/A</v>
      </c>
      <c r="I152" s="121" t="e">
        <f>IF(VLOOKUP(E152,'[1]Assessment - Detect'!$E:$J,6,FALSE)=0,"",VLOOKUP(E152,'[1]Assessment - Detect'!$E:$J,6,FALSE))</f>
        <v>#N/A</v>
      </c>
      <c r="J152" s="29"/>
      <c r="K152" s="29"/>
      <c r="L152" s="29"/>
      <c r="M152" s="29"/>
      <c r="N152" s="29"/>
      <c r="O152" s="29"/>
      <c r="P152" s="29"/>
      <c r="Q152" s="29"/>
      <c r="R152" s="29"/>
      <c r="S152" s="29"/>
      <c r="T152" s="57"/>
      <c r="U152" s="91" t="e">
        <f>IF(AND(C152&gt;4,VLOOKUP(B152,'[1]Assessment - Detect'!E:AA,23,FALSE)&lt;&gt;7),LEFT(B152,3),"")</f>
        <v>#N/A</v>
      </c>
      <c r="V152" s="91" t="e">
        <f>VLOOKUP(B152,#REF!,5,FALSE)</f>
        <v>#REF!</v>
      </c>
      <c r="W152" s="91">
        <f>IF(VLOOKUP(B152,'[1]Assessment - Detect'!B:AA,26,FALSE)=7,0,1)</f>
        <v>1</v>
      </c>
      <c r="X152" s="91" t="e">
        <f t="shared" si="10"/>
        <v>#REF!</v>
      </c>
      <c r="Y152" s="57"/>
      <c r="Z152" s="57"/>
    </row>
    <row r="153" spans="1:26" s="55" customFormat="1" ht="30" customHeight="1" x14ac:dyDescent="0.2">
      <c r="A153" s="27">
        <v>407</v>
      </c>
      <c r="B153" s="28" t="str">
        <f t="shared" si="8"/>
        <v>2.3.10c</v>
      </c>
      <c r="C153" s="29">
        <f t="shared" si="9"/>
        <v>6</v>
      </c>
      <c r="D153" s="3"/>
      <c r="E153" s="121"/>
      <c r="F153" s="36"/>
      <c r="G153" s="74" t="e">
        <f>VLOOKUP(E153,'[1]Assessment - Detect'!E:AB,24,FALSE)</f>
        <v>#N/A</v>
      </c>
      <c r="H153" s="74" t="e">
        <f>VLOOKUP(E153,'[1]Assessment - Detect'!E:I,5,FALSE)</f>
        <v>#N/A</v>
      </c>
      <c r="I153" s="121" t="e">
        <f>IF(VLOOKUP(E153,'[1]Assessment - Detect'!$E:$J,6,FALSE)=0,"",VLOOKUP(E153,'[1]Assessment - Detect'!$E:$J,6,FALSE))</f>
        <v>#N/A</v>
      </c>
      <c r="J153" s="29"/>
      <c r="K153" s="29"/>
      <c r="L153" s="29"/>
      <c r="M153" s="29"/>
      <c r="N153" s="29"/>
      <c r="O153" s="29"/>
      <c r="P153" s="29"/>
      <c r="Q153" s="29"/>
      <c r="R153" s="29"/>
      <c r="S153" s="29"/>
      <c r="T153" s="57"/>
      <c r="U153" s="91" t="e">
        <f>IF(AND(C153&gt;4,VLOOKUP(B153,'[1]Assessment - Detect'!E:AA,23,FALSE)&lt;&gt;7),LEFT(B153,3),"")</f>
        <v>#N/A</v>
      </c>
      <c r="V153" s="91" t="e">
        <f>VLOOKUP(B153,#REF!,5,FALSE)</f>
        <v>#REF!</v>
      </c>
      <c r="W153" s="91">
        <f>IF(VLOOKUP(B153,'[1]Assessment - Detect'!B:AA,26,FALSE)=7,0,1)</f>
        <v>1</v>
      </c>
      <c r="X153" s="91" t="e">
        <f t="shared" si="10"/>
        <v>#REF!</v>
      </c>
      <c r="Y153" s="57"/>
      <c r="Z153" s="57"/>
    </row>
    <row r="154" spans="1:26" s="55" customFormat="1" ht="19" x14ac:dyDescent="0.2">
      <c r="A154" s="27">
        <v>408</v>
      </c>
      <c r="B154" s="28" t="str">
        <f t="shared" si="8"/>
        <v>2.3.10d</v>
      </c>
      <c r="C154" s="29">
        <f t="shared" si="9"/>
        <v>6</v>
      </c>
      <c r="D154" s="3"/>
      <c r="E154" s="121"/>
      <c r="F154" s="36"/>
      <c r="G154" s="74" t="e">
        <f>VLOOKUP(E154,'[1]Assessment - Detect'!E:AB,24,FALSE)</f>
        <v>#N/A</v>
      </c>
      <c r="H154" s="74" t="e">
        <f>VLOOKUP(E154,'[1]Assessment - Detect'!E:I,5,FALSE)</f>
        <v>#N/A</v>
      </c>
      <c r="I154" s="121" t="e">
        <f>IF(VLOOKUP(E154,'[1]Assessment - Detect'!$E:$J,6,FALSE)=0,"",VLOOKUP(E154,'[1]Assessment - Detect'!$E:$J,6,FALSE))</f>
        <v>#N/A</v>
      </c>
      <c r="J154" s="29"/>
      <c r="K154" s="29"/>
      <c r="L154" s="29"/>
      <c r="M154" s="29"/>
      <c r="N154" s="29"/>
      <c r="O154" s="29"/>
      <c r="P154" s="29"/>
      <c r="Q154" s="29"/>
      <c r="R154" s="29"/>
      <c r="S154" s="29"/>
      <c r="T154" s="57"/>
      <c r="U154" s="91" t="e">
        <f>IF(AND(C154&gt;4,VLOOKUP(B154,'[1]Assessment - Detect'!E:AA,23,FALSE)&lt;&gt;7),LEFT(B154,3),"")</f>
        <v>#N/A</v>
      </c>
      <c r="V154" s="91" t="e">
        <f>VLOOKUP(B154,#REF!,5,FALSE)</f>
        <v>#REF!</v>
      </c>
      <c r="W154" s="91">
        <f>IF(VLOOKUP(B154,'[1]Assessment - Detect'!B:AA,26,FALSE)=7,0,1)</f>
        <v>1</v>
      </c>
      <c r="X154" s="91" t="e">
        <f t="shared" si="10"/>
        <v>#REF!</v>
      </c>
      <c r="Y154" s="57"/>
      <c r="Z154" s="57"/>
    </row>
    <row r="155" spans="1:26" s="55" customFormat="1" ht="30" customHeight="1" x14ac:dyDescent="0.2">
      <c r="A155" s="27">
        <v>409</v>
      </c>
      <c r="B155" s="28" t="str">
        <f t="shared" si="8"/>
        <v>2.3.10e</v>
      </c>
      <c r="C155" s="29">
        <f t="shared" si="9"/>
        <v>6</v>
      </c>
      <c r="D155" s="3"/>
      <c r="E155" s="121"/>
      <c r="F155" s="36"/>
      <c r="G155" s="74" t="e">
        <f>VLOOKUP(E155,'[1]Assessment - Detect'!E:AB,24,FALSE)</f>
        <v>#N/A</v>
      </c>
      <c r="H155" s="74" t="e">
        <f>VLOOKUP(E155,'[1]Assessment - Detect'!E:I,5,FALSE)</f>
        <v>#N/A</v>
      </c>
      <c r="I155" s="121" t="e">
        <f>IF(VLOOKUP(E155,'[1]Assessment - Detect'!$E:$J,6,FALSE)=0,"",VLOOKUP(E155,'[1]Assessment - Detect'!$E:$J,6,FALSE))</f>
        <v>#N/A</v>
      </c>
      <c r="J155" s="29"/>
      <c r="K155" s="29"/>
      <c r="L155" s="29"/>
      <c r="M155" s="29"/>
      <c r="N155" s="29"/>
      <c r="O155" s="29"/>
      <c r="P155" s="29"/>
      <c r="Q155" s="29"/>
      <c r="R155" s="29"/>
      <c r="S155" s="29"/>
      <c r="T155" s="57"/>
      <c r="U155" s="91" t="e">
        <f>IF(AND(C155&gt;4,VLOOKUP(B155,'[1]Assessment - Detect'!E:AA,23,FALSE)&lt;&gt;7),LEFT(B155,3),"")</f>
        <v>#N/A</v>
      </c>
      <c r="V155" s="91" t="e">
        <f>VLOOKUP(B155,#REF!,5,FALSE)</f>
        <v>#REF!</v>
      </c>
      <c r="W155" s="91">
        <f>IF(VLOOKUP(B155,'[1]Assessment - Detect'!B:AA,26,FALSE)=7,0,1)</f>
        <v>1</v>
      </c>
      <c r="X155" s="91" t="e">
        <f t="shared" si="10"/>
        <v>#REF!</v>
      </c>
      <c r="Y155" s="57"/>
      <c r="Z155" s="57"/>
    </row>
    <row r="156" spans="1:26" s="55" customFormat="1" ht="19" x14ac:dyDescent="0.2">
      <c r="A156" s="27">
        <v>410</v>
      </c>
      <c r="B156" s="28" t="str">
        <f t="shared" si="8"/>
        <v>2.3.10f</v>
      </c>
      <c r="C156" s="29">
        <f t="shared" si="9"/>
        <v>6</v>
      </c>
      <c r="D156" s="3"/>
      <c r="E156" s="121"/>
      <c r="F156" s="36"/>
      <c r="G156" s="74" t="e">
        <f>VLOOKUP(E156,'[1]Assessment - Detect'!E:AB,24,FALSE)</f>
        <v>#N/A</v>
      </c>
      <c r="H156" s="74" t="e">
        <f>VLOOKUP(E156,'[1]Assessment - Detect'!E:I,5,FALSE)</f>
        <v>#N/A</v>
      </c>
      <c r="I156" s="121" t="e">
        <f>IF(VLOOKUP(E156,'[1]Assessment - Detect'!$E:$J,6,FALSE)=0,"",VLOOKUP(E156,'[1]Assessment - Detect'!$E:$J,6,FALSE))</f>
        <v>#N/A</v>
      </c>
      <c r="J156" s="29"/>
      <c r="K156" s="29"/>
      <c r="L156" s="29"/>
      <c r="M156" s="29"/>
      <c r="N156" s="29"/>
      <c r="O156" s="29"/>
      <c r="P156" s="29"/>
      <c r="Q156" s="29"/>
      <c r="R156" s="29"/>
      <c r="S156" s="29"/>
      <c r="T156" s="57"/>
      <c r="U156" s="91" t="e">
        <f>IF(AND(C156&gt;4,VLOOKUP(B156,'[1]Assessment - Detect'!E:AA,23,FALSE)&lt;&gt;7),LEFT(B156,3),"")</f>
        <v>#N/A</v>
      </c>
      <c r="V156" s="91" t="e">
        <f>VLOOKUP(B156,#REF!,5,FALSE)</f>
        <v>#REF!</v>
      </c>
      <c r="W156" s="91">
        <f>IF(VLOOKUP(B156,'[1]Assessment - Detect'!B:AA,26,FALSE)=7,0,1)</f>
        <v>1</v>
      </c>
      <c r="X156" s="91" t="e">
        <f t="shared" si="10"/>
        <v>#REF!</v>
      </c>
      <c r="Y156" s="57"/>
      <c r="Z156" s="57"/>
    </row>
    <row r="157" spans="1:26" s="55" customFormat="1" ht="19" x14ac:dyDescent="0.2">
      <c r="A157" s="27">
        <v>411</v>
      </c>
      <c r="B157" s="28" t="str">
        <f t="shared" si="8"/>
        <v>2.3.11</v>
      </c>
      <c r="C157" s="29">
        <f t="shared" si="9"/>
        <v>4</v>
      </c>
      <c r="D157" s="3"/>
      <c r="E157" s="121"/>
      <c r="F157" s="31"/>
      <c r="G157" s="74"/>
      <c r="H157" s="74"/>
      <c r="I157" s="121"/>
      <c r="J157" s="29"/>
      <c r="K157" s="29"/>
      <c r="L157" s="29"/>
      <c r="M157" s="29"/>
      <c r="N157" s="29"/>
      <c r="O157" s="29"/>
      <c r="P157" s="29"/>
      <c r="Q157" s="29"/>
      <c r="R157" s="29"/>
      <c r="S157" s="29"/>
      <c r="T157" s="57"/>
      <c r="U157" s="91" t="e">
        <f>IF(AND(C157&gt;4,VLOOKUP(B157,'[1]Assessment - Detect'!E:AA,23,FALSE)&lt;&gt;7),LEFT(B157,3),"")</f>
        <v>#N/A</v>
      </c>
      <c r="V157" s="91" t="e">
        <f>VLOOKUP(B157,#REF!,5,FALSE)</f>
        <v>#REF!</v>
      </c>
      <c r="W157" s="91">
        <f>IF(VLOOKUP(B157,'[1]Assessment - Detect'!B:AA,26,FALSE)=7,0,1)</f>
        <v>1</v>
      </c>
      <c r="X157" s="91" t="e">
        <f t="shared" si="10"/>
        <v>#REF!</v>
      </c>
      <c r="Y157" s="57"/>
      <c r="Z157" s="57"/>
    </row>
    <row r="158" spans="1:26" s="55" customFormat="1" ht="19" x14ac:dyDescent="0.2">
      <c r="A158" s="27">
        <v>412</v>
      </c>
      <c r="B158" s="28" t="str">
        <f t="shared" si="8"/>
        <v>2.3.11a</v>
      </c>
      <c r="C158" s="29">
        <f t="shared" si="9"/>
        <v>6</v>
      </c>
      <c r="D158" s="3"/>
      <c r="E158" s="121"/>
      <c r="F158" s="36"/>
      <c r="G158" s="74" t="e">
        <f>VLOOKUP(E158,'[1]Assessment - Detect'!E:AB,24,FALSE)</f>
        <v>#N/A</v>
      </c>
      <c r="H158" s="74" t="e">
        <f>VLOOKUP(E158,'[1]Assessment - Detect'!E:I,5,FALSE)</f>
        <v>#N/A</v>
      </c>
      <c r="I158" s="121" t="e">
        <f>IF(VLOOKUP(E158,'[1]Assessment - Detect'!$E:$J,6,FALSE)=0,"",VLOOKUP(E158,'[1]Assessment - Detect'!$E:$J,6,FALSE))</f>
        <v>#N/A</v>
      </c>
      <c r="J158" s="29"/>
      <c r="K158" s="29"/>
      <c r="L158" s="29"/>
      <c r="M158" s="29"/>
      <c r="N158" s="29"/>
      <c r="O158" s="29"/>
      <c r="P158" s="29"/>
      <c r="Q158" s="29"/>
      <c r="R158" s="29"/>
      <c r="S158" s="29"/>
      <c r="T158" s="57"/>
      <c r="U158" s="91" t="e">
        <f>IF(AND(C158&gt;4,VLOOKUP(B158,'[1]Assessment - Detect'!E:AA,23,FALSE)&lt;&gt;7),LEFT(B158,3),"")</f>
        <v>#N/A</v>
      </c>
      <c r="V158" s="91" t="e">
        <f>VLOOKUP(B158,#REF!,5,FALSE)</f>
        <v>#REF!</v>
      </c>
      <c r="W158" s="91">
        <f>IF(VLOOKUP(B158,'[1]Assessment - Detect'!B:AA,26,FALSE)=7,0,1)</f>
        <v>1</v>
      </c>
      <c r="X158" s="91" t="e">
        <f t="shared" si="10"/>
        <v>#REF!</v>
      </c>
      <c r="Y158" s="57"/>
      <c r="Z158" s="57"/>
    </row>
    <row r="159" spans="1:26" s="55" customFormat="1" ht="30" customHeight="1" x14ac:dyDescent="0.2">
      <c r="A159" s="27">
        <v>413</v>
      </c>
      <c r="B159" s="28" t="str">
        <f t="shared" si="8"/>
        <v>2.3.11b</v>
      </c>
      <c r="C159" s="29">
        <f t="shared" si="9"/>
        <v>6</v>
      </c>
      <c r="D159" s="3"/>
      <c r="E159" s="121"/>
      <c r="F159" s="36"/>
      <c r="G159" s="74" t="e">
        <f>VLOOKUP(E159,'[1]Assessment - Detect'!E:AB,24,FALSE)</f>
        <v>#N/A</v>
      </c>
      <c r="H159" s="74" t="e">
        <f>VLOOKUP(E159,'[1]Assessment - Detect'!E:I,5,FALSE)</f>
        <v>#N/A</v>
      </c>
      <c r="I159" s="121" t="e">
        <f>IF(VLOOKUP(E159,'[1]Assessment - Detect'!$E:$J,6,FALSE)=0,"",VLOOKUP(E159,'[1]Assessment - Detect'!$E:$J,6,FALSE))</f>
        <v>#N/A</v>
      </c>
      <c r="J159" s="29"/>
      <c r="K159" s="29"/>
      <c r="L159" s="29"/>
      <c r="M159" s="29"/>
      <c r="N159" s="29"/>
      <c r="O159" s="29"/>
      <c r="P159" s="29"/>
      <c r="Q159" s="29"/>
      <c r="R159" s="29"/>
      <c r="S159" s="29"/>
      <c r="T159" s="57"/>
      <c r="U159" s="91" t="e">
        <f>IF(AND(C159&gt;4,VLOOKUP(B159,'[1]Assessment - Detect'!E:AA,23,FALSE)&lt;&gt;7),LEFT(B159,3),"")</f>
        <v>#N/A</v>
      </c>
      <c r="V159" s="91" t="e">
        <f>VLOOKUP(B159,#REF!,5,FALSE)</f>
        <v>#REF!</v>
      </c>
      <c r="W159" s="91">
        <f>IF(VLOOKUP(B159,'[1]Assessment - Detect'!B:AA,26,FALSE)=7,0,1)</f>
        <v>1</v>
      </c>
      <c r="X159" s="91" t="e">
        <f t="shared" si="10"/>
        <v>#REF!</v>
      </c>
      <c r="Y159" s="57"/>
      <c r="Z159" s="57"/>
    </row>
    <row r="160" spans="1:26" s="55" customFormat="1" ht="18.75" customHeight="1" x14ac:dyDescent="0.2">
      <c r="A160" s="27">
        <v>414</v>
      </c>
      <c r="B160" s="28" t="str">
        <f t="shared" si="8"/>
        <v/>
      </c>
      <c r="C160" s="29">
        <f t="shared" si="9"/>
        <v>3</v>
      </c>
      <c r="D160" s="3"/>
      <c r="E160" s="120"/>
      <c r="F160" s="46"/>
      <c r="G160" s="129"/>
      <c r="H160" s="129"/>
      <c r="I160" s="45"/>
      <c r="J160" s="29"/>
      <c r="K160" s="29"/>
      <c r="L160" s="29"/>
      <c r="M160" s="29"/>
      <c r="N160" s="29"/>
      <c r="O160" s="29"/>
      <c r="P160" s="29"/>
      <c r="Q160" s="29"/>
      <c r="R160" s="29"/>
      <c r="S160" s="29"/>
      <c r="T160" s="57"/>
      <c r="U160" s="91" t="e">
        <f>IF(AND(C160&gt;4,VLOOKUP(B160,'[1]Assessment - Detect'!E:AA,23,FALSE)&lt;&gt;7),LEFT(B160,3),"")</f>
        <v>#N/A</v>
      </c>
      <c r="V160" s="91" t="e">
        <f>VLOOKUP(B160,#REF!,5,FALSE)</f>
        <v>#REF!</v>
      </c>
      <c r="W160" s="91">
        <f>IF(VLOOKUP(B160,'[1]Assessment - Detect'!B:AA,26,FALSE)=7,0,1)</f>
        <v>1</v>
      </c>
      <c r="X160" s="91" t="e">
        <f t="shared" si="10"/>
        <v>#REF!</v>
      </c>
      <c r="Y160" s="57"/>
      <c r="Z160" s="57"/>
    </row>
    <row r="161" spans="1:26" s="55" customFormat="1" ht="19" x14ac:dyDescent="0.2">
      <c r="A161" s="27">
        <v>415</v>
      </c>
      <c r="B161" s="28" t="str">
        <f t="shared" si="8"/>
        <v>2.3.12</v>
      </c>
      <c r="C161" s="29">
        <f t="shared" si="9"/>
        <v>5</v>
      </c>
      <c r="D161" s="3"/>
      <c r="E161" s="121"/>
      <c r="F161" s="31"/>
      <c r="G161" s="74" t="e">
        <f>VLOOKUP(E161,'[1]Assessment - Detect'!E:AB,24,FALSE)</f>
        <v>#N/A</v>
      </c>
      <c r="H161" s="74" t="e">
        <f>VLOOKUP(E161,'[1]Assessment - Detect'!E:I,5,FALSE)</f>
        <v>#N/A</v>
      </c>
      <c r="I161" s="121" t="e">
        <f>IF(VLOOKUP(E161,'[1]Assessment - Detect'!$E:$J,6,FALSE)=0,"",VLOOKUP(E161,'[1]Assessment - Detect'!$E:$J,6,FALSE))</f>
        <v>#N/A</v>
      </c>
      <c r="J161" s="29"/>
      <c r="K161" s="29"/>
      <c r="L161" s="29"/>
      <c r="M161" s="29"/>
      <c r="N161" s="29"/>
      <c r="O161" s="29"/>
      <c r="P161" s="29"/>
      <c r="Q161" s="29"/>
      <c r="R161" s="29"/>
      <c r="S161" s="29"/>
      <c r="T161" s="57"/>
      <c r="U161" s="91" t="e">
        <f>IF(AND(C161&gt;4,VLOOKUP(B161,'[1]Assessment - Detect'!E:AA,23,FALSE)&lt;&gt;7),LEFT(B161,3),"")</f>
        <v>#N/A</v>
      </c>
      <c r="V161" s="91" t="e">
        <f>VLOOKUP(B161,#REF!,5,FALSE)</f>
        <v>#REF!</v>
      </c>
      <c r="W161" s="91">
        <f>IF(VLOOKUP(B161,'[1]Assessment - Detect'!B:AA,26,FALSE)=7,0,1)</f>
        <v>1</v>
      </c>
      <c r="X161" s="91" t="e">
        <f t="shared" si="10"/>
        <v>#REF!</v>
      </c>
      <c r="Y161" s="57"/>
      <c r="Z161" s="57"/>
    </row>
    <row r="162" spans="1:26" s="55" customFormat="1" ht="30" customHeight="1" x14ac:dyDescent="0.2">
      <c r="A162" s="27">
        <v>416</v>
      </c>
      <c r="B162" s="28" t="str">
        <f t="shared" si="8"/>
        <v>2.3.13</v>
      </c>
      <c r="C162" s="29">
        <f t="shared" si="9"/>
        <v>4</v>
      </c>
      <c r="D162" s="3"/>
      <c r="E162" s="121"/>
      <c r="F162" s="31"/>
      <c r="G162" s="74"/>
      <c r="H162" s="74"/>
      <c r="I162" s="121"/>
      <c r="J162" s="29"/>
      <c r="K162" s="29"/>
      <c r="L162" s="29"/>
      <c r="M162" s="29"/>
      <c r="N162" s="29"/>
      <c r="O162" s="29"/>
      <c r="P162" s="29"/>
      <c r="Q162" s="29"/>
      <c r="R162" s="29"/>
      <c r="S162" s="29"/>
      <c r="T162" s="57"/>
      <c r="U162" s="91" t="e">
        <f>IF(AND(C162&gt;4,VLOOKUP(B162,'[1]Assessment - Detect'!E:AA,23,FALSE)&lt;&gt;7),LEFT(B162,3),"")</f>
        <v>#N/A</v>
      </c>
      <c r="V162" s="91" t="e">
        <f>VLOOKUP(B162,#REF!,5,FALSE)</f>
        <v>#REF!</v>
      </c>
      <c r="W162" s="91">
        <f>IF(VLOOKUP(B162,'[1]Assessment - Detect'!B:AA,26,FALSE)=7,0,1)</f>
        <v>1</v>
      </c>
      <c r="X162" s="91" t="e">
        <f t="shared" si="10"/>
        <v>#REF!</v>
      </c>
      <c r="Y162" s="57"/>
      <c r="Z162" s="57"/>
    </row>
    <row r="163" spans="1:26" s="55" customFormat="1" ht="30" customHeight="1" x14ac:dyDescent="0.2">
      <c r="A163" s="27">
        <v>417</v>
      </c>
      <c r="B163" s="28" t="str">
        <f t="shared" si="8"/>
        <v>2.3.13a</v>
      </c>
      <c r="C163" s="29">
        <f t="shared" si="9"/>
        <v>6</v>
      </c>
      <c r="D163" s="3"/>
      <c r="E163" s="121"/>
      <c r="F163" s="36"/>
      <c r="G163" s="74" t="e">
        <f>VLOOKUP(E163,'[1]Assessment - Detect'!E:AB,24,FALSE)</f>
        <v>#N/A</v>
      </c>
      <c r="H163" s="74" t="e">
        <f>VLOOKUP(E163,'[1]Assessment - Detect'!E:I,5,FALSE)</f>
        <v>#N/A</v>
      </c>
      <c r="I163" s="121" t="e">
        <f>IF(VLOOKUP(E163,'[1]Assessment - Detect'!$E:$J,6,FALSE)=0,"",VLOOKUP(E163,'[1]Assessment - Detect'!$E:$J,6,FALSE))</f>
        <v>#N/A</v>
      </c>
      <c r="J163" s="29"/>
      <c r="K163" s="29"/>
      <c r="L163" s="29"/>
      <c r="M163" s="29"/>
      <c r="N163" s="29"/>
      <c r="O163" s="29"/>
      <c r="P163" s="29"/>
      <c r="Q163" s="29"/>
      <c r="R163" s="29"/>
      <c r="S163" s="29"/>
      <c r="T163" s="57"/>
      <c r="U163" s="91" t="e">
        <f>IF(AND(C163&gt;4,VLOOKUP(B163,'[1]Assessment - Detect'!E:AA,23,FALSE)&lt;&gt;7),LEFT(B163,3),"")</f>
        <v>#N/A</v>
      </c>
      <c r="V163" s="91" t="e">
        <f>VLOOKUP(B163,#REF!,5,FALSE)</f>
        <v>#REF!</v>
      </c>
      <c r="W163" s="91">
        <f>IF(VLOOKUP(B163,'[1]Assessment - Detect'!B:AA,26,FALSE)=7,0,1)</f>
        <v>1</v>
      </c>
      <c r="X163" s="91" t="e">
        <f t="shared" si="10"/>
        <v>#REF!</v>
      </c>
      <c r="Y163" s="57"/>
      <c r="Z163" s="57"/>
    </row>
    <row r="164" spans="1:26" s="55" customFormat="1" ht="30" customHeight="1" x14ac:dyDescent="0.2">
      <c r="A164" s="27">
        <v>418</v>
      </c>
      <c r="B164" s="28" t="str">
        <f t="shared" si="8"/>
        <v>2.3.13b</v>
      </c>
      <c r="C164" s="29">
        <f t="shared" si="9"/>
        <v>6</v>
      </c>
      <c r="D164" s="3"/>
      <c r="E164" s="121"/>
      <c r="F164" s="36"/>
      <c r="G164" s="74" t="e">
        <f>VLOOKUP(E164,'[1]Assessment - Detect'!E:AB,24,FALSE)</f>
        <v>#N/A</v>
      </c>
      <c r="H164" s="74" t="e">
        <f>VLOOKUP(E164,'[1]Assessment - Detect'!E:I,5,FALSE)</f>
        <v>#N/A</v>
      </c>
      <c r="I164" s="121" t="e">
        <f>IF(VLOOKUP(E164,'[1]Assessment - Detect'!$E:$J,6,FALSE)=0,"",VLOOKUP(E164,'[1]Assessment - Detect'!$E:$J,6,FALSE))</f>
        <v>#N/A</v>
      </c>
      <c r="J164" s="29"/>
      <c r="K164" s="29"/>
      <c r="L164" s="29"/>
      <c r="M164" s="29"/>
      <c r="N164" s="29"/>
      <c r="O164" s="29"/>
      <c r="P164" s="29"/>
      <c r="Q164" s="29"/>
      <c r="R164" s="29"/>
      <c r="S164" s="29"/>
      <c r="T164" s="57"/>
      <c r="U164" s="91" t="e">
        <f>IF(AND(C164&gt;4,VLOOKUP(B164,'[1]Assessment - Detect'!E:AA,23,FALSE)&lt;&gt;7),LEFT(B164,3),"")</f>
        <v>#N/A</v>
      </c>
      <c r="V164" s="91" t="e">
        <f>VLOOKUP(B164,#REF!,5,FALSE)</f>
        <v>#REF!</v>
      </c>
      <c r="W164" s="91">
        <f>IF(VLOOKUP(B164,'[1]Assessment - Detect'!B:AA,26,FALSE)=7,0,1)</f>
        <v>1</v>
      </c>
      <c r="X164" s="91" t="e">
        <f t="shared" si="10"/>
        <v>#REF!</v>
      </c>
      <c r="Y164" s="57"/>
      <c r="Z164" s="57"/>
    </row>
    <row r="165" spans="1:26" s="55" customFormat="1" ht="30" customHeight="1" x14ac:dyDescent="0.2">
      <c r="A165" s="27">
        <v>419</v>
      </c>
      <c r="B165" s="28" t="str">
        <f t="shared" si="8"/>
        <v>2.3.13c</v>
      </c>
      <c r="C165" s="29">
        <f t="shared" si="9"/>
        <v>6</v>
      </c>
      <c r="D165" s="3"/>
      <c r="E165" s="121"/>
      <c r="F165" s="36"/>
      <c r="G165" s="74" t="e">
        <f>VLOOKUP(E165,'[1]Assessment - Detect'!E:AB,24,FALSE)</f>
        <v>#N/A</v>
      </c>
      <c r="H165" s="74" t="e">
        <f>VLOOKUP(E165,'[1]Assessment - Detect'!E:I,5,FALSE)</f>
        <v>#N/A</v>
      </c>
      <c r="I165" s="121" t="e">
        <f>IF(VLOOKUP(E165,'[1]Assessment - Detect'!$E:$J,6,FALSE)=0,"",VLOOKUP(E165,'[1]Assessment - Detect'!$E:$J,6,FALSE))</f>
        <v>#N/A</v>
      </c>
      <c r="J165" s="29"/>
      <c r="K165" s="29"/>
      <c r="L165" s="29"/>
      <c r="M165" s="29"/>
      <c r="N165" s="29"/>
      <c r="O165" s="29"/>
      <c r="P165" s="29"/>
      <c r="Q165" s="29"/>
      <c r="R165" s="29"/>
      <c r="S165" s="29"/>
      <c r="T165" s="57"/>
      <c r="U165" s="91" t="e">
        <f>IF(AND(C165&gt;4,VLOOKUP(B165,'[1]Assessment - Detect'!E:AA,23,FALSE)&lt;&gt;7),LEFT(B165,3),"")</f>
        <v>#N/A</v>
      </c>
      <c r="V165" s="91" t="e">
        <f>VLOOKUP(B165,#REF!,5,FALSE)</f>
        <v>#REF!</v>
      </c>
      <c r="W165" s="91">
        <f>IF(VLOOKUP(B165,'[1]Assessment - Detect'!B:AA,26,FALSE)=7,0,1)</f>
        <v>1</v>
      </c>
      <c r="X165" s="91" t="e">
        <f t="shared" si="10"/>
        <v>#REF!</v>
      </c>
      <c r="Y165" s="57"/>
      <c r="Z165" s="57"/>
    </row>
    <row r="166" spans="1:26" s="55" customFormat="1" ht="30" customHeight="1" x14ac:dyDescent="0.2">
      <c r="A166" s="27">
        <v>420</v>
      </c>
      <c r="B166" s="28" t="str">
        <f t="shared" si="8"/>
        <v>2.3.13d</v>
      </c>
      <c r="C166" s="29">
        <f t="shared" si="9"/>
        <v>6</v>
      </c>
      <c r="D166" s="3"/>
      <c r="E166" s="121"/>
      <c r="F166" s="36"/>
      <c r="G166" s="74" t="e">
        <f>VLOOKUP(E166,'[1]Assessment - Detect'!E:AB,24,FALSE)</f>
        <v>#N/A</v>
      </c>
      <c r="H166" s="74" t="e">
        <f>VLOOKUP(E166,'[1]Assessment - Detect'!E:I,5,FALSE)</f>
        <v>#N/A</v>
      </c>
      <c r="I166" s="121" t="e">
        <f>IF(VLOOKUP(E166,'[1]Assessment - Detect'!$E:$J,6,FALSE)=0,"",VLOOKUP(E166,'[1]Assessment - Detect'!$E:$J,6,FALSE))</f>
        <v>#N/A</v>
      </c>
      <c r="J166" s="29"/>
      <c r="K166" s="29"/>
      <c r="L166" s="29"/>
      <c r="M166" s="29"/>
      <c r="N166" s="29"/>
      <c r="O166" s="29"/>
      <c r="P166" s="29"/>
      <c r="Q166" s="29"/>
      <c r="R166" s="29"/>
      <c r="S166" s="29"/>
      <c r="T166" s="57"/>
      <c r="U166" s="91" t="e">
        <f>IF(AND(C166&gt;4,VLOOKUP(B166,'[1]Assessment - Detect'!E:AA,23,FALSE)&lt;&gt;7),LEFT(B166,3),"")</f>
        <v>#N/A</v>
      </c>
      <c r="V166" s="91" t="e">
        <f>VLOOKUP(B166,#REF!,5,FALSE)</f>
        <v>#REF!</v>
      </c>
      <c r="W166" s="91">
        <f>IF(VLOOKUP(B166,'[1]Assessment - Detect'!B:AA,26,FALSE)=7,0,1)</f>
        <v>1</v>
      </c>
      <c r="X166" s="91" t="e">
        <f t="shared" si="10"/>
        <v>#REF!</v>
      </c>
      <c r="Y166" s="57"/>
      <c r="Z166" s="57"/>
    </row>
    <row r="167" spans="1:26" s="55" customFormat="1" ht="30" customHeight="1" x14ac:dyDescent="0.2">
      <c r="A167" s="27">
        <v>421</v>
      </c>
      <c r="B167" s="28" t="str">
        <f t="shared" si="8"/>
        <v>2.3.13e</v>
      </c>
      <c r="C167" s="29">
        <f t="shared" si="9"/>
        <v>6</v>
      </c>
      <c r="D167" s="3"/>
      <c r="E167" s="121"/>
      <c r="F167" s="36"/>
      <c r="G167" s="74" t="e">
        <f>VLOOKUP(E167,'[1]Assessment - Detect'!E:AB,24,FALSE)</f>
        <v>#N/A</v>
      </c>
      <c r="H167" s="74" t="e">
        <f>VLOOKUP(E167,'[1]Assessment - Detect'!E:I,5,FALSE)</f>
        <v>#N/A</v>
      </c>
      <c r="I167" s="121" t="e">
        <f>IF(VLOOKUP(E167,'[1]Assessment - Detect'!$E:$J,6,FALSE)=0,"",VLOOKUP(E167,'[1]Assessment - Detect'!$E:$J,6,FALSE))</f>
        <v>#N/A</v>
      </c>
      <c r="J167" s="29"/>
      <c r="K167" s="29"/>
      <c r="L167" s="29"/>
      <c r="M167" s="29"/>
      <c r="N167" s="29"/>
      <c r="O167" s="29"/>
      <c r="P167" s="29"/>
      <c r="Q167" s="29"/>
      <c r="R167" s="29"/>
      <c r="S167" s="29"/>
      <c r="T167" s="57"/>
      <c r="U167" s="91" t="e">
        <f>IF(AND(C167&gt;4,VLOOKUP(B167,'[1]Assessment - Detect'!E:AA,23,FALSE)&lt;&gt;7),LEFT(B167,3),"")</f>
        <v>#N/A</v>
      </c>
      <c r="V167" s="91" t="e">
        <f>VLOOKUP(B167,#REF!,5,FALSE)</f>
        <v>#REF!</v>
      </c>
      <c r="W167" s="91">
        <f>IF(VLOOKUP(B167,'[1]Assessment - Detect'!B:AA,26,FALSE)=7,0,1)</f>
        <v>1</v>
      </c>
      <c r="X167" s="91" t="e">
        <f t="shared" si="10"/>
        <v>#REF!</v>
      </c>
      <c r="Y167" s="57"/>
      <c r="Z167" s="57"/>
    </row>
    <row r="168" spans="1:26" s="55" customFormat="1" ht="30" customHeight="1" x14ac:dyDescent="0.2">
      <c r="A168" s="27">
        <v>422</v>
      </c>
      <c r="B168" s="28" t="str">
        <f t="shared" si="8"/>
        <v>2.3.14</v>
      </c>
      <c r="C168" s="29">
        <f t="shared" si="9"/>
        <v>4</v>
      </c>
      <c r="D168" s="3"/>
      <c r="E168" s="121"/>
      <c r="F168" s="31"/>
      <c r="G168" s="74"/>
      <c r="H168" s="74"/>
      <c r="I168" s="121"/>
      <c r="J168" s="29"/>
      <c r="K168" s="29"/>
      <c r="L168" s="29"/>
      <c r="M168" s="29"/>
      <c r="N168" s="29"/>
      <c r="O168" s="29"/>
      <c r="P168" s="29"/>
      <c r="Q168" s="29"/>
      <c r="R168" s="29"/>
      <c r="S168" s="29"/>
      <c r="T168" s="57"/>
      <c r="U168" s="91" t="e">
        <f>IF(AND(C168&gt;4,VLOOKUP(B168,'[1]Assessment - Detect'!E:AA,23,FALSE)&lt;&gt;7),LEFT(B168,3),"")</f>
        <v>#N/A</v>
      </c>
      <c r="V168" s="91" t="e">
        <f>VLOOKUP(B168,#REF!,5,FALSE)</f>
        <v>#REF!</v>
      </c>
      <c r="W168" s="91">
        <f>IF(VLOOKUP(B168,'[1]Assessment - Detect'!B:AA,26,FALSE)=7,0,1)</f>
        <v>1</v>
      </c>
      <c r="X168" s="91" t="e">
        <f t="shared" si="10"/>
        <v>#REF!</v>
      </c>
      <c r="Y168" s="57"/>
      <c r="Z168" s="57"/>
    </row>
    <row r="169" spans="1:26" s="55" customFormat="1" ht="19" x14ac:dyDescent="0.2">
      <c r="A169" s="27">
        <v>423</v>
      </c>
      <c r="B169" s="28" t="str">
        <f t="shared" si="8"/>
        <v>2.3.14a</v>
      </c>
      <c r="C169" s="29">
        <f t="shared" si="9"/>
        <v>6</v>
      </c>
      <c r="D169" s="3"/>
      <c r="E169" s="121"/>
      <c r="F169" s="36"/>
      <c r="G169" s="74" t="e">
        <f>VLOOKUP(E169,'[1]Assessment - Detect'!E:AB,24,FALSE)</f>
        <v>#N/A</v>
      </c>
      <c r="H169" s="74" t="e">
        <f>VLOOKUP(E169,'[1]Assessment - Detect'!E:I,5,FALSE)</f>
        <v>#N/A</v>
      </c>
      <c r="I169" s="121" t="e">
        <f>IF(VLOOKUP(E169,'[1]Assessment - Detect'!$E:$J,6,FALSE)=0,"",VLOOKUP(E169,'[1]Assessment - Detect'!$E:$J,6,FALSE))</f>
        <v>#N/A</v>
      </c>
      <c r="J169" s="29"/>
      <c r="K169" s="29"/>
      <c r="L169" s="29"/>
      <c r="M169" s="29"/>
      <c r="N169" s="29"/>
      <c r="O169" s="29"/>
      <c r="P169" s="29"/>
      <c r="Q169" s="29"/>
      <c r="R169" s="29"/>
      <c r="S169" s="29"/>
      <c r="T169" s="57"/>
      <c r="U169" s="91" t="e">
        <f>IF(AND(C169&gt;4,VLOOKUP(B169,'[1]Assessment - Detect'!E:AA,23,FALSE)&lt;&gt;7),LEFT(B169,3),"")</f>
        <v>#N/A</v>
      </c>
      <c r="V169" s="91" t="e">
        <f>VLOOKUP(B169,#REF!,5,FALSE)</f>
        <v>#REF!</v>
      </c>
      <c r="W169" s="91">
        <f>IF(VLOOKUP(B169,'[1]Assessment - Detect'!B:AA,26,FALSE)=7,0,1)</f>
        <v>1</v>
      </c>
      <c r="X169" s="91" t="e">
        <f t="shared" si="10"/>
        <v>#REF!</v>
      </c>
      <c r="Y169" s="57"/>
      <c r="Z169" s="57"/>
    </row>
    <row r="170" spans="1:26" s="55" customFormat="1" ht="19" x14ac:dyDescent="0.2">
      <c r="A170" s="27">
        <v>424</v>
      </c>
      <c r="B170" s="28" t="str">
        <f t="shared" si="8"/>
        <v>2.3.14b</v>
      </c>
      <c r="C170" s="29">
        <f t="shared" si="9"/>
        <v>6</v>
      </c>
      <c r="D170" s="3"/>
      <c r="E170" s="121"/>
      <c r="F170" s="36"/>
      <c r="G170" s="74" t="e">
        <f>VLOOKUP(E170,'[1]Assessment - Detect'!E:AB,24,FALSE)</f>
        <v>#N/A</v>
      </c>
      <c r="H170" s="74" t="e">
        <f>VLOOKUP(E170,'[1]Assessment - Detect'!E:I,5,FALSE)</f>
        <v>#N/A</v>
      </c>
      <c r="I170" s="121" t="e">
        <f>IF(VLOOKUP(E170,'[1]Assessment - Detect'!$E:$J,6,FALSE)=0,"",VLOOKUP(E170,'[1]Assessment - Detect'!$E:$J,6,FALSE))</f>
        <v>#N/A</v>
      </c>
      <c r="J170" s="29"/>
      <c r="K170" s="29"/>
      <c r="L170" s="29"/>
      <c r="M170" s="29"/>
      <c r="N170" s="29"/>
      <c r="O170" s="29"/>
      <c r="P170" s="29"/>
      <c r="Q170" s="29"/>
      <c r="R170" s="29"/>
      <c r="S170" s="29"/>
      <c r="T170" s="57"/>
      <c r="U170" s="91" t="e">
        <f>IF(AND(C170&gt;4,VLOOKUP(B170,'[1]Assessment - Detect'!E:AA,23,FALSE)&lt;&gt;7),LEFT(B170,3),"")</f>
        <v>#N/A</v>
      </c>
      <c r="V170" s="91" t="e">
        <f>VLOOKUP(B170,#REF!,5,FALSE)</f>
        <v>#REF!</v>
      </c>
      <c r="W170" s="91">
        <f>IF(VLOOKUP(B170,'[1]Assessment - Detect'!B:AA,26,FALSE)=7,0,1)</f>
        <v>1</v>
      </c>
      <c r="X170" s="91" t="e">
        <f t="shared" si="10"/>
        <v>#REF!</v>
      </c>
      <c r="Y170" s="57"/>
      <c r="Z170" s="57"/>
    </row>
    <row r="171" spans="1:26" s="55" customFormat="1" ht="30" customHeight="1" x14ac:dyDescent="0.2">
      <c r="A171" s="27">
        <v>425</v>
      </c>
      <c r="B171" s="28" t="str">
        <f t="shared" si="8"/>
        <v>2.3.14c</v>
      </c>
      <c r="C171" s="29">
        <f t="shared" si="9"/>
        <v>6</v>
      </c>
      <c r="D171" s="3"/>
      <c r="E171" s="121"/>
      <c r="F171" s="36"/>
      <c r="G171" s="74" t="e">
        <f>VLOOKUP(E171,'[1]Assessment - Detect'!E:AB,24,FALSE)</f>
        <v>#N/A</v>
      </c>
      <c r="H171" s="74" t="e">
        <f>VLOOKUP(E171,'[1]Assessment - Detect'!E:I,5,FALSE)</f>
        <v>#N/A</v>
      </c>
      <c r="I171" s="121" t="e">
        <f>IF(VLOOKUP(E171,'[1]Assessment - Detect'!$E:$J,6,FALSE)=0,"",VLOOKUP(E171,'[1]Assessment - Detect'!$E:$J,6,FALSE))</f>
        <v>#N/A</v>
      </c>
      <c r="J171" s="29"/>
      <c r="K171" s="29"/>
      <c r="L171" s="29"/>
      <c r="M171" s="29"/>
      <c r="N171" s="29"/>
      <c r="O171" s="29"/>
      <c r="P171" s="29"/>
      <c r="Q171" s="29"/>
      <c r="R171" s="29"/>
      <c r="S171" s="29"/>
      <c r="T171" s="57"/>
      <c r="U171" s="91" t="e">
        <f>IF(AND(C171&gt;4,VLOOKUP(B171,'[1]Assessment - Detect'!E:AA,23,FALSE)&lt;&gt;7),LEFT(B171,3),"")</f>
        <v>#N/A</v>
      </c>
      <c r="V171" s="91" t="e">
        <f>VLOOKUP(B171,#REF!,5,FALSE)</f>
        <v>#REF!</v>
      </c>
      <c r="W171" s="91">
        <f>IF(VLOOKUP(B171,'[1]Assessment - Detect'!B:AA,26,FALSE)=7,0,1)</f>
        <v>1</v>
      </c>
      <c r="X171" s="91" t="e">
        <f t="shared" si="10"/>
        <v>#REF!</v>
      </c>
      <c r="Y171" s="57"/>
      <c r="Z171" s="57"/>
    </row>
    <row r="172" spans="1:26" s="55" customFormat="1" ht="30" customHeight="1" x14ac:dyDescent="0.2">
      <c r="A172" s="27">
        <v>426</v>
      </c>
      <c r="B172" s="28" t="str">
        <f t="shared" si="8"/>
        <v>2.3.14d</v>
      </c>
      <c r="C172" s="29">
        <f t="shared" si="9"/>
        <v>6</v>
      </c>
      <c r="D172" s="3"/>
      <c r="E172" s="121"/>
      <c r="F172" s="36"/>
      <c r="G172" s="74" t="e">
        <f>VLOOKUP(E172,'[1]Assessment - Detect'!E:AB,24,FALSE)</f>
        <v>#N/A</v>
      </c>
      <c r="H172" s="74" t="e">
        <f>VLOOKUP(E172,'[1]Assessment - Detect'!E:I,5,FALSE)</f>
        <v>#N/A</v>
      </c>
      <c r="I172" s="121" t="e">
        <f>IF(VLOOKUP(E172,'[1]Assessment - Detect'!$E:$J,6,FALSE)=0,"",VLOOKUP(E172,'[1]Assessment - Detect'!$E:$J,6,FALSE))</f>
        <v>#N/A</v>
      </c>
      <c r="J172" s="29"/>
      <c r="K172" s="29"/>
      <c r="L172" s="29"/>
      <c r="M172" s="29"/>
      <c r="N172" s="29"/>
      <c r="O172" s="29"/>
      <c r="P172" s="29"/>
      <c r="Q172" s="29"/>
      <c r="R172" s="29"/>
      <c r="S172" s="29"/>
      <c r="T172" s="57"/>
      <c r="U172" s="91" t="e">
        <f>IF(AND(C172&gt;4,VLOOKUP(B172,'[1]Assessment - Detect'!E:AA,23,FALSE)&lt;&gt;7),LEFT(B172,3),"")</f>
        <v>#N/A</v>
      </c>
      <c r="V172" s="91" t="e">
        <f>VLOOKUP(B172,#REF!,5,FALSE)</f>
        <v>#REF!</v>
      </c>
      <c r="W172" s="91">
        <f>IF(VLOOKUP(B172,'[1]Assessment - Detect'!B:AA,26,FALSE)=7,0,1)</f>
        <v>1</v>
      </c>
      <c r="X172" s="91" t="e">
        <f t="shared" si="10"/>
        <v>#REF!</v>
      </c>
      <c r="Y172" s="57"/>
      <c r="Z172" s="57"/>
    </row>
    <row r="173" spans="1:26" s="55" customFormat="1" ht="19" x14ac:dyDescent="0.2">
      <c r="A173" s="27">
        <v>427</v>
      </c>
      <c r="B173" s="28" t="str">
        <f t="shared" si="8"/>
        <v>2.3.14e</v>
      </c>
      <c r="C173" s="29">
        <f t="shared" si="9"/>
        <v>6</v>
      </c>
      <c r="D173" s="3"/>
      <c r="E173" s="121"/>
      <c r="F173" s="36"/>
      <c r="G173" s="74" t="e">
        <f>VLOOKUP(E173,'[1]Assessment - Detect'!E:AB,24,FALSE)</f>
        <v>#N/A</v>
      </c>
      <c r="H173" s="74" t="e">
        <f>VLOOKUP(E173,'[1]Assessment - Detect'!E:I,5,FALSE)</f>
        <v>#N/A</v>
      </c>
      <c r="I173" s="121" t="e">
        <f>IF(VLOOKUP(E173,'[1]Assessment - Detect'!$E:$J,6,FALSE)=0,"",VLOOKUP(E173,'[1]Assessment - Detect'!$E:$J,6,FALSE))</f>
        <v>#N/A</v>
      </c>
      <c r="J173" s="29"/>
      <c r="K173" s="29"/>
      <c r="L173" s="29"/>
      <c r="M173" s="29"/>
      <c r="N173" s="29"/>
      <c r="O173" s="29"/>
      <c r="P173" s="29"/>
      <c r="Q173" s="29"/>
      <c r="R173" s="29"/>
      <c r="S173" s="29"/>
      <c r="T173" s="57"/>
      <c r="U173" s="91" t="e">
        <f>IF(AND(C173&gt;4,VLOOKUP(B173,'[1]Assessment - Detect'!E:AA,23,FALSE)&lt;&gt;7),LEFT(B173,3),"")</f>
        <v>#N/A</v>
      </c>
      <c r="V173" s="91" t="e">
        <f>VLOOKUP(B173,#REF!,5,FALSE)</f>
        <v>#REF!</v>
      </c>
      <c r="W173" s="91">
        <f>IF(VLOOKUP(B173,'[1]Assessment - Detect'!B:AA,26,FALSE)=7,0,1)</f>
        <v>1</v>
      </c>
      <c r="X173" s="91" t="e">
        <f t="shared" si="10"/>
        <v>#REF!</v>
      </c>
      <c r="Y173" s="57"/>
      <c r="Z173" s="57"/>
    </row>
    <row r="174" spans="1:26" s="55" customFormat="1" ht="19" x14ac:dyDescent="0.2">
      <c r="A174" s="27">
        <v>428</v>
      </c>
      <c r="B174" s="28" t="str">
        <f t="shared" si="8"/>
        <v>2.3.14f</v>
      </c>
      <c r="C174" s="29">
        <f t="shared" si="9"/>
        <v>6</v>
      </c>
      <c r="D174" s="3"/>
      <c r="E174" s="121"/>
      <c r="F174" s="36"/>
      <c r="G174" s="74" t="e">
        <f>VLOOKUP(E174,'[1]Assessment - Detect'!E:AB,24,FALSE)</f>
        <v>#N/A</v>
      </c>
      <c r="H174" s="74" t="e">
        <f>VLOOKUP(E174,'[1]Assessment - Detect'!E:I,5,FALSE)</f>
        <v>#N/A</v>
      </c>
      <c r="I174" s="121" t="e">
        <f>IF(VLOOKUP(E174,'[1]Assessment - Detect'!$E:$J,6,FALSE)=0,"",VLOOKUP(E174,'[1]Assessment - Detect'!$E:$J,6,FALSE))</f>
        <v>#N/A</v>
      </c>
      <c r="J174" s="29"/>
      <c r="K174" s="29"/>
      <c r="L174" s="29"/>
      <c r="M174" s="29"/>
      <c r="N174" s="29"/>
      <c r="O174" s="29"/>
      <c r="P174" s="29"/>
      <c r="Q174" s="29"/>
      <c r="R174" s="29"/>
      <c r="S174" s="29"/>
      <c r="T174" s="57"/>
      <c r="U174" s="91" t="e">
        <f>IF(AND(C174&gt;4,VLOOKUP(B174,'[1]Assessment - Detect'!E:AA,23,FALSE)&lt;&gt;7),LEFT(B174,3),"")</f>
        <v>#N/A</v>
      </c>
      <c r="V174" s="91" t="e">
        <f>VLOOKUP(B174,#REF!,5,FALSE)</f>
        <v>#REF!</v>
      </c>
      <c r="W174" s="91">
        <f>IF(VLOOKUP(B174,'[1]Assessment - Detect'!B:AA,26,FALSE)=7,0,1)</f>
        <v>1</v>
      </c>
      <c r="X174" s="91" t="e">
        <f t="shared" si="10"/>
        <v>#REF!</v>
      </c>
      <c r="Y174" s="57"/>
      <c r="Z174" s="57"/>
    </row>
    <row r="175" spans="1:26" s="55" customFormat="1" ht="30" customHeight="1" x14ac:dyDescent="0.2">
      <c r="A175" s="27">
        <v>429</v>
      </c>
      <c r="B175" s="28" t="str">
        <f t="shared" si="8"/>
        <v>2.3.15</v>
      </c>
      <c r="C175" s="29">
        <f t="shared" si="9"/>
        <v>5</v>
      </c>
      <c r="D175" s="3"/>
      <c r="E175" s="121"/>
      <c r="F175" s="31"/>
      <c r="G175" s="74" t="e">
        <f>VLOOKUP(E175,'[1]Assessment - Detect'!E:AB,24,FALSE)</f>
        <v>#N/A</v>
      </c>
      <c r="H175" s="74" t="e">
        <f>VLOOKUP(E175,'[1]Assessment - Detect'!E:I,5,FALSE)</f>
        <v>#N/A</v>
      </c>
      <c r="I175" s="121" t="e">
        <f>IF(VLOOKUP(E175,'[1]Assessment - Detect'!$E:$J,6,FALSE)=0,"",VLOOKUP(E175,'[1]Assessment - Detect'!$E:$J,6,FALSE))</f>
        <v>#N/A</v>
      </c>
      <c r="J175" s="29"/>
      <c r="K175" s="29"/>
      <c r="L175" s="29"/>
      <c r="M175" s="29"/>
      <c r="N175" s="29"/>
      <c r="O175" s="29"/>
      <c r="P175" s="29"/>
      <c r="Q175" s="29"/>
      <c r="R175" s="29"/>
      <c r="S175" s="29"/>
      <c r="T175" s="57"/>
      <c r="U175" s="91" t="e">
        <f>IF(AND(C175&gt;4,VLOOKUP(B175,'[1]Assessment - Detect'!E:AA,23,FALSE)&lt;&gt;7),LEFT(B175,3),"")</f>
        <v>#N/A</v>
      </c>
      <c r="V175" s="91" t="e">
        <f>VLOOKUP(B175,#REF!,5,FALSE)</f>
        <v>#REF!</v>
      </c>
      <c r="W175" s="91">
        <f>IF(VLOOKUP(B175,'[1]Assessment - Detect'!B:AA,26,FALSE)=7,0,1)</f>
        <v>1</v>
      </c>
      <c r="X175" s="91" t="e">
        <f t="shared" si="10"/>
        <v>#REF!</v>
      </c>
      <c r="Y175" s="57"/>
      <c r="Z175" s="57"/>
    </row>
    <row r="176" spans="1:26" s="55" customFormat="1" ht="30" customHeight="1" x14ac:dyDescent="0.2">
      <c r="A176" s="27">
        <v>430</v>
      </c>
      <c r="B176" s="28" t="str">
        <f t="shared" si="8"/>
        <v>2.3.16</v>
      </c>
      <c r="C176" s="29">
        <f t="shared" si="9"/>
        <v>5</v>
      </c>
      <c r="D176" s="3"/>
      <c r="E176" s="121"/>
      <c r="F176" s="31"/>
      <c r="G176" s="74" t="e">
        <f>VLOOKUP(E176,'[1]Assessment - Detect'!E:AB,24,FALSE)</f>
        <v>#N/A</v>
      </c>
      <c r="H176" s="74" t="e">
        <f>VLOOKUP(E176,'[1]Assessment - Detect'!E:I,5,FALSE)</f>
        <v>#N/A</v>
      </c>
      <c r="I176" s="121" t="e">
        <f>IF(VLOOKUP(E176,'[1]Assessment - Detect'!$E:$J,6,FALSE)=0,"",VLOOKUP(E176,'[1]Assessment - Detect'!$E:$J,6,FALSE))</f>
        <v>#N/A</v>
      </c>
      <c r="J176" s="29"/>
      <c r="K176" s="29"/>
      <c r="L176" s="29"/>
      <c r="M176" s="29"/>
      <c r="N176" s="29"/>
      <c r="O176" s="29"/>
      <c r="P176" s="29"/>
      <c r="Q176" s="29"/>
      <c r="R176" s="29"/>
      <c r="S176" s="29"/>
      <c r="T176" s="57"/>
      <c r="U176" s="91" t="e">
        <f>IF(AND(C176&gt;4,VLOOKUP(B176,'[1]Assessment - Detect'!E:AA,23,FALSE)&lt;&gt;7),LEFT(B176,3),"")</f>
        <v>#N/A</v>
      </c>
      <c r="V176" s="91" t="e">
        <f>VLOOKUP(B176,#REF!,5,FALSE)</f>
        <v>#REF!</v>
      </c>
      <c r="W176" s="91">
        <f>IF(VLOOKUP(B176,'[1]Assessment - Detect'!B:AA,26,FALSE)=7,0,1)</f>
        <v>1</v>
      </c>
      <c r="X176" s="91" t="e">
        <f t="shared" si="10"/>
        <v>#REF!</v>
      </c>
      <c r="Y176" s="57"/>
      <c r="Z176" s="57"/>
    </row>
    <row r="177" spans="1:26" s="55" customFormat="1" ht="19" x14ac:dyDescent="0.2">
      <c r="A177" s="27">
        <v>431</v>
      </c>
      <c r="B177" s="28" t="str">
        <f t="shared" si="8"/>
        <v>2.3.17</v>
      </c>
      <c r="C177" s="29">
        <f t="shared" si="9"/>
        <v>4</v>
      </c>
      <c r="D177" s="3"/>
      <c r="E177" s="121"/>
      <c r="F177" s="31"/>
      <c r="G177" s="74"/>
      <c r="H177" s="74"/>
      <c r="I177" s="121"/>
      <c r="J177" s="29"/>
      <c r="K177" s="29"/>
      <c r="L177" s="29"/>
      <c r="M177" s="29"/>
      <c r="N177" s="29"/>
      <c r="O177" s="29"/>
      <c r="P177" s="29"/>
      <c r="Q177" s="29"/>
      <c r="R177" s="29"/>
      <c r="S177" s="29"/>
      <c r="T177" s="57"/>
      <c r="U177" s="91" t="e">
        <f>IF(AND(C177&gt;4,VLOOKUP(B177,'[1]Assessment - Detect'!E:AA,23,FALSE)&lt;&gt;7),LEFT(B177,3),"")</f>
        <v>#N/A</v>
      </c>
      <c r="V177" s="91" t="e">
        <f>VLOOKUP(B177,#REF!,5,FALSE)</f>
        <v>#REF!</v>
      </c>
      <c r="W177" s="91">
        <f>IF(VLOOKUP(B177,'[1]Assessment - Detect'!B:AA,26,FALSE)=7,0,1)</f>
        <v>1</v>
      </c>
      <c r="X177" s="91" t="e">
        <f t="shared" si="10"/>
        <v>#REF!</v>
      </c>
      <c r="Y177" s="57"/>
      <c r="Z177" s="57"/>
    </row>
    <row r="178" spans="1:26" s="55" customFormat="1" ht="30" customHeight="1" x14ac:dyDescent="0.2">
      <c r="A178" s="27">
        <v>432</v>
      </c>
      <c r="B178" s="28" t="str">
        <f t="shared" si="8"/>
        <v>2.3.17a</v>
      </c>
      <c r="C178" s="29">
        <f t="shared" si="9"/>
        <v>6</v>
      </c>
      <c r="D178" s="3"/>
      <c r="E178" s="121"/>
      <c r="F178" s="36"/>
      <c r="G178" s="74" t="e">
        <f>VLOOKUP(E178,'[1]Assessment - Detect'!E:AB,24,FALSE)</f>
        <v>#N/A</v>
      </c>
      <c r="H178" s="74" t="e">
        <f>VLOOKUP(E178,'[1]Assessment - Detect'!E:I,5,FALSE)</f>
        <v>#N/A</v>
      </c>
      <c r="I178" s="121" t="e">
        <f>IF(VLOOKUP(E178,'[1]Assessment - Detect'!$E:$J,6,FALSE)=0,"",VLOOKUP(E178,'[1]Assessment - Detect'!$E:$J,6,FALSE))</f>
        <v>#N/A</v>
      </c>
      <c r="J178" s="29"/>
      <c r="K178" s="29"/>
      <c r="L178" s="29"/>
      <c r="M178" s="29"/>
      <c r="N178" s="29"/>
      <c r="O178" s="29"/>
      <c r="P178" s="29"/>
      <c r="Q178" s="29"/>
      <c r="R178" s="29"/>
      <c r="S178" s="29"/>
      <c r="T178" s="57"/>
      <c r="U178" s="91" t="e">
        <f>IF(AND(C178&gt;4,VLOOKUP(B178,'[1]Assessment - Detect'!E:AA,23,FALSE)&lt;&gt;7),LEFT(B178,3),"")</f>
        <v>#N/A</v>
      </c>
      <c r="V178" s="91" t="e">
        <f>VLOOKUP(B178,#REF!,5,FALSE)</f>
        <v>#REF!</v>
      </c>
      <c r="W178" s="91">
        <f>IF(VLOOKUP(B178,'[1]Assessment - Detect'!B:AA,26,FALSE)=7,0,1)</f>
        <v>1</v>
      </c>
      <c r="X178" s="91" t="e">
        <f t="shared" si="10"/>
        <v>#REF!</v>
      </c>
      <c r="Y178" s="57"/>
      <c r="Z178" s="57"/>
    </row>
    <row r="179" spans="1:26" s="55" customFormat="1" ht="19" x14ac:dyDescent="0.2">
      <c r="A179" s="27">
        <v>433</v>
      </c>
      <c r="B179" s="28" t="str">
        <f t="shared" si="8"/>
        <v>2.3.17b</v>
      </c>
      <c r="C179" s="29">
        <f t="shared" si="9"/>
        <v>6</v>
      </c>
      <c r="D179" s="3"/>
      <c r="E179" s="121"/>
      <c r="F179" s="36"/>
      <c r="G179" s="74" t="e">
        <f>VLOOKUP(E179,'[1]Assessment - Detect'!E:AB,24,FALSE)</f>
        <v>#N/A</v>
      </c>
      <c r="H179" s="74" t="e">
        <f>VLOOKUP(E179,'[1]Assessment - Detect'!E:I,5,FALSE)</f>
        <v>#N/A</v>
      </c>
      <c r="I179" s="121" t="e">
        <f>IF(VLOOKUP(E179,'[1]Assessment - Detect'!$E:$J,6,FALSE)=0,"",VLOOKUP(E179,'[1]Assessment - Detect'!$E:$J,6,FALSE))</f>
        <v>#N/A</v>
      </c>
      <c r="J179" s="29"/>
      <c r="K179" s="29"/>
      <c r="L179" s="29"/>
      <c r="M179" s="29"/>
      <c r="N179" s="29"/>
      <c r="O179" s="29"/>
      <c r="P179" s="29"/>
      <c r="Q179" s="29"/>
      <c r="R179" s="29"/>
      <c r="S179" s="29"/>
      <c r="T179" s="57"/>
      <c r="U179" s="91" t="e">
        <f>IF(AND(C179&gt;4,VLOOKUP(B179,'[1]Assessment - Detect'!E:AA,23,FALSE)&lt;&gt;7),LEFT(B179,3),"")</f>
        <v>#N/A</v>
      </c>
      <c r="V179" s="91" t="e">
        <f>VLOOKUP(B179,#REF!,5,FALSE)</f>
        <v>#REF!</v>
      </c>
      <c r="W179" s="91">
        <f>IF(VLOOKUP(B179,'[1]Assessment - Detect'!B:AA,26,FALSE)=7,0,1)</f>
        <v>1</v>
      </c>
      <c r="X179" s="91" t="e">
        <f t="shared" si="10"/>
        <v>#REF!</v>
      </c>
      <c r="Y179" s="57"/>
      <c r="Z179" s="57"/>
    </row>
    <row r="180" spans="1:26" s="55" customFormat="1" ht="30" customHeight="1" x14ac:dyDescent="0.2">
      <c r="A180" s="27">
        <v>434</v>
      </c>
      <c r="B180" s="28" t="str">
        <f t="shared" si="8"/>
        <v>2.3.17c</v>
      </c>
      <c r="C180" s="29">
        <f t="shared" si="9"/>
        <v>6</v>
      </c>
      <c r="D180" s="3"/>
      <c r="E180" s="121"/>
      <c r="F180" s="36"/>
      <c r="G180" s="74" t="e">
        <f>VLOOKUP(E180,'[1]Assessment - Detect'!E:AB,24,FALSE)</f>
        <v>#N/A</v>
      </c>
      <c r="H180" s="74" t="e">
        <f>VLOOKUP(E180,'[1]Assessment - Detect'!E:I,5,FALSE)</f>
        <v>#N/A</v>
      </c>
      <c r="I180" s="121" t="e">
        <f>IF(VLOOKUP(E180,'[1]Assessment - Detect'!$E:$J,6,FALSE)=0,"",VLOOKUP(E180,'[1]Assessment - Detect'!$E:$J,6,FALSE))</f>
        <v>#N/A</v>
      </c>
      <c r="J180" s="29"/>
      <c r="K180" s="29"/>
      <c r="L180" s="29"/>
      <c r="M180" s="29"/>
      <c r="N180" s="29"/>
      <c r="O180" s="29"/>
      <c r="P180" s="29"/>
      <c r="Q180" s="29"/>
      <c r="R180" s="29"/>
      <c r="S180" s="29"/>
      <c r="T180" s="57"/>
      <c r="U180" s="91" t="e">
        <f>IF(AND(C180&gt;4,VLOOKUP(B180,'[1]Assessment - Detect'!E:AA,23,FALSE)&lt;&gt;7),LEFT(B180,3),"")</f>
        <v>#N/A</v>
      </c>
      <c r="V180" s="91" t="e">
        <f>VLOOKUP(B180,#REF!,5,FALSE)</f>
        <v>#REF!</v>
      </c>
      <c r="W180" s="91">
        <f>IF(VLOOKUP(B180,'[1]Assessment - Detect'!B:AA,26,FALSE)=7,0,1)</f>
        <v>1</v>
      </c>
      <c r="X180" s="91" t="e">
        <f t="shared" si="10"/>
        <v>#REF!</v>
      </c>
      <c r="Y180" s="57"/>
      <c r="Z180" s="57"/>
    </row>
    <row r="181" spans="1:26" s="55" customFormat="1" ht="30" customHeight="1" x14ac:dyDescent="0.2">
      <c r="A181" s="27">
        <v>435</v>
      </c>
      <c r="B181" s="28" t="str">
        <f t="shared" si="8"/>
        <v>2.3.17d</v>
      </c>
      <c r="C181" s="29">
        <f t="shared" si="9"/>
        <v>6</v>
      </c>
      <c r="D181" s="3"/>
      <c r="E181" s="121"/>
      <c r="F181" s="39"/>
      <c r="G181" s="74" t="e">
        <f>VLOOKUP(E181,'[1]Assessment - Detect'!E:AB,24,FALSE)</f>
        <v>#N/A</v>
      </c>
      <c r="H181" s="74" t="e">
        <f>VLOOKUP(E181,'[1]Assessment - Detect'!E:I,5,FALSE)</f>
        <v>#N/A</v>
      </c>
      <c r="I181" s="126" t="e">
        <f>IF(VLOOKUP(E181,'[1]Assessment - Detect'!$E:$J,6,FALSE)=0,"",VLOOKUP(E181,'[1]Assessment - Detect'!$E:$J,6,FALSE))</f>
        <v>#N/A</v>
      </c>
      <c r="J181" s="29"/>
      <c r="K181" s="29"/>
      <c r="L181" s="29"/>
      <c r="M181" s="29"/>
      <c r="N181" s="29"/>
      <c r="O181" s="29"/>
      <c r="P181" s="29"/>
      <c r="Q181" s="29"/>
      <c r="R181" s="29"/>
      <c r="S181" s="29"/>
      <c r="T181" s="57"/>
      <c r="U181" s="91" t="e">
        <f>IF(AND(C181&gt;4,VLOOKUP(B181,'[1]Assessment - Detect'!E:AA,23,FALSE)&lt;&gt;7),LEFT(B181,3),"")</f>
        <v>#N/A</v>
      </c>
      <c r="V181" s="91" t="e">
        <f>VLOOKUP(B181,#REF!,5,FALSE)</f>
        <v>#REF!</v>
      </c>
      <c r="W181" s="91">
        <f>IF(VLOOKUP(B181,'[1]Assessment - Detect'!B:AA,26,FALSE)=7,0,1)</f>
        <v>1</v>
      </c>
      <c r="X181" s="91" t="e">
        <f t="shared" si="10"/>
        <v>#REF!</v>
      </c>
      <c r="Y181" s="57"/>
      <c r="Z181" s="57"/>
    </row>
    <row r="182" spans="1:26" s="55" customFormat="1" ht="18.75" customHeight="1" x14ac:dyDescent="0.2">
      <c r="A182" s="27">
        <v>436</v>
      </c>
      <c r="B182" s="28" t="str">
        <f t="shared" si="8"/>
        <v/>
      </c>
      <c r="C182" s="29">
        <f t="shared" si="9"/>
        <v>3</v>
      </c>
      <c r="D182" s="3"/>
      <c r="E182" s="120"/>
      <c r="F182" s="35"/>
      <c r="G182" s="119"/>
      <c r="H182" s="119"/>
      <c r="I182" s="31"/>
      <c r="J182" s="29"/>
      <c r="K182" s="29"/>
      <c r="L182" s="29"/>
      <c r="M182" s="29"/>
      <c r="N182" s="29"/>
      <c r="O182" s="29"/>
      <c r="P182" s="29"/>
      <c r="Q182" s="29"/>
      <c r="R182" s="29"/>
      <c r="S182" s="29"/>
      <c r="T182" s="57"/>
      <c r="U182" s="91" t="e">
        <f>IF(AND(C182&gt;4,VLOOKUP(B182,'[1]Assessment - Detect'!E:AA,23,FALSE)&lt;&gt;7),LEFT(B182,3),"")</f>
        <v>#N/A</v>
      </c>
      <c r="V182" s="91" t="e">
        <f>VLOOKUP(B182,#REF!,5,FALSE)</f>
        <v>#REF!</v>
      </c>
      <c r="W182" s="91">
        <f>IF(VLOOKUP(B182,'[1]Assessment - Detect'!B:AA,26,FALSE)=7,0,1)</f>
        <v>1</v>
      </c>
      <c r="X182" s="91" t="e">
        <f t="shared" si="10"/>
        <v>#REF!</v>
      </c>
      <c r="Y182" s="57"/>
      <c r="Z182" s="57"/>
    </row>
    <row r="183" spans="1:26" s="55" customFormat="1" ht="19" x14ac:dyDescent="0.2">
      <c r="A183" s="27">
        <v>437</v>
      </c>
      <c r="B183" s="28" t="str">
        <f t="shared" si="8"/>
        <v>2.3.18</v>
      </c>
      <c r="C183" s="29">
        <f t="shared" si="9"/>
        <v>5</v>
      </c>
      <c r="D183" s="3"/>
      <c r="E183" s="121"/>
      <c r="F183" s="31"/>
      <c r="G183" s="74" t="e">
        <f>VLOOKUP(E183,'[1]Assessment - Detect'!E:AB,24,FALSE)</f>
        <v>#N/A</v>
      </c>
      <c r="H183" s="74" t="e">
        <f>VLOOKUP(E183,'[1]Assessment - Detect'!E:I,5,FALSE)</f>
        <v>#N/A</v>
      </c>
      <c r="I183" s="121" t="e">
        <f>IF(VLOOKUP(E183,'[1]Assessment - Detect'!$E:$J,6,FALSE)=0,"",VLOOKUP(E183,'[1]Assessment - Detect'!$E:$J,6,FALSE))</f>
        <v>#N/A</v>
      </c>
      <c r="J183" s="29"/>
      <c r="K183" s="29"/>
      <c r="L183" s="29"/>
      <c r="M183" s="29"/>
      <c r="N183" s="29"/>
      <c r="O183" s="29"/>
      <c r="P183" s="29"/>
      <c r="Q183" s="29"/>
      <c r="R183" s="29"/>
      <c r="S183" s="29"/>
      <c r="T183" s="57"/>
      <c r="U183" s="91" t="e">
        <f>IF(AND(C183&gt;4,VLOOKUP(B183,'[1]Assessment - Detect'!E:AA,23,FALSE)&lt;&gt;7),LEFT(B183,3),"")</f>
        <v>#N/A</v>
      </c>
      <c r="V183" s="91" t="e">
        <f>VLOOKUP(B183,#REF!,5,FALSE)</f>
        <v>#REF!</v>
      </c>
      <c r="W183" s="91">
        <f>IF(VLOOKUP(B183,'[1]Assessment - Detect'!B:AA,26,FALSE)=7,0,1)</f>
        <v>1</v>
      </c>
      <c r="X183" s="91" t="e">
        <f t="shared" si="10"/>
        <v>#REF!</v>
      </c>
      <c r="Y183" s="57"/>
      <c r="Z183" s="57"/>
    </row>
    <row r="184" spans="1:26" s="55" customFormat="1" ht="19" x14ac:dyDescent="0.2">
      <c r="A184" s="27">
        <v>438</v>
      </c>
      <c r="B184" s="28" t="str">
        <f t="shared" si="8"/>
        <v>2.3.19</v>
      </c>
      <c r="C184" s="29">
        <f t="shared" si="9"/>
        <v>5</v>
      </c>
      <c r="D184" s="3"/>
      <c r="E184" s="121"/>
      <c r="F184" s="31"/>
      <c r="G184" s="74" t="e">
        <f>VLOOKUP(E184,'[1]Assessment - Detect'!E:AB,24,FALSE)</f>
        <v>#N/A</v>
      </c>
      <c r="H184" s="74" t="e">
        <f>VLOOKUP(E184,'[1]Assessment - Detect'!E:I,5,FALSE)</f>
        <v>#N/A</v>
      </c>
      <c r="I184" s="121" t="e">
        <f>IF(VLOOKUP(E184,'[1]Assessment - Detect'!$E:$J,6,FALSE)=0,"",VLOOKUP(E184,'[1]Assessment - Detect'!$E:$J,6,FALSE))</f>
        <v>#N/A</v>
      </c>
      <c r="J184" s="29"/>
      <c r="K184" s="29"/>
      <c r="L184" s="29"/>
      <c r="M184" s="29"/>
      <c r="N184" s="29"/>
      <c r="O184" s="29"/>
      <c r="P184" s="29"/>
      <c r="Q184" s="29"/>
      <c r="R184" s="29"/>
      <c r="S184" s="29"/>
      <c r="T184" s="57"/>
      <c r="U184" s="91" t="e">
        <f>IF(AND(C184&gt;4,VLOOKUP(B184,'[1]Assessment - Detect'!E:AA,23,FALSE)&lt;&gt;7),LEFT(B184,3),"")</f>
        <v>#N/A</v>
      </c>
      <c r="V184" s="91" t="e">
        <f>VLOOKUP(B184,#REF!,5,FALSE)</f>
        <v>#REF!</v>
      </c>
      <c r="W184" s="91">
        <f>IF(VLOOKUP(B184,'[1]Assessment - Detect'!B:AA,26,FALSE)=7,0,1)</f>
        <v>1</v>
      </c>
      <c r="X184" s="91" t="e">
        <f t="shared" si="10"/>
        <v>#REF!</v>
      </c>
      <c r="Y184" s="57"/>
      <c r="Z184" s="57"/>
    </row>
    <row r="185" spans="1:26" s="55" customFormat="1" ht="30" customHeight="1" x14ac:dyDescent="0.2">
      <c r="A185" s="27">
        <v>439</v>
      </c>
      <c r="B185" s="28" t="str">
        <f t="shared" si="8"/>
        <v>2.3.20</v>
      </c>
      <c r="C185" s="29">
        <f t="shared" si="9"/>
        <v>4</v>
      </c>
      <c r="D185" s="3"/>
      <c r="E185" s="121"/>
      <c r="F185" s="31"/>
      <c r="G185" s="74"/>
      <c r="H185" s="74"/>
      <c r="I185" s="121"/>
      <c r="J185" s="29"/>
      <c r="K185" s="29"/>
      <c r="L185" s="29"/>
      <c r="M185" s="29"/>
      <c r="N185" s="29"/>
      <c r="O185" s="29"/>
      <c r="P185" s="29"/>
      <c r="Q185" s="29"/>
      <c r="R185" s="29"/>
      <c r="S185" s="29"/>
      <c r="T185" s="57"/>
      <c r="U185" s="91" t="e">
        <f>IF(AND(C185&gt;4,VLOOKUP(B185,'[1]Assessment - Detect'!E:AA,23,FALSE)&lt;&gt;7),LEFT(B185,3),"")</f>
        <v>#N/A</v>
      </c>
      <c r="V185" s="91" t="e">
        <f>VLOOKUP(B185,#REF!,5,FALSE)</f>
        <v>#REF!</v>
      </c>
      <c r="W185" s="91">
        <f>IF(VLOOKUP(B185,'[1]Assessment - Detect'!B:AA,26,FALSE)=7,0,1)</f>
        <v>1</v>
      </c>
      <c r="X185" s="91" t="e">
        <f t="shared" si="10"/>
        <v>#REF!</v>
      </c>
      <c r="Y185" s="57"/>
      <c r="Z185" s="57"/>
    </row>
    <row r="186" spans="1:26" s="55" customFormat="1" ht="19" x14ac:dyDescent="0.2">
      <c r="A186" s="27">
        <v>440</v>
      </c>
      <c r="B186" s="28" t="str">
        <f t="shared" si="8"/>
        <v>2.3.20a</v>
      </c>
      <c r="C186" s="29">
        <f t="shared" si="9"/>
        <v>6</v>
      </c>
      <c r="D186" s="3"/>
      <c r="E186" s="121"/>
      <c r="F186" s="36"/>
      <c r="G186" s="74" t="e">
        <f>VLOOKUP(E186,'[1]Assessment - Detect'!E:AB,24,FALSE)</f>
        <v>#N/A</v>
      </c>
      <c r="H186" s="74" t="e">
        <f>VLOOKUP(E186,'[1]Assessment - Detect'!E:I,5,FALSE)</f>
        <v>#N/A</v>
      </c>
      <c r="I186" s="121" t="e">
        <f>IF(VLOOKUP(E186,'[1]Assessment - Detect'!$E:$J,6,FALSE)=0,"",VLOOKUP(E186,'[1]Assessment - Detect'!$E:$J,6,FALSE))</f>
        <v>#N/A</v>
      </c>
      <c r="J186" s="29"/>
      <c r="K186" s="29"/>
      <c r="L186" s="29"/>
      <c r="M186" s="29"/>
      <c r="N186" s="29"/>
      <c r="O186" s="29"/>
      <c r="P186" s="29"/>
      <c r="Q186" s="29"/>
      <c r="R186" s="29"/>
      <c r="S186" s="29"/>
      <c r="T186" s="57"/>
      <c r="U186" s="91" t="e">
        <f>IF(AND(C186&gt;4,VLOOKUP(B186,'[1]Assessment - Detect'!E:AA,23,FALSE)&lt;&gt;7),LEFT(B186,3),"")</f>
        <v>#N/A</v>
      </c>
      <c r="V186" s="91" t="e">
        <f>VLOOKUP(B186,#REF!,5,FALSE)</f>
        <v>#REF!</v>
      </c>
      <c r="W186" s="91">
        <f>IF(VLOOKUP(B186,'[1]Assessment - Detect'!B:AA,26,FALSE)=7,0,1)</f>
        <v>1</v>
      </c>
      <c r="X186" s="91" t="e">
        <f t="shared" si="10"/>
        <v>#REF!</v>
      </c>
      <c r="Y186" s="57"/>
      <c r="Z186" s="57"/>
    </row>
    <row r="187" spans="1:26" s="55" customFormat="1" ht="19" x14ac:dyDescent="0.2">
      <c r="A187" s="27">
        <v>441</v>
      </c>
      <c r="B187" s="28" t="str">
        <f t="shared" si="8"/>
        <v>2.3.20b</v>
      </c>
      <c r="C187" s="29">
        <f t="shared" si="9"/>
        <v>6</v>
      </c>
      <c r="D187" s="3"/>
      <c r="E187" s="121"/>
      <c r="F187" s="36"/>
      <c r="G187" s="74" t="e">
        <f>VLOOKUP(E187,'[1]Assessment - Detect'!E:AB,24,FALSE)</f>
        <v>#N/A</v>
      </c>
      <c r="H187" s="74" t="e">
        <f>VLOOKUP(E187,'[1]Assessment - Detect'!E:I,5,FALSE)</f>
        <v>#N/A</v>
      </c>
      <c r="I187" s="121" t="e">
        <f>IF(VLOOKUP(E187,'[1]Assessment - Detect'!$E:$J,6,FALSE)=0,"",VLOOKUP(E187,'[1]Assessment - Detect'!$E:$J,6,FALSE))</f>
        <v>#N/A</v>
      </c>
      <c r="J187" s="29"/>
      <c r="K187" s="29"/>
      <c r="L187" s="29"/>
      <c r="M187" s="29"/>
      <c r="N187" s="29"/>
      <c r="O187" s="29"/>
      <c r="P187" s="29"/>
      <c r="Q187" s="29"/>
      <c r="R187" s="29"/>
      <c r="S187" s="29"/>
      <c r="T187" s="57"/>
      <c r="U187" s="91" t="e">
        <f>IF(AND(C187&gt;4,VLOOKUP(B187,'[1]Assessment - Detect'!E:AA,23,FALSE)&lt;&gt;7),LEFT(B187,3),"")</f>
        <v>#N/A</v>
      </c>
      <c r="V187" s="91" t="e">
        <f>VLOOKUP(B187,#REF!,5,FALSE)</f>
        <v>#REF!</v>
      </c>
      <c r="W187" s="91">
        <f>IF(VLOOKUP(B187,'[1]Assessment - Detect'!B:AA,26,FALSE)=7,0,1)</f>
        <v>1</v>
      </c>
      <c r="X187" s="91" t="e">
        <f t="shared" si="10"/>
        <v>#REF!</v>
      </c>
      <c r="Y187" s="57"/>
      <c r="Z187" s="57"/>
    </row>
    <row r="188" spans="1:26" s="55" customFormat="1" ht="19" x14ac:dyDescent="0.2">
      <c r="A188" s="27">
        <v>442</v>
      </c>
      <c r="B188" s="28" t="str">
        <f t="shared" si="8"/>
        <v>2.3.20c</v>
      </c>
      <c r="C188" s="29">
        <f t="shared" si="9"/>
        <v>6</v>
      </c>
      <c r="D188" s="3"/>
      <c r="E188" s="121"/>
      <c r="F188" s="36"/>
      <c r="G188" s="74" t="e">
        <f>VLOOKUP(E188,'[1]Assessment - Detect'!E:AB,24,FALSE)</f>
        <v>#N/A</v>
      </c>
      <c r="H188" s="74" t="e">
        <f>VLOOKUP(E188,'[1]Assessment - Detect'!E:I,5,FALSE)</f>
        <v>#N/A</v>
      </c>
      <c r="I188" s="121" t="e">
        <f>IF(VLOOKUP(E188,'[1]Assessment - Detect'!$E:$J,6,FALSE)=0,"",VLOOKUP(E188,'[1]Assessment - Detect'!$E:$J,6,FALSE))</f>
        <v>#N/A</v>
      </c>
      <c r="J188" s="29"/>
      <c r="K188" s="29"/>
      <c r="L188" s="29"/>
      <c r="M188" s="29"/>
      <c r="N188" s="29"/>
      <c r="O188" s="29"/>
      <c r="P188" s="29"/>
      <c r="Q188" s="29"/>
      <c r="R188" s="29"/>
      <c r="S188" s="29"/>
      <c r="T188" s="57"/>
      <c r="U188" s="91" t="e">
        <f>IF(AND(C188&gt;4,VLOOKUP(B188,'[1]Assessment - Detect'!E:AA,23,FALSE)&lt;&gt;7),LEFT(B188,3),"")</f>
        <v>#N/A</v>
      </c>
      <c r="V188" s="91" t="e">
        <f>VLOOKUP(B188,#REF!,5,FALSE)</f>
        <v>#REF!</v>
      </c>
      <c r="W188" s="91">
        <f>IF(VLOOKUP(B188,'[1]Assessment - Detect'!B:AA,26,FALSE)=7,0,1)</f>
        <v>1</v>
      </c>
      <c r="X188" s="91" t="e">
        <f t="shared" si="10"/>
        <v>#REF!</v>
      </c>
      <c r="Y188" s="57"/>
      <c r="Z188" s="57"/>
    </row>
    <row r="189" spans="1:26" s="55" customFormat="1" ht="30" customHeight="1" x14ac:dyDescent="0.2">
      <c r="A189" s="27">
        <v>443</v>
      </c>
      <c r="B189" s="28" t="str">
        <f t="shared" si="8"/>
        <v>2.3.20d</v>
      </c>
      <c r="C189" s="29">
        <f t="shared" si="9"/>
        <v>6</v>
      </c>
      <c r="D189" s="3"/>
      <c r="E189" s="121"/>
      <c r="F189" s="36"/>
      <c r="G189" s="74" t="e">
        <f>VLOOKUP(E189,'[1]Assessment - Detect'!E:AB,24,FALSE)</f>
        <v>#N/A</v>
      </c>
      <c r="H189" s="74" t="e">
        <f>VLOOKUP(E189,'[1]Assessment - Detect'!E:I,5,FALSE)</f>
        <v>#N/A</v>
      </c>
      <c r="I189" s="121" t="e">
        <f>IF(VLOOKUP(E189,'[1]Assessment - Detect'!$E:$J,6,FALSE)=0,"",VLOOKUP(E189,'[1]Assessment - Detect'!$E:$J,6,FALSE))</f>
        <v>#N/A</v>
      </c>
      <c r="J189" s="29"/>
      <c r="K189" s="29"/>
      <c r="L189" s="29"/>
      <c r="M189" s="29"/>
      <c r="N189" s="29"/>
      <c r="O189" s="29"/>
      <c r="P189" s="29"/>
      <c r="Q189" s="29"/>
      <c r="R189" s="29"/>
      <c r="S189" s="29"/>
      <c r="T189" s="57"/>
      <c r="U189" s="91" t="e">
        <f>IF(AND(C189&gt;4,VLOOKUP(B189,'[1]Assessment - Detect'!E:AA,23,FALSE)&lt;&gt;7),LEFT(B189,3),"")</f>
        <v>#N/A</v>
      </c>
      <c r="V189" s="91" t="e">
        <f>VLOOKUP(B189,#REF!,5,FALSE)</f>
        <v>#REF!</v>
      </c>
      <c r="W189" s="91">
        <f>IF(VLOOKUP(B189,'[1]Assessment - Detect'!B:AA,26,FALSE)=7,0,1)</f>
        <v>1</v>
      </c>
      <c r="X189" s="91" t="e">
        <f t="shared" si="10"/>
        <v>#REF!</v>
      </c>
      <c r="Y189" s="57"/>
      <c r="Z189" s="57"/>
    </row>
    <row r="190" spans="1:26" s="55" customFormat="1" ht="19" x14ac:dyDescent="0.2">
      <c r="A190" s="27">
        <v>444</v>
      </c>
      <c r="B190" s="28" t="str">
        <f t="shared" si="8"/>
        <v>2.3.21</v>
      </c>
      <c r="C190" s="29">
        <f t="shared" si="9"/>
        <v>4</v>
      </c>
      <c r="D190" s="3"/>
      <c r="E190" s="121"/>
      <c r="F190" s="31"/>
      <c r="G190" s="74"/>
      <c r="H190" s="74"/>
      <c r="I190" s="121"/>
      <c r="J190" s="29"/>
      <c r="K190" s="29"/>
      <c r="L190" s="29"/>
      <c r="M190" s="29"/>
      <c r="N190" s="29"/>
      <c r="O190" s="29"/>
      <c r="P190" s="29"/>
      <c r="Q190" s="29"/>
      <c r="R190" s="29"/>
      <c r="S190" s="29"/>
      <c r="T190" s="57"/>
      <c r="U190" s="91" t="e">
        <f>IF(AND(C190&gt;4,VLOOKUP(B190,'[1]Assessment - Detect'!E:AA,23,FALSE)&lt;&gt;7),LEFT(B190,3),"")</f>
        <v>#N/A</v>
      </c>
      <c r="V190" s="91" t="e">
        <f>VLOOKUP(B190,#REF!,5,FALSE)</f>
        <v>#REF!</v>
      </c>
      <c r="W190" s="91">
        <f>IF(VLOOKUP(B190,'[1]Assessment - Detect'!B:AA,26,FALSE)=7,0,1)</f>
        <v>1</v>
      </c>
      <c r="X190" s="91" t="e">
        <f t="shared" si="10"/>
        <v>#REF!</v>
      </c>
      <c r="Y190" s="57"/>
      <c r="Z190" s="57"/>
    </row>
    <row r="191" spans="1:26" s="55" customFormat="1" ht="30" customHeight="1" x14ac:dyDescent="0.2">
      <c r="A191" s="27">
        <v>445</v>
      </c>
      <c r="B191" s="28" t="str">
        <f t="shared" si="8"/>
        <v>2.3.21a</v>
      </c>
      <c r="C191" s="29">
        <f t="shared" si="9"/>
        <v>6</v>
      </c>
      <c r="D191" s="3"/>
      <c r="E191" s="121"/>
      <c r="F191" s="36"/>
      <c r="G191" s="74" t="e">
        <f>VLOOKUP(E191,'[1]Assessment - Detect'!E:AB,24,FALSE)</f>
        <v>#N/A</v>
      </c>
      <c r="H191" s="74" t="e">
        <f>VLOOKUP(E191,'[1]Assessment - Detect'!E:I,5,FALSE)</f>
        <v>#N/A</v>
      </c>
      <c r="I191" s="121" t="e">
        <f>IF(VLOOKUP(E191,'[1]Assessment - Detect'!$E:$J,6,FALSE)=0,"",VLOOKUP(E191,'[1]Assessment - Detect'!$E:$J,6,FALSE))</f>
        <v>#N/A</v>
      </c>
      <c r="J191" s="29"/>
      <c r="K191" s="29"/>
      <c r="L191" s="29"/>
      <c r="M191" s="29"/>
      <c r="N191" s="29"/>
      <c r="O191" s="29"/>
      <c r="P191" s="29"/>
      <c r="Q191" s="29"/>
      <c r="R191" s="29"/>
      <c r="S191" s="29"/>
      <c r="T191" s="57"/>
      <c r="U191" s="91" t="e">
        <f>IF(AND(C191&gt;4,VLOOKUP(B191,'[1]Assessment - Detect'!E:AA,23,FALSE)&lt;&gt;7),LEFT(B191,3),"")</f>
        <v>#N/A</v>
      </c>
      <c r="V191" s="91" t="e">
        <f>VLOOKUP(B191,#REF!,5,FALSE)</f>
        <v>#REF!</v>
      </c>
      <c r="W191" s="91">
        <f>IF(VLOOKUP(B191,'[1]Assessment - Detect'!B:AA,26,FALSE)=7,0,1)</f>
        <v>1</v>
      </c>
      <c r="X191" s="91" t="e">
        <f t="shared" si="10"/>
        <v>#REF!</v>
      </c>
      <c r="Y191" s="57"/>
      <c r="Z191" s="57"/>
    </row>
    <row r="192" spans="1:26" s="55" customFormat="1" ht="30" customHeight="1" x14ac:dyDescent="0.2">
      <c r="A192" s="27">
        <v>446</v>
      </c>
      <c r="B192" s="28" t="str">
        <f t="shared" si="8"/>
        <v>2.3.21b</v>
      </c>
      <c r="C192" s="29">
        <f t="shared" si="9"/>
        <v>6</v>
      </c>
      <c r="D192" s="3"/>
      <c r="E192" s="121"/>
      <c r="F192" s="36"/>
      <c r="G192" s="74" t="e">
        <f>VLOOKUP(E192,'[1]Assessment - Detect'!E:AB,24,FALSE)</f>
        <v>#N/A</v>
      </c>
      <c r="H192" s="74" t="e">
        <f>VLOOKUP(E192,'[1]Assessment - Detect'!E:I,5,FALSE)</f>
        <v>#N/A</v>
      </c>
      <c r="I192" s="121" t="e">
        <f>IF(VLOOKUP(E192,'[1]Assessment - Detect'!$E:$J,6,FALSE)=0,"",VLOOKUP(E192,'[1]Assessment - Detect'!$E:$J,6,FALSE))</f>
        <v>#N/A</v>
      </c>
      <c r="J192" s="29"/>
      <c r="K192" s="29"/>
      <c r="L192" s="29"/>
      <c r="M192" s="29"/>
      <c r="N192" s="29"/>
      <c r="O192" s="29"/>
      <c r="P192" s="29"/>
      <c r="Q192" s="29"/>
      <c r="R192" s="29"/>
      <c r="S192" s="29"/>
      <c r="T192" s="57"/>
      <c r="U192" s="91" t="e">
        <f>IF(AND(C192&gt;4,VLOOKUP(B192,'[1]Assessment - Detect'!E:AA,23,FALSE)&lt;&gt;7),LEFT(B192,3),"")</f>
        <v>#N/A</v>
      </c>
      <c r="V192" s="91" t="e">
        <f>VLOOKUP(B192,#REF!,5,FALSE)</f>
        <v>#REF!</v>
      </c>
      <c r="W192" s="91">
        <f>IF(VLOOKUP(B192,'[1]Assessment - Detect'!B:AA,26,FALSE)=7,0,1)</f>
        <v>1</v>
      </c>
      <c r="X192" s="91" t="e">
        <f t="shared" si="10"/>
        <v>#REF!</v>
      </c>
      <c r="Y192" s="57"/>
      <c r="Z192" s="57"/>
    </row>
    <row r="193" spans="1:26" s="55" customFormat="1" ht="30" customHeight="1" x14ac:dyDescent="0.2">
      <c r="A193" s="27">
        <v>447</v>
      </c>
      <c r="B193" s="28" t="str">
        <f t="shared" si="8"/>
        <v>2.3.21c</v>
      </c>
      <c r="C193" s="29">
        <f t="shared" si="9"/>
        <v>6</v>
      </c>
      <c r="D193" s="3"/>
      <c r="E193" s="121"/>
      <c r="F193" s="36"/>
      <c r="G193" s="74" t="e">
        <f>VLOOKUP(E193,'[1]Assessment - Detect'!E:AB,24,FALSE)</f>
        <v>#N/A</v>
      </c>
      <c r="H193" s="74" t="e">
        <f>VLOOKUP(E193,'[1]Assessment - Detect'!E:I,5,FALSE)</f>
        <v>#N/A</v>
      </c>
      <c r="I193" s="121" t="e">
        <f>IF(VLOOKUP(E193,'[1]Assessment - Detect'!$E:$J,6,FALSE)=0,"",VLOOKUP(E193,'[1]Assessment - Detect'!$E:$J,6,FALSE))</f>
        <v>#N/A</v>
      </c>
      <c r="J193" s="29"/>
      <c r="K193" s="29"/>
      <c r="L193" s="29"/>
      <c r="M193" s="29"/>
      <c r="N193" s="29"/>
      <c r="O193" s="29"/>
      <c r="P193" s="29"/>
      <c r="Q193" s="29"/>
      <c r="R193" s="29"/>
      <c r="S193" s="29"/>
      <c r="T193" s="57"/>
      <c r="U193" s="91" t="e">
        <f>IF(AND(C193&gt;4,VLOOKUP(B193,'[1]Assessment - Detect'!E:AA,23,FALSE)&lt;&gt;7),LEFT(B193,3),"")</f>
        <v>#N/A</v>
      </c>
      <c r="V193" s="91" t="e">
        <f>VLOOKUP(B193,#REF!,5,FALSE)</f>
        <v>#REF!</v>
      </c>
      <c r="W193" s="91">
        <f>IF(VLOOKUP(B193,'[1]Assessment - Detect'!B:AA,26,FALSE)=7,0,1)</f>
        <v>1</v>
      </c>
      <c r="X193" s="91" t="e">
        <f t="shared" si="10"/>
        <v>#REF!</v>
      </c>
      <c r="Y193" s="57"/>
      <c r="Z193" s="57"/>
    </row>
    <row r="194" spans="1:26" s="55" customFormat="1" ht="30" customHeight="1" x14ac:dyDescent="0.2">
      <c r="A194" s="27">
        <v>448</v>
      </c>
      <c r="B194" s="28" t="str">
        <f t="shared" si="8"/>
        <v>2.3.21d</v>
      </c>
      <c r="C194" s="29">
        <f t="shared" si="9"/>
        <v>6</v>
      </c>
      <c r="D194" s="3"/>
      <c r="E194" s="121"/>
      <c r="F194" s="36"/>
      <c r="G194" s="74" t="e">
        <f>VLOOKUP(E194,'[1]Assessment - Detect'!E:AB,24,FALSE)</f>
        <v>#N/A</v>
      </c>
      <c r="H194" s="74" t="e">
        <f>VLOOKUP(E194,'[1]Assessment - Detect'!E:I,5,FALSE)</f>
        <v>#N/A</v>
      </c>
      <c r="I194" s="121" t="e">
        <f>IF(VLOOKUP(E194,'[1]Assessment - Detect'!$E:$J,6,FALSE)=0,"",VLOOKUP(E194,'[1]Assessment - Detect'!$E:$J,6,FALSE))</f>
        <v>#N/A</v>
      </c>
      <c r="J194" s="29"/>
      <c r="K194" s="29"/>
      <c r="L194" s="29"/>
      <c r="M194" s="29"/>
      <c r="N194" s="29"/>
      <c r="O194" s="29"/>
      <c r="P194" s="29"/>
      <c r="Q194" s="29"/>
      <c r="R194" s="29"/>
      <c r="S194" s="29"/>
      <c r="T194" s="57"/>
      <c r="U194" s="91" t="e">
        <f>IF(AND(C194&gt;4,VLOOKUP(B194,'[1]Assessment - Detect'!E:AA,23,FALSE)&lt;&gt;7),LEFT(B194,3),"")</f>
        <v>#N/A</v>
      </c>
      <c r="V194" s="91" t="e">
        <f>VLOOKUP(B194,#REF!,5,FALSE)</f>
        <v>#REF!</v>
      </c>
      <c r="W194" s="91">
        <f>IF(VLOOKUP(B194,'[1]Assessment - Detect'!B:AA,26,FALSE)=7,0,1)</f>
        <v>1</v>
      </c>
      <c r="X194" s="91" t="e">
        <f t="shared" si="10"/>
        <v>#REF!</v>
      </c>
      <c r="Y194" s="57"/>
      <c r="Z194" s="57"/>
    </row>
    <row r="195" spans="1:26" s="55" customFormat="1" ht="30" customHeight="1" x14ac:dyDescent="0.2">
      <c r="A195" s="27">
        <v>449</v>
      </c>
      <c r="B195" s="28" t="str">
        <f t="shared" si="8"/>
        <v>2.3.22</v>
      </c>
      <c r="C195" s="29">
        <f t="shared" si="9"/>
        <v>4</v>
      </c>
      <c r="D195" s="3"/>
      <c r="E195" s="121"/>
      <c r="F195" s="31"/>
      <c r="G195" s="74"/>
      <c r="H195" s="74"/>
      <c r="I195" s="121"/>
      <c r="J195" s="29"/>
      <c r="K195" s="29"/>
      <c r="L195" s="29"/>
      <c r="M195" s="29"/>
      <c r="N195" s="29"/>
      <c r="O195" s="29"/>
      <c r="P195" s="29"/>
      <c r="Q195" s="29"/>
      <c r="R195" s="29"/>
      <c r="S195" s="29"/>
      <c r="T195" s="57"/>
      <c r="U195" s="91" t="e">
        <f>IF(AND(C195&gt;4,VLOOKUP(B195,'[1]Assessment - Detect'!E:AA,23,FALSE)&lt;&gt;7),LEFT(B195,3),"")</f>
        <v>#N/A</v>
      </c>
      <c r="V195" s="91" t="e">
        <f>VLOOKUP(B195,#REF!,5,FALSE)</f>
        <v>#REF!</v>
      </c>
      <c r="W195" s="91">
        <f>IF(VLOOKUP(B195,'[1]Assessment - Detect'!B:AA,26,FALSE)=7,0,1)</f>
        <v>1</v>
      </c>
      <c r="X195" s="91" t="e">
        <f t="shared" si="10"/>
        <v>#REF!</v>
      </c>
      <c r="Y195" s="57"/>
      <c r="Z195" s="57"/>
    </row>
    <row r="196" spans="1:26" s="55" customFormat="1" ht="30" customHeight="1" x14ac:dyDescent="0.2">
      <c r="A196" s="27">
        <v>450</v>
      </c>
      <c r="B196" s="28" t="str">
        <f t="shared" si="8"/>
        <v>2.3.22a</v>
      </c>
      <c r="C196" s="29">
        <f t="shared" si="9"/>
        <v>6</v>
      </c>
      <c r="D196" s="3"/>
      <c r="E196" s="121"/>
      <c r="F196" s="36"/>
      <c r="G196" s="74" t="e">
        <f>VLOOKUP(E196,'[1]Assessment - Detect'!E:AB,24,FALSE)</f>
        <v>#N/A</v>
      </c>
      <c r="H196" s="74" t="e">
        <f>VLOOKUP(E196,'[1]Assessment - Detect'!E:I,5,FALSE)</f>
        <v>#N/A</v>
      </c>
      <c r="I196" s="121" t="e">
        <f>IF(VLOOKUP(E196,'[1]Assessment - Detect'!$E:$J,6,FALSE)=0,"",VLOOKUP(E196,'[1]Assessment - Detect'!$E:$J,6,FALSE))</f>
        <v>#N/A</v>
      </c>
      <c r="J196" s="29"/>
      <c r="K196" s="29"/>
      <c r="L196" s="29"/>
      <c r="M196" s="29"/>
      <c r="N196" s="29"/>
      <c r="O196" s="29"/>
      <c r="P196" s="29"/>
      <c r="Q196" s="29"/>
      <c r="R196" s="29"/>
      <c r="S196" s="29"/>
      <c r="T196" s="57"/>
      <c r="U196" s="91" t="e">
        <f>IF(AND(C196&gt;4,VLOOKUP(B196,'[1]Assessment - Detect'!E:AA,23,FALSE)&lt;&gt;7),LEFT(B196,3),"")</f>
        <v>#N/A</v>
      </c>
      <c r="V196" s="91" t="e">
        <f>VLOOKUP(B196,#REF!,5,FALSE)</f>
        <v>#REF!</v>
      </c>
      <c r="W196" s="91">
        <f>IF(VLOOKUP(B196,'[1]Assessment - Detect'!B:AA,26,FALSE)=7,0,1)</f>
        <v>1</v>
      </c>
      <c r="X196" s="91" t="e">
        <f t="shared" si="10"/>
        <v>#REF!</v>
      </c>
      <c r="Y196" s="57"/>
      <c r="Z196" s="57"/>
    </row>
    <row r="197" spans="1:26" s="55" customFormat="1" ht="30" customHeight="1" x14ac:dyDescent="0.2">
      <c r="A197" s="27">
        <v>451</v>
      </c>
      <c r="B197" s="28" t="str">
        <f t="shared" si="8"/>
        <v>2.3.22b</v>
      </c>
      <c r="C197" s="29">
        <f t="shared" si="9"/>
        <v>6</v>
      </c>
      <c r="D197" s="3"/>
      <c r="E197" s="121"/>
      <c r="F197" s="36"/>
      <c r="G197" s="74" t="e">
        <f>VLOOKUP(E197,'[1]Assessment - Detect'!E:AB,24,FALSE)</f>
        <v>#N/A</v>
      </c>
      <c r="H197" s="74" t="e">
        <f>VLOOKUP(E197,'[1]Assessment - Detect'!E:I,5,FALSE)</f>
        <v>#N/A</v>
      </c>
      <c r="I197" s="121" t="e">
        <f>IF(VLOOKUP(E197,'[1]Assessment - Detect'!$E:$J,6,FALSE)=0,"",VLOOKUP(E197,'[1]Assessment - Detect'!$E:$J,6,FALSE))</f>
        <v>#N/A</v>
      </c>
      <c r="J197" s="29"/>
      <c r="K197" s="29"/>
      <c r="L197" s="29"/>
      <c r="M197" s="29"/>
      <c r="N197" s="29"/>
      <c r="O197" s="29"/>
      <c r="P197" s="29"/>
      <c r="Q197" s="29"/>
      <c r="R197" s="29"/>
      <c r="S197" s="29"/>
      <c r="T197" s="57"/>
      <c r="U197" s="91" t="e">
        <f>IF(AND(C197&gt;4,VLOOKUP(B197,'[1]Assessment - Detect'!E:AA,23,FALSE)&lt;&gt;7),LEFT(B197,3),"")</f>
        <v>#N/A</v>
      </c>
      <c r="V197" s="91" t="e">
        <f>VLOOKUP(B197,#REF!,5,FALSE)</f>
        <v>#REF!</v>
      </c>
      <c r="W197" s="91">
        <f>IF(VLOOKUP(B197,'[1]Assessment - Detect'!B:AA,26,FALSE)=7,0,1)</f>
        <v>1</v>
      </c>
      <c r="X197" s="91" t="e">
        <f t="shared" si="10"/>
        <v>#REF!</v>
      </c>
      <c r="Y197" s="57"/>
      <c r="Z197" s="57"/>
    </row>
    <row r="198" spans="1:26" s="55" customFormat="1" ht="19" x14ac:dyDescent="0.2">
      <c r="A198" s="27">
        <v>452</v>
      </c>
      <c r="B198" s="28" t="str">
        <f t="shared" si="8"/>
        <v>2.3.23</v>
      </c>
      <c r="C198" s="29">
        <f t="shared" si="9"/>
        <v>5</v>
      </c>
      <c r="D198" s="3"/>
      <c r="E198" s="121"/>
      <c r="F198" s="31"/>
      <c r="G198" s="74" t="e">
        <f>VLOOKUP(E198,'[1]Assessment - Detect'!E:AB,24,FALSE)</f>
        <v>#N/A</v>
      </c>
      <c r="H198" s="74" t="e">
        <f>VLOOKUP(E198,'[1]Assessment - Detect'!E:I,5,FALSE)</f>
        <v>#N/A</v>
      </c>
      <c r="I198" s="121" t="e">
        <f>IF(VLOOKUP(E198,'[1]Assessment - Detect'!$E:$J,6,FALSE)=0,"",VLOOKUP(E198,'[1]Assessment - Detect'!$E:$J,6,FALSE))</f>
        <v>#N/A</v>
      </c>
      <c r="J198" s="29"/>
      <c r="K198" s="29"/>
      <c r="L198" s="29"/>
      <c r="M198" s="29"/>
      <c r="N198" s="29"/>
      <c r="O198" s="29"/>
      <c r="P198" s="29"/>
      <c r="Q198" s="29"/>
      <c r="R198" s="29"/>
      <c r="S198" s="29"/>
      <c r="T198" s="57"/>
      <c r="U198" s="91" t="e">
        <f>IF(AND(C198&gt;4,VLOOKUP(B198,'[1]Assessment - Detect'!E:AA,23,FALSE)&lt;&gt;7),LEFT(B198,3),"")</f>
        <v>#N/A</v>
      </c>
      <c r="V198" s="91" t="e">
        <f>VLOOKUP(B198,#REF!,5,FALSE)</f>
        <v>#REF!</v>
      </c>
      <c r="W198" s="91">
        <f>IF(VLOOKUP(B198,'[1]Assessment - Detect'!B:AA,26,FALSE)=7,0,1)</f>
        <v>1</v>
      </c>
      <c r="X198" s="91" t="e">
        <f t="shared" si="10"/>
        <v>#REF!</v>
      </c>
      <c r="Y198" s="57"/>
      <c r="Z198" s="57"/>
    </row>
    <row r="199" spans="1:26" s="55" customFormat="1" ht="30" customHeight="1" x14ac:dyDescent="0.2">
      <c r="A199" s="27">
        <v>453</v>
      </c>
      <c r="B199" s="28" t="str">
        <f t="shared" si="8"/>
        <v>2.3.24</v>
      </c>
      <c r="C199" s="29">
        <f t="shared" si="9"/>
        <v>4</v>
      </c>
      <c r="D199" s="3"/>
      <c r="E199" s="121"/>
      <c r="F199" s="31"/>
      <c r="G199" s="74"/>
      <c r="H199" s="74"/>
      <c r="I199" s="121"/>
      <c r="J199" s="29"/>
      <c r="K199" s="29"/>
      <c r="L199" s="29"/>
      <c r="M199" s="29"/>
      <c r="N199" s="29"/>
      <c r="O199" s="29"/>
      <c r="P199" s="29"/>
      <c r="Q199" s="29"/>
      <c r="R199" s="29"/>
      <c r="S199" s="29"/>
      <c r="T199" s="57"/>
      <c r="U199" s="91" t="e">
        <f>IF(AND(C199&gt;4,VLOOKUP(B199,'[1]Assessment - Detect'!E:AA,23,FALSE)&lt;&gt;7),LEFT(B199,3),"")</f>
        <v>#N/A</v>
      </c>
      <c r="V199" s="91" t="e">
        <f>VLOOKUP(B199,#REF!,5,FALSE)</f>
        <v>#REF!</v>
      </c>
      <c r="W199" s="91">
        <f>IF(VLOOKUP(B199,'[1]Assessment - Detect'!B:AA,26,FALSE)=7,0,1)</f>
        <v>1</v>
      </c>
      <c r="X199" s="91" t="e">
        <f t="shared" si="10"/>
        <v>#REF!</v>
      </c>
      <c r="Y199" s="57"/>
      <c r="Z199" s="57"/>
    </row>
    <row r="200" spans="1:26" s="55" customFormat="1" ht="19" x14ac:dyDescent="0.2">
      <c r="A200" s="27">
        <v>454</v>
      </c>
      <c r="B200" s="28" t="str">
        <f t="shared" ref="B200:B263" si="11">VLOOKUP(A200,contentref,2,FALSE)</f>
        <v>2.3.24a</v>
      </c>
      <c r="C200" s="29">
        <f t="shared" ref="C200:C267" si="12">VLOOKUP(A200,contentref,15,FALSE)</f>
        <v>6</v>
      </c>
      <c r="D200" s="3"/>
      <c r="E200" s="121"/>
      <c r="F200" s="36"/>
      <c r="G200" s="74" t="e">
        <f>VLOOKUP(E200,'[1]Assessment - Detect'!E:AB,24,FALSE)</f>
        <v>#N/A</v>
      </c>
      <c r="H200" s="74" t="e">
        <f>VLOOKUP(E200,'[1]Assessment - Detect'!E:I,5,FALSE)</f>
        <v>#N/A</v>
      </c>
      <c r="I200" s="121" t="e">
        <f>IF(VLOOKUP(E200,'[1]Assessment - Detect'!$E:$J,6,FALSE)=0,"",VLOOKUP(E200,'[1]Assessment - Detect'!$E:$J,6,FALSE))</f>
        <v>#N/A</v>
      </c>
      <c r="J200" s="29"/>
      <c r="K200" s="29"/>
      <c r="L200" s="29"/>
      <c r="M200" s="29"/>
      <c r="N200" s="29"/>
      <c r="O200" s="29"/>
      <c r="P200" s="29"/>
      <c r="Q200" s="29"/>
      <c r="R200" s="29"/>
      <c r="S200" s="29"/>
      <c r="T200" s="57"/>
      <c r="U200" s="91" t="e">
        <f>IF(AND(C200&gt;4,VLOOKUP(B200,'[1]Assessment - Detect'!E:AA,23,FALSE)&lt;&gt;7),LEFT(B200,3),"")</f>
        <v>#N/A</v>
      </c>
      <c r="V200" s="91" t="e">
        <f>VLOOKUP(B200,#REF!,5,FALSE)</f>
        <v>#REF!</v>
      </c>
      <c r="W200" s="91">
        <f>IF(VLOOKUP(B200,'[1]Assessment - Detect'!B:AA,26,FALSE)=7,0,1)</f>
        <v>1</v>
      </c>
      <c r="X200" s="91" t="e">
        <f t="shared" ref="X200:X263" si="13">W200*V200*3</f>
        <v>#REF!</v>
      </c>
      <c r="Y200" s="57"/>
      <c r="Z200" s="57"/>
    </row>
    <row r="201" spans="1:26" s="55" customFormat="1" ht="30" customHeight="1" x14ac:dyDescent="0.2">
      <c r="A201" s="27">
        <v>455</v>
      </c>
      <c r="B201" s="28" t="str">
        <f t="shared" si="11"/>
        <v>2.3.24b</v>
      </c>
      <c r="C201" s="29">
        <f t="shared" si="12"/>
        <v>6</v>
      </c>
      <c r="D201" s="3"/>
      <c r="E201" s="121"/>
      <c r="F201" s="36"/>
      <c r="G201" s="74" t="e">
        <f>VLOOKUP(E201,'[1]Assessment - Detect'!E:AB,24,FALSE)</f>
        <v>#N/A</v>
      </c>
      <c r="H201" s="74" t="e">
        <f>VLOOKUP(E201,'[1]Assessment - Detect'!E:I,5,FALSE)</f>
        <v>#N/A</v>
      </c>
      <c r="I201" s="121" t="e">
        <f>IF(VLOOKUP(E201,'[1]Assessment - Detect'!$E:$J,6,FALSE)=0,"",VLOOKUP(E201,'[1]Assessment - Detect'!$E:$J,6,FALSE))</f>
        <v>#N/A</v>
      </c>
      <c r="J201" s="29"/>
      <c r="K201" s="29"/>
      <c r="L201" s="29"/>
      <c r="M201" s="29"/>
      <c r="N201" s="29"/>
      <c r="O201" s="29"/>
      <c r="P201" s="29"/>
      <c r="Q201" s="29"/>
      <c r="R201" s="29"/>
      <c r="S201" s="29"/>
      <c r="T201" s="57"/>
      <c r="U201" s="91" t="e">
        <f>IF(AND(C201&gt;4,VLOOKUP(B201,'[1]Assessment - Detect'!E:AA,23,FALSE)&lt;&gt;7),LEFT(B201,3),"")</f>
        <v>#N/A</v>
      </c>
      <c r="V201" s="91" t="e">
        <f>VLOOKUP(B201,#REF!,5,FALSE)</f>
        <v>#REF!</v>
      </c>
      <c r="W201" s="91">
        <f>IF(VLOOKUP(B201,'[1]Assessment - Detect'!B:AA,26,FALSE)=7,0,1)</f>
        <v>1</v>
      </c>
      <c r="X201" s="91" t="e">
        <f t="shared" si="13"/>
        <v>#REF!</v>
      </c>
      <c r="Y201" s="57"/>
      <c r="Z201" s="57"/>
    </row>
    <row r="202" spans="1:26" s="55" customFormat="1" ht="19" x14ac:dyDescent="0.2">
      <c r="A202" s="27">
        <v>456</v>
      </c>
      <c r="B202" s="28" t="str">
        <f t="shared" si="11"/>
        <v>2.3.24c</v>
      </c>
      <c r="C202" s="29">
        <f t="shared" si="12"/>
        <v>6</v>
      </c>
      <c r="D202" s="3"/>
      <c r="E202" s="121"/>
      <c r="F202" s="36"/>
      <c r="G202" s="74" t="e">
        <f>VLOOKUP(E202,'[1]Assessment - Detect'!E:AB,24,FALSE)</f>
        <v>#N/A</v>
      </c>
      <c r="H202" s="74" t="e">
        <f>VLOOKUP(E202,'[1]Assessment - Detect'!E:I,5,FALSE)</f>
        <v>#N/A</v>
      </c>
      <c r="I202" s="121" t="e">
        <f>IF(VLOOKUP(E202,'[1]Assessment - Detect'!$E:$J,6,FALSE)=0,"",VLOOKUP(E202,'[1]Assessment - Detect'!$E:$J,6,FALSE))</f>
        <v>#N/A</v>
      </c>
      <c r="J202" s="29"/>
      <c r="K202" s="29"/>
      <c r="L202" s="29"/>
      <c r="M202" s="29"/>
      <c r="N202" s="29"/>
      <c r="O202" s="29"/>
      <c r="P202" s="29"/>
      <c r="Q202" s="29"/>
      <c r="R202" s="29"/>
      <c r="S202" s="29"/>
      <c r="T202" s="57"/>
      <c r="U202" s="91" t="e">
        <f>IF(AND(C202&gt;4,VLOOKUP(B202,'[1]Assessment - Detect'!E:AA,23,FALSE)&lt;&gt;7),LEFT(B202,3),"")</f>
        <v>#N/A</v>
      </c>
      <c r="V202" s="91" t="e">
        <f>VLOOKUP(B202,#REF!,5,FALSE)</f>
        <v>#REF!</v>
      </c>
      <c r="W202" s="91">
        <f>IF(VLOOKUP(B202,'[1]Assessment - Detect'!B:AA,26,FALSE)=7,0,1)</f>
        <v>1</v>
      </c>
      <c r="X202" s="91" t="e">
        <f t="shared" si="13"/>
        <v>#REF!</v>
      </c>
      <c r="Y202" s="57"/>
      <c r="Z202" s="57"/>
    </row>
    <row r="203" spans="1:26" s="55" customFormat="1" ht="19" x14ac:dyDescent="0.2">
      <c r="A203" s="27">
        <v>457</v>
      </c>
      <c r="B203" s="28" t="str">
        <f t="shared" si="11"/>
        <v>2.3.24d</v>
      </c>
      <c r="C203" s="29">
        <f t="shared" si="12"/>
        <v>6</v>
      </c>
      <c r="D203" s="3"/>
      <c r="E203" s="121"/>
      <c r="F203" s="36"/>
      <c r="G203" s="74" t="e">
        <f>VLOOKUP(E203,'[1]Assessment - Detect'!E:AB,24,FALSE)</f>
        <v>#N/A</v>
      </c>
      <c r="H203" s="74" t="e">
        <f>VLOOKUP(E203,'[1]Assessment - Detect'!E:I,5,FALSE)</f>
        <v>#N/A</v>
      </c>
      <c r="I203" s="121" t="e">
        <f>IF(VLOOKUP(E203,'[1]Assessment - Detect'!$E:$J,6,FALSE)=0,"",VLOOKUP(E203,'[1]Assessment - Detect'!$E:$J,6,FALSE))</f>
        <v>#N/A</v>
      </c>
      <c r="J203" s="29"/>
      <c r="K203" s="29"/>
      <c r="L203" s="29"/>
      <c r="M203" s="29"/>
      <c r="N203" s="29"/>
      <c r="O203" s="29"/>
      <c r="P203" s="29"/>
      <c r="Q203" s="29"/>
      <c r="R203" s="29"/>
      <c r="S203" s="29"/>
      <c r="T203" s="57"/>
      <c r="U203" s="91" t="e">
        <f>IF(AND(C203&gt;4,VLOOKUP(B203,'[1]Assessment - Detect'!E:AA,23,FALSE)&lt;&gt;7),LEFT(B203,3),"")</f>
        <v>#N/A</v>
      </c>
      <c r="V203" s="91" t="e">
        <f>VLOOKUP(B203,#REF!,5,FALSE)</f>
        <v>#REF!</v>
      </c>
      <c r="W203" s="91">
        <f>IF(VLOOKUP(B203,'[1]Assessment - Detect'!B:AA,26,FALSE)=7,0,1)</f>
        <v>1</v>
      </c>
      <c r="X203" s="91" t="e">
        <f t="shared" si="13"/>
        <v>#REF!</v>
      </c>
      <c r="Y203" s="57"/>
      <c r="Z203" s="57"/>
    </row>
    <row r="204" spans="1:26" s="55" customFormat="1" ht="19" x14ac:dyDescent="0.2">
      <c r="A204" s="27">
        <v>458</v>
      </c>
      <c r="B204" s="28" t="str">
        <f t="shared" si="11"/>
        <v>2.3.24e</v>
      </c>
      <c r="C204" s="29">
        <f t="shared" si="12"/>
        <v>6</v>
      </c>
      <c r="D204" s="3"/>
      <c r="E204" s="121"/>
      <c r="F204" s="36"/>
      <c r="G204" s="74" t="e">
        <f>VLOOKUP(E204,'[1]Assessment - Detect'!E:AB,24,FALSE)</f>
        <v>#N/A</v>
      </c>
      <c r="H204" s="74" t="e">
        <f>VLOOKUP(E204,'[1]Assessment - Detect'!E:I,5,FALSE)</f>
        <v>#N/A</v>
      </c>
      <c r="I204" s="121" t="e">
        <f>IF(VLOOKUP(E204,'[1]Assessment - Detect'!$E:$J,6,FALSE)=0,"",VLOOKUP(E204,'[1]Assessment - Detect'!$E:$J,6,FALSE))</f>
        <v>#N/A</v>
      </c>
      <c r="J204" s="29"/>
      <c r="K204" s="29"/>
      <c r="L204" s="29"/>
      <c r="M204" s="29"/>
      <c r="N204" s="29"/>
      <c r="O204" s="29"/>
      <c r="P204" s="29"/>
      <c r="Q204" s="29"/>
      <c r="R204" s="29"/>
      <c r="S204" s="29"/>
      <c r="T204" s="57"/>
      <c r="U204" s="91" t="e">
        <f>IF(AND(C204&gt;4,VLOOKUP(B204,'[1]Assessment - Detect'!E:AA,23,FALSE)&lt;&gt;7),LEFT(B204,3),"")</f>
        <v>#N/A</v>
      </c>
      <c r="V204" s="91" t="e">
        <f>VLOOKUP(B204,#REF!,5,FALSE)</f>
        <v>#REF!</v>
      </c>
      <c r="W204" s="91">
        <f>IF(VLOOKUP(B204,'[1]Assessment - Detect'!B:AA,26,FALSE)=7,0,1)</f>
        <v>1</v>
      </c>
      <c r="X204" s="91" t="e">
        <f t="shared" si="13"/>
        <v>#REF!</v>
      </c>
      <c r="Y204" s="57"/>
      <c r="Z204" s="57"/>
    </row>
    <row r="205" spans="1:26" s="55" customFormat="1" ht="30" customHeight="1" x14ac:dyDescent="0.2">
      <c r="A205" s="27">
        <v>459</v>
      </c>
      <c r="B205" s="28" t="str">
        <f t="shared" si="11"/>
        <v>2.3.24f</v>
      </c>
      <c r="C205" s="29">
        <f t="shared" si="12"/>
        <v>6</v>
      </c>
      <c r="D205" s="3"/>
      <c r="E205" s="121"/>
      <c r="F205" s="36"/>
      <c r="G205" s="74" t="e">
        <f>VLOOKUP(E205,'[1]Assessment - Detect'!E:AB,24,FALSE)</f>
        <v>#N/A</v>
      </c>
      <c r="H205" s="74" t="e">
        <f>VLOOKUP(E205,'[1]Assessment - Detect'!E:I,5,FALSE)</f>
        <v>#N/A</v>
      </c>
      <c r="I205" s="121" t="e">
        <f>IF(VLOOKUP(E205,'[1]Assessment - Detect'!$E:$J,6,FALSE)=0,"",VLOOKUP(E205,'[1]Assessment - Detect'!$E:$J,6,FALSE))</f>
        <v>#N/A</v>
      </c>
      <c r="J205" s="29"/>
      <c r="K205" s="29"/>
      <c r="L205" s="29"/>
      <c r="M205" s="29"/>
      <c r="N205" s="29"/>
      <c r="O205" s="29"/>
      <c r="P205" s="29"/>
      <c r="Q205" s="29"/>
      <c r="R205" s="29"/>
      <c r="S205" s="29"/>
      <c r="T205" s="57"/>
      <c r="U205" s="91" t="e">
        <f>IF(AND(C205&gt;4,VLOOKUP(B205,'[1]Assessment - Detect'!E:AA,23,FALSE)&lt;&gt;7),LEFT(B205,3),"")</f>
        <v>#N/A</v>
      </c>
      <c r="V205" s="91" t="e">
        <f>VLOOKUP(B205,#REF!,5,FALSE)</f>
        <v>#REF!</v>
      </c>
      <c r="W205" s="91">
        <f>IF(VLOOKUP(B205,'[1]Assessment - Detect'!B:AA,26,FALSE)=7,0,1)</f>
        <v>1</v>
      </c>
      <c r="X205" s="91" t="e">
        <f t="shared" si="13"/>
        <v>#REF!</v>
      </c>
      <c r="Y205" s="57"/>
      <c r="Z205" s="57"/>
    </row>
    <row r="206" spans="1:26" s="55" customFormat="1" ht="30" customHeight="1" x14ac:dyDescent="0.2">
      <c r="A206" s="27">
        <v>460</v>
      </c>
      <c r="B206" s="28" t="str">
        <f t="shared" si="11"/>
        <v>2.3.25</v>
      </c>
      <c r="C206" s="29">
        <f t="shared" si="12"/>
        <v>4</v>
      </c>
      <c r="D206" s="3"/>
      <c r="E206" s="121"/>
      <c r="F206" s="31"/>
      <c r="G206" s="74"/>
      <c r="H206" s="74"/>
      <c r="I206" s="121"/>
      <c r="J206" s="29"/>
      <c r="K206" s="29"/>
      <c r="L206" s="29"/>
      <c r="M206" s="29"/>
      <c r="N206" s="29"/>
      <c r="O206" s="29"/>
      <c r="P206" s="29"/>
      <c r="Q206" s="29"/>
      <c r="R206" s="29"/>
      <c r="S206" s="29"/>
      <c r="T206" s="57"/>
      <c r="U206" s="91" t="e">
        <f>IF(AND(C206&gt;4,VLOOKUP(B206,'[1]Assessment - Detect'!E:AA,23,FALSE)&lt;&gt;7),LEFT(B206,3),"")</f>
        <v>#N/A</v>
      </c>
      <c r="V206" s="91" t="e">
        <f>VLOOKUP(B206,#REF!,5,FALSE)</f>
        <v>#REF!</v>
      </c>
      <c r="W206" s="91">
        <f>IF(VLOOKUP(B206,'[1]Assessment - Detect'!B:AA,26,FALSE)=7,0,1)</f>
        <v>1</v>
      </c>
      <c r="X206" s="91" t="e">
        <f t="shared" si="13"/>
        <v>#REF!</v>
      </c>
      <c r="Y206" s="57"/>
      <c r="Z206" s="57"/>
    </row>
    <row r="207" spans="1:26" s="55" customFormat="1" ht="30" customHeight="1" x14ac:dyDescent="0.2">
      <c r="A207" s="27">
        <v>461</v>
      </c>
      <c r="B207" s="28" t="str">
        <f t="shared" si="11"/>
        <v>2.3.25a</v>
      </c>
      <c r="C207" s="29">
        <f t="shared" si="12"/>
        <v>6</v>
      </c>
      <c r="D207" s="3"/>
      <c r="E207" s="121"/>
      <c r="F207" s="36"/>
      <c r="G207" s="74" t="e">
        <f>VLOOKUP(E207,'[1]Assessment - Detect'!E:AB,24,FALSE)</f>
        <v>#N/A</v>
      </c>
      <c r="H207" s="74" t="e">
        <f>VLOOKUP(E207,'[1]Assessment - Detect'!E:I,5,FALSE)</f>
        <v>#N/A</v>
      </c>
      <c r="I207" s="121" t="e">
        <f>IF(VLOOKUP(E207,'[1]Assessment - Detect'!$E:$J,6,FALSE)=0,"",VLOOKUP(E207,'[1]Assessment - Detect'!$E:$J,6,FALSE))</f>
        <v>#N/A</v>
      </c>
      <c r="J207" s="29"/>
      <c r="K207" s="29"/>
      <c r="L207" s="29"/>
      <c r="M207" s="29"/>
      <c r="N207" s="29"/>
      <c r="O207" s="29"/>
      <c r="P207" s="29"/>
      <c r="Q207" s="29"/>
      <c r="R207" s="29"/>
      <c r="S207" s="29"/>
      <c r="T207" s="57"/>
      <c r="U207" s="91" t="e">
        <f>IF(AND(C207&gt;4,VLOOKUP(B207,'[1]Assessment - Detect'!E:AA,23,FALSE)&lt;&gt;7),LEFT(B207,3),"")</f>
        <v>#N/A</v>
      </c>
      <c r="V207" s="91" t="e">
        <f>VLOOKUP(B207,#REF!,5,FALSE)</f>
        <v>#REF!</v>
      </c>
      <c r="W207" s="91">
        <f>IF(VLOOKUP(B207,'[1]Assessment - Detect'!B:AA,26,FALSE)=7,0,1)</f>
        <v>1</v>
      </c>
      <c r="X207" s="91" t="e">
        <f t="shared" si="13"/>
        <v>#REF!</v>
      </c>
      <c r="Y207" s="57"/>
      <c r="Z207" s="57"/>
    </row>
    <row r="208" spans="1:26" s="55" customFormat="1" ht="19" x14ac:dyDescent="0.2">
      <c r="A208" s="27">
        <v>462</v>
      </c>
      <c r="B208" s="28" t="str">
        <f t="shared" si="11"/>
        <v>2.3.25b</v>
      </c>
      <c r="C208" s="29">
        <f t="shared" si="12"/>
        <v>6</v>
      </c>
      <c r="D208" s="3"/>
      <c r="E208" s="121"/>
      <c r="F208" s="36"/>
      <c r="G208" s="74" t="e">
        <f>VLOOKUP(E208,'[1]Assessment - Detect'!E:AB,24,FALSE)</f>
        <v>#N/A</v>
      </c>
      <c r="H208" s="74" t="e">
        <f>VLOOKUP(E208,'[1]Assessment - Detect'!E:I,5,FALSE)</f>
        <v>#N/A</v>
      </c>
      <c r="I208" s="121" t="e">
        <f>IF(VLOOKUP(E208,'[1]Assessment - Detect'!$E:$J,6,FALSE)=0,"",VLOOKUP(E208,'[1]Assessment - Detect'!$E:$J,6,FALSE))</f>
        <v>#N/A</v>
      </c>
      <c r="J208" s="29"/>
      <c r="K208" s="29"/>
      <c r="L208" s="29"/>
      <c r="M208" s="29"/>
      <c r="N208" s="29"/>
      <c r="O208" s="29"/>
      <c r="P208" s="29"/>
      <c r="Q208" s="29"/>
      <c r="R208" s="29"/>
      <c r="S208" s="29"/>
      <c r="T208" s="57"/>
      <c r="U208" s="91" t="e">
        <f>IF(AND(C208&gt;4,VLOOKUP(B208,'[1]Assessment - Detect'!E:AA,23,FALSE)&lt;&gt;7),LEFT(B208,3),"")</f>
        <v>#N/A</v>
      </c>
      <c r="V208" s="91" t="e">
        <f>VLOOKUP(B208,#REF!,5,FALSE)</f>
        <v>#REF!</v>
      </c>
      <c r="W208" s="91">
        <f>IF(VLOOKUP(B208,'[1]Assessment - Detect'!B:AA,26,FALSE)=7,0,1)</f>
        <v>1</v>
      </c>
      <c r="X208" s="91" t="e">
        <f t="shared" si="13"/>
        <v>#REF!</v>
      </c>
      <c r="Y208" s="57"/>
      <c r="Z208" s="57"/>
    </row>
    <row r="209" spans="1:26" s="55" customFormat="1" ht="30" customHeight="1" x14ac:dyDescent="0.2">
      <c r="A209" s="27">
        <v>463</v>
      </c>
      <c r="B209" s="28" t="str">
        <f t="shared" si="11"/>
        <v>2.3.26</v>
      </c>
      <c r="C209" s="29">
        <f t="shared" si="12"/>
        <v>4</v>
      </c>
      <c r="D209" s="3"/>
      <c r="E209" s="121"/>
      <c r="F209" s="31"/>
      <c r="G209" s="74"/>
      <c r="H209" s="74"/>
      <c r="I209" s="121"/>
      <c r="J209" s="29"/>
      <c r="K209" s="29"/>
      <c r="L209" s="29"/>
      <c r="M209" s="29"/>
      <c r="N209" s="29"/>
      <c r="O209" s="29"/>
      <c r="P209" s="29"/>
      <c r="Q209" s="29"/>
      <c r="R209" s="29"/>
      <c r="S209" s="29"/>
      <c r="T209" s="57"/>
      <c r="U209" s="91" t="e">
        <f>IF(AND(C209&gt;4,VLOOKUP(B209,'[1]Assessment - Detect'!E:AA,23,FALSE)&lt;&gt;7),LEFT(B209,3),"")</f>
        <v>#N/A</v>
      </c>
      <c r="V209" s="91" t="e">
        <f>VLOOKUP(B209,#REF!,5,FALSE)</f>
        <v>#REF!</v>
      </c>
      <c r="W209" s="91">
        <f>IF(VLOOKUP(B209,'[1]Assessment - Detect'!B:AA,26,FALSE)=7,0,1)</f>
        <v>1</v>
      </c>
      <c r="X209" s="91" t="e">
        <f t="shared" si="13"/>
        <v>#REF!</v>
      </c>
      <c r="Y209" s="57"/>
      <c r="Z209" s="57"/>
    </row>
    <row r="210" spans="1:26" s="55" customFormat="1" ht="19" x14ac:dyDescent="0.2">
      <c r="A210" s="27">
        <v>464</v>
      </c>
      <c r="B210" s="28" t="str">
        <f t="shared" si="11"/>
        <v>2.3.26a</v>
      </c>
      <c r="C210" s="29">
        <f t="shared" si="12"/>
        <v>6</v>
      </c>
      <c r="D210" s="3"/>
      <c r="E210" s="121"/>
      <c r="F210" s="36"/>
      <c r="G210" s="74" t="e">
        <f>VLOOKUP(E210,'[1]Assessment - Detect'!E:AB,24,FALSE)</f>
        <v>#N/A</v>
      </c>
      <c r="H210" s="74" t="e">
        <f>VLOOKUP(E210,'[1]Assessment - Detect'!E:I,5,FALSE)</f>
        <v>#N/A</v>
      </c>
      <c r="I210" s="121" t="e">
        <f>IF(VLOOKUP(E210,'[1]Assessment - Detect'!$E:$J,6,FALSE)=0,"",VLOOKUP(E210,'[1]Assessment - Detect'!$E:$J,6,FALSE))</f>
        <v>#N/A</v>
      </c>
      <c r="J210" s="29"/>
      <c r="K210" s="29"/>
      <c r="L210" s="29"/>
      <c r="M210" s="29"/>
      <c r="N210" s="29"/>
      <c r="O210" s="29"/>
      <c r="P210" s="29"/>
      <c r="Q210" s="29"/>
      <c r="R210" s="29"/>
      <c r="S210" s="29"/>
      <c r="T210" s="57"/>
      <c r="U210" s="91" t="e">
        <f>IF(AND(C210&gt;4,VLOOKUP(B210,'[1]Assessment - Detect'!E:AA,23,FALSE)&lt;&gt;7),LEFT(B210,3),"")</f>
        <v>#N/A</v>
      </c>
      <c r="V210" s="91" t="e">
        <f>VLOOKUP(B210,#REF!,5,FALSE)</f>
        <v>#REF!</v>
      </c>
      <c r="W210" s="91">
        <f>IF(VLOOKUP(B210,'[1]Assessment - Detect'!B:AA,26,FALSE)=7,0,1)</f>
        <v>1</v>
      </c>
      <c r="X210" s="91" t="e">
        <f t="shared" si="13"/>
        <v>#REF!</v>
      </c>
      <c r="Y210" s="57"/>
      <c r="Z210" s="57"/>
    </row>
    <row r="211" spans="1:26" s="55" customFormat="1" ht="19" x14ac:dyDescent="0.2">
      <c r="A211" s="27">
        <v>465</v>
      </c>
      <c r="B211" s="28" t="str">
        <f t="shared" si="11"/>
        <v>2.3.26b</v>
      </c>
      <c r="C211" s="29">
        <f t="shared" si="12"/>
        <v>6</v>
      </c>
      <c r="D211" s="3"/>
      <c r="E211" s="121"/>
      <c r="F211" s="36"/>
      <c r="G211" s="74" t="e">
        <f>VLOOKUP(E211,'[1]Assessment - Detect'!E:AB,24,FALSE)</f>
        <v>#N/A</v>
      </c>
      <c r="H211" s="74" t="e">
        <f>VLOOKUP(E211,'[1]Assessment - Detect'!E:I,5,FALSE)</f>
        <v>#N/A</v>
      </c>
      <c r="I211" s="121" t="e">
        <f>IF(VLOOKUP(E211,'[1]Assessment - Detect'!$E:$J,6,FALSE)=0,"",VLOOKUP(E211,'[1]Assessment - Detect'!$E:$J,6,FALSE))</f>
        <v>#N/A</v>
      </c>
      <c r="J211" s="29"/>
      <c r="K211" s="29"/>
      <c r="L211" s="29"/>
      <c r="M211" s="29"/>
      <c r="N211" s="29"/>
      <c r="O211" s="29"/>
      <c r="P211" s="29"/>
      <c r="Q211" s="29"/>
      <c r="R211" s="29"/>
      <c r="S211" s="29"/>
      <c r="T211" s="57"/>
      <c r="U211" s="91" t="e">
        <f>IF(AND(C211&gt;4,VLOOKUP(B211,'[1]Assessment - Detect'!E:AA,23,FALSE)&lt;&gt;7),LEFT(B211,3),"")</f>
        <v>#N/A</v>
      </c>
      <c r="V211" s="91" t="e">
        <f>VLOOKUP(B211,#REF!,5,FALSE)</f>
        <v>#REF!</v>
      </c>
      <c r="W211" s="91">
        <f>IF(VLOOKUP(B211,'[1]Assessment - Detect'!B:AA,26,FALSE)=7,0,1)</f>
        <v>1</v>
      </c>
      <c r="X211" s="91" t="e">
        <f t="shared" si="13"/>
        <v>#REF!</v>
      </c>
      <c r="Y211" s="57"/>
      <c r="Z211" s="57"/>
    </row>
    <row r="212" spans="1:26" s="55" customFormat="1" ht="30" customHeight="1" x14ac:dyDescent="0.2">
      <c r="A212" s="27">
        <v>466</v>
      </c>
      <c r="B212" s="28" t="str">
        <f t="shared" si="11"/>
        <v>2.3.27</v>
      </c>
      <c r="C212" s="29">
        <f t="shared" si="12"/>
        <v>4</v>
      </c>
      <c r="D212" s="3"/>
      <c r="E212" s="121"/>
      <c r="F212" s="31"/>
      <c r="G212" s="74"/>
      <c r="H212" s="74"/>
      <c r="I212" s="121"/>
      <c r="J212" s="29"/>
      <c r="K212" s="29"/>
      <c r="L212" s="29"/>
      <c r="M212" s="29"/>
      <c r="N212" s="29"/>
      <c r="O212" s="29"/>
      <c r="P212" s="29"/>
      <c r="Q212" s="29"/>
      <c r="R212" s="29"/>
      <c r="S212" s="29"/>
      <c r="T212" s="57"/>
      <c r="U212" s="91" t="e">
        <f>IF(AND(C212&gt;4,VLOOKUP(B212,'[1]Assessment - Detect'!E:AA,23,FALSE)&lt;&gt;7),LEFT(B212,3),"")</f>
        <v>#N/A</v>
      </c>
      <c r="V212" s="91" t="e">
        <f>VLOOKUP(B212,#REF!,5,FALSE)</f>
        <v>#REF!</v>
      </c>
      <c r="W212" s="91">
        <f>IF(VLOOKUP(B212,'[1]Assessment - Detect'!B:AA,26,FALSE)=7,0,1)</f>
        <v>1</v>
      </c>
      <c r="X212" s="91" t="e">
        <f t="shared" si="13"/>
        <v>#REF!</v>
      </c>
      <c r="Y212" s="57"/>
      <c r="Z212" s="57"/>
    </row>
    <row r="213" spans="1:26" s="55" customFormat="1" ht="19" x14ac:dyDescent="0.2">
      <c r="A213" s="27">
        <v>467</v>
      </c>
      <c r="B213" s="28" t="str">
        <f t="shared" si="11"/>
        <v>2.3.27a</v>
      </c>
      <c r="C213" s="29">
        <f t="shared" si="12"/>
        <v>6</v>
      </c>
      <c r="D213" s="3"/>
      <c r="E213" s="121"/>
      <c r="F213" s="36"/>
      <c r="G213" s="74" t="e">
        <f>VLOOKUP(E213,'[1]Assessment - Detect'!E:AB,24,FALSE)</f>
        <v>#N/A</v>
      </c>
      <c r="H213" s="74" t="e">
        <f>VLOOKUP(E213,'[1]Assessment - Detect'!E:I,5,FALSE)</f>
        <v>#N/A</v>
      </c>
      <c r="I213" s="121" t="e">
        <f>IF(VLOOKUP(E213,'[1]Assessment - Detect'!$E:$J,6,FALSE)=0,"",VLOOKUP(E213,'[1]Assessment - Detect'!$E:$J,6,FALSE))</f>
        <v>#N/A</v>
      </c>
      <c r="J213" s="29"/>
      <c r="K213" s="29"/>
      <c r="L213" s="29"/>
      <c r="M213" s="29"/>
      <c r="N213" s="29"/>
      <c r="O213" s="29"/>
      <c r="P213" s="29"/>
      <c r="Q213" s="29"/>
      <c r="R213" s="29"/>
      <c r="S213" s="29"/>
      <c r="T213" s="57"/>
      <c r="U213" s="91" t="e">
        <f>IF(AND(C213&gt;4,VLOOKUP(B213,'[1]Assessment - Detect'!E:AA,23,FALSE)&lt;&gt;7),LEFT(B213,3),"")</f>
        <v>#N/A</v>
      </c>
      <c r="V213" s="91" t="e">
        <f>VLOOKUP(B213,#REF!,5,FALSE)</f>
        <v>#REF!</v>
      </c>
      <c r="W213" s="91">
        <f>IF(VLOOKUP(B213,'[1]Assessment - Detect'!B:AA,26,FALSE)=7,0,1)</f>
        <v>1</v>
      </c>
      <c r="X213" s="91" t="e">
        <f t="shared" si="13"/>
        <v>#REF!</v>
      </c>
      <c r="Y213" s="57"/>
      <c r="Z213" s="57"/>
    </row>
    <row r="214" spans="1:26" s="55" customFormat="1" ht="30" customHeight="1" x14ac:dyDescent="0.2">
      <c r="A214" s="27">
        <v>468</v>
      </c>
      <c r="B214" s="28" t="str">
        <f t="shared" si="11"/>
        <v>2.3.27b</v>
      </c>
      <c r="C214" s="29">
        <f t="shared" si="12"/>
        <v>6</v>
      </c>
      <c r="D214" s="3"/>
      <c r="E214" s="126"/>
      <c r="F214" s="39"/>
      <c r="G214" s="74" t="e">
        <f>VLOOKUP(E214,'[1]Assessment - Detect'!E:AB,24,FALSE)</f>
        <v>#N/A</v>
      </c>
      <c r="H214" s="74" t="e">
        <f>VLOOKUP(E214,'[1]Assessment - Detect'!E:I,5,FALSE)</f>
        <v>#N/A</v>
      </c>
      <c r="I214" s="126" t="e">
        <f>IF(VLOOKUP(E214,'[1]Assessment - Detect'!$E:$J,6,FALSE)=0,"",VLOOKUP(E214,'[1]Assessment - Detect'!$E:$J,6,FALSE))</f>
        <v>#N/A</v>
      </c>
      <c r="J214" s="37"/>
      <c r="K214" s="37"/>
      <c r="L214" s="37"/>
      <c r="M214" s="37"/>
      <c r="N214" s="37"/>
      <c r="O214" s="37"/>
      <c r="P214" s="37"/>
      <c r="Q214" s="37"/>
      <c r="R214" s="37"/>
      <c r="S214" s="37"/>
      <c r="T214" s="77"/>
      <c r="U214" s="124" t="e">
        <f>IF(AND(C214&gt;4,VLOOKUP(B214,'[1]Assessment - Detect'!E:AA,23,FALSE)&lt;&gt;7),LEFT(B214,3),"")</f>
        <v>#N/A</v>
      </c>
      <c r="V214" s="124" t="e">
        <f>VLOOKUP(B214,#REF!,5,FALSE)</f>
        <v>#REF!</v>
      </c>
      <c r="W214" s="124">
        <f>IF(VLOOKUP(B214,'[1]Assessment - Detect'!B:AA,26,FALSE)=7,0,1)</f>
        <v>1</v>
      </c>
      <c r="X214" s="124" t="e">
        <f t="shared" si="13"/>
        <v>#REF!</v>
      </c>
      <c r="Y214" s="77"/>
      <c r="Z214" s="77"/>
    </row>
    <row r="215" spans="1:26" s="55" customFormat="1" ht="30" customHeight="1" x14ac:dyDescent="0.2">
      <c r="A215" s="27">
        <v>469</v>
      </c>
      <c r="B215" s="28" t="str">
        <f t="shared" si="11"/>
        <v>2.4</v>
      </c>
      <c r="C215" s="29">
        <f t="shared" si="12"/>
        <v>2</v>
      </c>
      <c r="D215" s="3"/>
      <c r="E215" s="26"/>
      <c r="F215" s="47"/>
      <c r="G215" s="48" t="str">
        <f>"Maturity level:  "&amp;O215</f>
        <v xml:space="preserve">Maturity level:  </v>
      </c>
      <c r="H215" s="49"/>
      <c r="I215" s="137"/>
      <c r="J215" s="49"/>
      <c r="K215" s="49"/>
      <c r="L215" s="49" t="str">
        <f>TEXT(B215,"0.0")</f>
        <v>2.4</v>
      </c>
      <c r="M215" s="48" t="e">
        <f>SUMIF(U:U,L215,H:H)/(SUMIF(U:U,L215,X:X))</f>
        <v>#DIV/0!</v>
      </c>
      <c r="N215" s="48" t="e">
        <f>HLOOKUP(M215*100,level_ref,2,TRUE)</f>
        <v>#DIV/0!</v>
      </c>
      <c r="O215" s="48" t="str">
        <f>IF(ISERROR(N215),"",N215)</f>
        <v/>
      </c>
      <c r="P215" s="48" t="e">
        <f>HLOOKUP(M215*100,level_ref,3,TRUE)</f>
        <v>#DIV/0!</v>
      </c>
      <c r="Q215" s="48" t="str">
        <f>IF(ISERROR(P215),"",P215)</f>
        <v/>
      </c>
      <c r="R215" s="49"/>
      <c r="S215" s="49"/>
      <c r="T215" s="49"/>
      <c r="U215" s="49" t="e">
        <f>IF(AND(C215&gt;4,VLOOKUP(B215,'[1]Assessment - Detect'!E:AA,23,FALSE)&lt;&gt;7),LEFT(B215,3),"")</f>
        <v>#N/A</v>
      </c>
      <c r="V215" s="49" t="e">
        <f>VLOOKUP(B215,#REF!,5,FALSE)</f>
        <v>#REF!</v>
      </c>
      <c r="W215" s="49">
        <f>IF(VLOOKUP(B215,'[1]Assessment - Detect'!B:AA,26,FALSE)=7,0,1)</f>
        <v>1</v>
      </c>
      <c r="X215" s="49" t="e">
        <f t="shared" si="13"/>
        <v>#REF!</v>
      </c>
      <c r="Y215" s="49"/>
      <c r="Z215" s="49"/>
    </row>
    <row r="216" spans="1:26" s="55" customFormat="1" ht="18.75" customHeight="1" x14ac:dyDescent="0.2">
      <c r="A216" s="27">
        <v>470</v>
      </c>
      <c r="B216" s="28" t="str">
        <f t="shared" si="11"/>
        <v/>
      </c>
      <c r="C216" s="29">
        <f t="shared" si="12"/>
        <v>3</v>
      </c>
      <c r="D216" s="3"/>
      <c r="E216" s="125"/>
      <c r="F216" s="46"/>
      <c r="G216" s="129"/>
      <c r="H216" s="129"/>
      <c r="I216" s="45"/>
      <c r="J216" s="43"/>
      <c r="K216" s="43"/>
      <c r="L216" s="43"/>
      <c r="M216" s="43"/>
      <c r="N216" s="43"/>
      <c r="O216" s="43"/>
      <c r="P216" s="43"/>
      <c r="Q216" s="43"/>
      <c r="R216" s="43"/>
      <c r="S216" s="43"/>
      <c r="T216" s="78"/>
      <c r="U216" s="128" t="e">
        <f>IF(AND(C216&gt;4,VLOOKUP(B216,'[1]Assessment - Detect'!E:AA,23,FALSE)&lt;&gt;7),LEFT(B216,3),"")</f>
        <v>#N/A</v>
      </c>
      <c r="V216" s="128" t="e">
        <f>VLOOKUP(B216,#REF!,5,FALSE)</f>
        <v>#REF!</v>
      </c>
      <c r="W216" s="128">
        <f>IF(VLOOKUP(B216,'[1]Assessment - Detect'!B:AA,26,FALSE)=7,0,1)</f>
        <v>1</v>
      </c>
      <c r="X216" s="128" t="e">
        <f t="shared" si="13"/>
        <v>#REF!</v>
      </c>
      <c r="Y216" s="78"/>
      <c r="Z216" s="78"/>
    </row>
    <row r="217" spans="1:26" s="55" customFormat="1" ht="19" x14ac:dyDescent="0.2">
      <c r="A217" s="27">
        <v>471</v>
      </c>
      <c r="B217" s="28" t="str">
        <f t="shared" si="11"/>
        <v>2.4.01</v>
      </c>
      <c r="C217" s="29">
        <f t="shared" si="12"/>
        <v>5</v>
      </c>
      <c r="D217" s="3"/>
      <c r="E217" s="121"/>
      <c r="F217" s="31"/>
      <c r="G217" s="74" t="e">
        <f>VLOOKUP(E217,'[1]Assessment - Detect'!E:AB,24,FALSE)</f>
        <v>#N/A</v>
      </c>
      <c r="H217" s="74" t="e">
        <f>VLOOKUP(E217,'[1]Assessment - Detect'!E:I,5,FALSE)</f>
        <v>#N/A</v>
      </c>
      <c r="I217" s="121" t="e">
        <f>IF(VLOOKUP(E217,'[1]Assessment - Detect'!$E:$J,6,FALSE)=0,"",VLOOKUP(E217,'[1]Assessment - Detect'!$E:$J,6,FALSE))</f>
        <v>#N/A</v>
      </c>
      <c r="J217" s="29"/>
      <c r="K217" s="29"/>
      <c r="L217" s="29"/>
      <c r="M217" s="29"/>
      <c r="N217" s="29"/>
      <c r="O217" s="29"/>
      <c r="P217" s="29"/>
      <c r="Q217" s="29"/>
      <c r="R217" s="29"/>
      <c r="S217" s="29"/>
      <c r="T217" s="57"/>
      <c r="U217" s="91" t="e">
        <f>IF(AND(C217&gt;4,VLOOKUP(B217,'[1]Assessment - Detect'!E:AA,23,FALSE)&lt;&gt;7),LEFT(B217,3),"")</f>
        <v>#N/A</v>
      </c>
      <c r="V217" s="91" t="e">
        <f>VLOOKUP(B217,#REF!,5,FALSE)</f>
        <v>#REF!</v>
      </c>
      <c r="W217" s="91">
        <f>IF(VLOOKUP(B217,'[1]Assessment - Detect'!B:AA,26,FALSE)=7,0,1)</f>
        <v>1</v>
      </c>
      <c r="X217" s="91" t="e">
        <f t="shared" si="13"/>
        <v>#REF!</v>
      </c>
      <c r="Y217" s="57"/>
      <c r="Z217" s="57"/>
    </row>
    <row r="218" spans="1:26" s="55" customFormat="1" ht="19" x14ac:dyDescent="0.2">
      <c r="A218" s="27">
        <v>472</v>
      </c>
      <c r="B218" s="28" t="str">
        <f t="shared" si="11"/>
        <v>2.4.02</v>
      </c>
      <c r="C218" s="29">
        <f t="shared" si="12"/>
        <v>4</v>
      </c>
      <c r="D218" s="3"/>
      <c r="E218" s="121"/>
      <c r="F218" s="31"/>
      <c r="G218" s="74"/>
      <c r="H218" s="74"/>
      <c r="I218" s="121"/>
      <c r="J218" s="29"/>
      <c r="K218" s="29"/>
      <c r="L218" s="29"/>
      <c r="M218" s="29"/>
      <c r="N218" s="29"/>
      <c r="O218" s="29"/>
      <c r="P218" s="29"/>
      <c r="Q218" s="29"/>
      <c r="R218" s="29"/>
      <c r="S218" s="29"/>
      <c r="T218" s="57"/>
      <c r="U218" s="91" t="e">
        <f>IF(AND(C218&gt;4,VLOOKUP(B218,'[1]Assessment - Detect'!E:AA,23,FALSE)&lt;&gt;7),LEFT(B218,3),"")</f>
        <v>#N/A</v>
      </c>
      <c r="V218" s="91" t="e">
        <f>VLOOKUP(B218,#REF!,5,FALSE)</f>
        <v>#REF!</v>
      </c>
      <c r="W218" s="91">
        <f>IF(VLOOKUP(B218,'[1]Assessment - Detect'!B:AA,26,FALSE)=7,0,1)</f>
        <v>1</v>
      </c>
      <c r="X218" s="91" t="e">
        <f t="shared" si="13"/>
        <v>#REF!</v>
      </c>
      <c r="Y218" s="57"/>
      <c r="Z218" s="57"/>
    </row>
    <row r="219" spans="1:26" s="55" customFormat="1" ht="30" customHeight="1" x14ac:dyDescent="0.2">
      <c r="A219" s="27">
        <v>473</v>
      </c>
      <c r="B219" s="28" t="str">
        <f t="shared" si="11"/>
        <v>2.4.02a</v>
      </c>
      <c r="C219" s="29">
        <f t="shared" si="12"/>
        <v>6</v>
      </c>
      <c r="D219" s="3"/>
      <c r="E219" s="121"/>
      <c r="F219" s="36"/>
      <c r="G219" s="74" t="e">
        <f>VLOOKUP(E219,'[1]Assessment - Detect'!E:AB,24,FALSE)</f>
        <v>#N/A</v>
      </c>
      <c r="H219" s="74" t="e">
        <f>VLOOKUP(E219,'[1]Assessment - Detect'!E:I,5,FALSE)</f>
        <v>#N/A</v>
      </c>
      <c r="I219" s="121" t="e">
        <f>IF(VLOOKUP(E219,'[1]Assessment - Detect'!$E:$J,6,FALSE)=0,"",VLOOKUP(E219,'[1]Assessment - Detect'!$E:$J,6,FALSE))</f>
        <v>#N/A</v>
      </c>
      <c r="J219" s="29"/>
      <c r="K219" s="29"/>
      <c r="L219" s="29"/>
      <c r="M219" s="29"/>
      <c r="N219" s="29"/>
      <c r="O219" s="29"/>
      <c r="P219" s="29"/>
      <c r="Q219" s="29"/>
      <c r="R219" s="29"/>
      <c r="S219" s="29"/>
      <c r="T219" s="57"/>
      <c r="U219" s="91" t="e">
        <f>IF(AND(C219&gt;4,VLOOKUP(B219,'[1]Assessment - Detect'!E:AA,23,FALSE)&lt;&gt;7),LEFT(B219,3),"")</f>
        <v>#N/A</v>
      </c>
      <c r="V219" s="91" t="e">
        <f>VLOOKUP(B219,#REF!,5,FALSE)</f>
        <v>#REF!</v>
      </c>
      <c r="W219" s="91">
        <f>IF(VLOOKUP(B219,'[1]Assessment - Detect'!B:AA,26,FALSE)=7,0,1)</f>
        <v>1</v>
      </c>
      <c r="X219" s="91" t="e">
        <f t="shared" si="13"/>
        <v>#REF!</v>
      </c>
      <c r="Y219" s="57"/>
      <c r="Z219" s="57"/>
    </row>
    <row r="220" spans="1:26" s="55" customFormat="1" ht="30" customHeight="1" x14ac:dyDescent="0.2">
      <c r="A220" s="27">
        <v>474</v>
      </c>
      <c r="B220" s="28" t="str">
        <f t="shared" si="11"/>
        <v>2.4.02b</v>
      </c>
      <c r="C220" s="29">
        <f t="shared" si="12"/>
        <v>6</v>
      </c>
      <c r="D220" s="3"/>
      <c r="E220" s="121"/>
      <c r="F220" s="36"/>
      <c r="G220" s="74" t="e">
        <f>VLOOKUP(E220,'[1]Assessment - Detect'!E:AB,24,FALSE)</f>
        <v>#N/A</v>
      </c>
      <c r="H220" s="74" t="e">
        <f>VLOOKUP(E220,'[1]Assessment - Detect'!E:I,5,FALSE)</f>
        <v>#N/A</v>
      </c>
      <c r="I220" s="121" t="e">
        <f>IF(VLOOKUP(E220,'[1]Assessment - Detect'!$E:$J,6,FALSE)=0,"",VLOOKUP(E220,'[1]Assessment - Detect'!$E:$J,6,FALSE))</f>
        <v>#N/A</v>
      </c>
      <c r="J220" s="29"/>
      <c r="K220" s="29"/>
      <c r="L220" s="29"/>
      <c r="M220" s="29"/>
      <c r="N220" s="29"/>
      <c r="O220" s="29"/>
      <c r="P220" s="29"/>
      <c r="Q220" s="29"/>
      <c r="R220" s="29"/>
      <c r="S220" s="29"/>
      <c r="T220" s="57"/>
      <c r="U220" s="91" t="e">
        <f>IF(AND(C220&gt;4,VLOOKUP(B220,'[1]Assessment - Detect'!E:AA,23,FALSE)&lt;&gt;7),LEFT(B220,3),"")</f>
        <v>#N/A</v>
      </c>
      <c r="V220" s="91" t="e">
        <f>VLOOKUP(B220,#REF!,5,FALSE)</f>
        <v>#REF!</v>
      </c>
      <c r="W220" s="91">
        <f>IF(VLOOKUP(B220,'[1]Assessment - Detect'!B:AA,26,FALSE)=7,0,1)</f>
        <v>1</v>
      </c>
      <c r="X220" s="91" t="e">
        <f t="shared" si="13"/>
        <v>#REF!</v>
      </c>
      <c r="Y220" s="57"/>
      <c r="Z220" s="57"/>
    </row>
    <row r="221" spans="1:26" s="55" customFormat="1" ht="30" customHeight="1" x14ac:dyDescent="0.2">
      <c r="A221" s="27">
        <v>475</v>
      </c>
      <c r="B221" s="28" t="str">
        <f t="shared" si="11"/>
        <v>2.4.02c</v>
      </c>
      <c r="C221" s="29">
        <f t="shared" si="12"/>
        <v>6</v>
      </c>
      <c r="D221" s="3"/>
      <c r="E221" s="121"/>
      <c r="F221" s="36"/>
      <c r="G221" s="74" t="e">
        <f>VLOOKUP(E221,'[1]Assessment - Detect'!E:AB,24,FALSE)</f>
        <v>#N/A</v>
      </c>
      <c r="H221" s="74" t="e">
        <f>VLOOKUP(E221,'[1]Assessment - Detect'!E:I,5,FALSE)</f>
        <v>#N/A</v>
      </c>
      <c r="I221" s="121" t="e">
        <f>IF(VLOOKUP(E221,'[1]Assessment - Detect'!$E:$J,6,FALSE)=0,"",VLOOKUP(E221,'[1]Assessment - Detect'!$E:$J,6,FALSE))</f>
        <v>#N/A</v>
      </c>
      <c r="J221" s="29"/>
      <c r="K221" s="29"/>
      <c r="L221" s="29"/>
      <c r="M221" s="29"/>
      <c r="N221" s="29"/>
      <c r="O221" s="29"/>
      <c r="P221" s="29"/>
      <c r="Q221" s="29"/>
      <c r="R221" s="29"/>
      <c r="S221" s="29"/>
      <c r="T221" s="57"/>
      <c r="U221" s="91" t="e">
        <f>IF(AND(C221&gt;4,VLOOKUP(B221,'[1]Assessment - Detect'!E:AA,23,FALSE)&lt;&gt;7),LEFT(B221,3),"")</f>
        <v>#N/A</v>
      </c>
      <c r="V221" s="91" t="e">
        <f>VLOOKUP(B221,#REF!,5,FALSE)</f>
        <v>#REF!</v>
      </c>
      <c r="W221" s="91">
        <f>IF(VLOOKUP(B221,'[1]Assessment - Detect'!B:AA,26,FALSE)=7,0,1)</f>
        <v>1</v>
      </c>
      <c r="X221" s="91" t="e">
        <f t="shared" si="13"/>
        <v>#REF!</v>
      </c>
      <c r="Y221" s="57"/>
      <c r="Z221" s="57"/>
    </row>
    <row r="222" spans="1:26" s="55" customFormat="1" ht="30" customHeight="1" x14ac:dyDescent="0.2">
      <c r="A222" s="27">
        <v>476</v>
      </c>
      <c r="B222" s="28" t="str">
        <f t="shared" si="11"/>
        <v>2.4.02d</v>
      </c>
      <c r="C222" s="29">
        <f t="shared" si="12"/>
        <v>6</v>
      </c>
      <c r="D222" s="3"/>
      <c r="E222" s="121"/>
      <c r="F222" s="36"/>
      <c r="G222" s="74" t="e">
        <f>VLOOKUP(E222,'[1]Assessment - Detect'!E:AB,24,FALSE)</f>
        <v>#N/A</v>
      </c>
      <c r="H222" s="74" t="e">
        <f>VLOOKUP(E222,'[1]Assessment - Detect'!E:I,5,FALSE)</f>
        <v>#N/A</v>
      </c>
      <c r="I222" s="121" t="e">
        <f>IF(VLOOKUP(E222,'[1]Assessment - Detect'!$E:$J,6,FALSE)=0,"",VLOOKUP(E222,'[1]Assessment - Detect'!$E:$J,6,FALSE))</f>
        <v>#N/A</v>
      </c>
      <c r="J222" s="29"/>
      <c r="K222" s="29"/>
      <c r="L222" s="29"/>
      <c r="M222" s="29"/>
      <c r="N222" s="29"/>
      <c r="O222" s="29"/>
      <c r="P222" s="29"/>
      <c r="Q222" s="29"/>
      <c r="R222" s="29"/>
      <c r="S222" s="29"/>
      <c r="T222" s="57"/>
      <c r="U222" s="91" t="e">
        <f>IF(AND(C222&gt;4,VLOOKUP(B222,'[1]Assessment - Detect'!E:AA,23,FALSE)&lt;&gt;7),LEFT(B222,3),"")</f>
        <v>#N/A</v>
      </c>
      <c r="V222" s="91" t="e">
        <f>VLOOKUP(B222,#REF!,5,FALSE)</f>
        <v>#REF!</v>
      </c>
      <c r="W222" s="91">
        <f>IF(VLOOKUP(B222,'[1]Assessment - Detect'!B:AA,26,FALSE)=7,0,1)</f>
        <v>1</v>
      </c>
      <c r="X222" s="91" t="e">
        <f t="shared" si="13"/>
        <v>#REF!</v>
      </c>
      <c r="Y222" s="57"/>
      <c r="Z222" s="57"/>
    </row>
    <row r="223" spans="1:26" s="55" customFormat="1" ht="30" customHeight="1" x14ac:dyDescent="0.2">
      <c r="A223" s="27">
        <v>477</v>
      </c>
      <c r="B223" s="28" t="str">
        <f t="shared" si="11"/>
        <v>2.4.02e</v>
      </c>
      <c r="C223" s="29">
        <f t="shared" si="12"/>
        <v>6</v>
      </c>
      <c r="D223" s="3"/>
      <c r="E223" s="121"/>
      <c r="F223" s="36"/>
      <c r="G223" s="74" t="e">
        <f>VLOOKUP(E223,'[1]Assessment - Detect'!E:AB,24,FALSE)</f>
        <v>#N/A</v>
      </c>
      <c r="H223" s="74" t="e">
        <f>VLOOKUP(E223,'[1]Assessment - Detect'!E:I,5,FALSE)</f>
        <v>#N/A</v>
      </c>
      <c r="I223" s="121" t="e">
        <f>IF(VLOOKUP(E223,'[1]Assessment - Detect'!$E:$J,6,FALSE)=0,"",VLOOKUP(E223,'[1]Assessment - Detect'!$E:$J,6,FALSE))</f>
        <v>#N/A</v>
      </c>
      <c r="J223" s="29"/>
      <c r="K223" s="29"/>
      <c r="L223" s="29"/>
      <c r="M223" s="29"/>
      <c r="N223" s="29"/>
      <c r="O223" s="29"/>
      <c r="P223" s="29"/>
      <c r="Q223" s="29"/>
      <c r="R223" s="29"/>
      <c r="S223" s="29"/>
      <c r="T223" s="57"/>
      <c r="U223" s="91" t="e">
        <f>IF(AND(C223&gt;4,VLOOKUP(B223,'[1]Assessment - Detect'!E:AA,23,FALSE)&lt;&gt;7),LEFT(B223,3),"")</f>
        <v>#N/A</v>
      </c>
      <c r="V223" s="91" t="e">
        <f>VLOOKUP(B223,#REF!,5,FALSE)</f>
        <v>#REF!</v>
      </c>
      <c r="W223" s="91">
        <f>IF(VLOOKUP(B223,'[1]Assessment - Detect'!B:AA,26,FALSE)=7,0,1)</f>
        <v>1</v>
      </c>
      <c r="X223" s="91" t="e">
        <f t="shared" si="13"/>
        <v>#REF!</v>
      </c>
      <c r="Y223" s="57"/>
      <c r="Z223" s="57"/>
    </row>
    <row r="224" spans="1:26" s="55" customFormat="1" ht="19" x14ac:dyDescent="0.2">
      <c r="A224" s="27">
        <v>478</v>
      </c>
      <c r="B224" s="28" t="str">
        <f t="shared" si="11"/>
        <v>2.4.02f</v>
      </c>
      <c r="C224" s="29">
        <f t="shared" si="12"/>
        <v>6</v>
      </c>
      <c r="D224" s="3"/>
      <c r="E224" s="121"/>
      <c r="F224" s="36"/>
      <c r="G224" s="74" t="e">
        <f>VLOOKUP(E224,'[1]Assessment - Detect'!E:AB,24,FALSE)</f>
        <v>#N/A</v>
      </c>
      <c r="H224" s="74" t="e">
        <f>VLOOKUP(E224,'[1]Assessment - Detect'!E:I,5,FALSE)</f>
        <v>#N/A</v>
      </c>
      <c r="I224" s="121" t="e">
        <f>IF(VLOOKUP(E224,'[1]Assessment - Detect'!$E:$J,6,FALSE)=0,"",VLOOKUP(E224,'[1]Assessment - Detect'!$E:$J,6,FALSE))</f>
        <v>#N/A</v>
      </c>
      <c r="J224" s="29"/>
      <c r="K224" s="29"/>
      <c r="L224" s="29"/>
      <c r="M224" s="29"/>
      <c r="N224" s="29"/>
      <c r="O224" s="29"/>
      <c r="P224" s="29"/>
      <c r="Q224" s="29"/>
      <c r="R224" s="29"/>
      <c r="S224" s="29"/>
      <c r="T224" s="57"/>
      <c r="U224" s="91" t="e">
        <f>IF(AND(C224&gt;4,VLOOKUP(B224,'[1]Assessment - Detect'!E:AA,23,FALSE)&lt;&gt;7),LEFT(B224,3),"")</f>
        <v>#N/A</v>
      </c>
      <c r="V224" s="91" t="e">
        <f>VLOOKUP(B224,#REF!,5,FALSE)</f>
        <v>#REF!</v>
      </c>
      <c r="W224" s="91">
        <f>IF(VLOOKUP(B224,'[1]Assessment - Detect'!B:AA,26,FALSE)=7,0,1)</f>
        <v>1</v>
      </c>
      <c r="X224" s="91" t="e">
        <f t="shared" si="13"/>
        <v>#REF!</v>
      </c>
      <c r="Y224" s="57"/>
      <c r="Z224" s="57"/>
    </row>
    <row r="225" spans="1:26" s="55" customFormat="1" ht="19" x14ac:dyDescent="0.2">
      <c r="A225" s="27">
        <v>479</v>
      </c>
      <c r="B225" s="28" t="str">
        <f t="shared" si="11"/>
        <v>2.4.02g</v>
      </c>
      <c r="C225" s="29">
        <f t="shared" si="12"/>
        <v>6</v>
      </c>
      <c r="D225" s="3"/>
      <c r="E225" s="121"/>
      <c r="F225" s="36"/>
      <c r="G225" s="74" t="e">
        <f>VLOOKUP(E225,'[1]Assessment - Detect'!E:AB,24,FALSE)</f>
        <v>#N/A</v>
      </c>
      <c r="H225" s="74" t="e">
        <f>VLOOKUP(E225,'[1]Assessment - Detect'!E:I,5,FALSE)</f>
        <v>#N/A</v>
      </c>
      <c r="I225" s="121" t="e">
        <f>IF(VLOOKUP(E225,'[1]Assessment - Detect'!$E:$J,6,FALSE)=0,"",VLOOKUP(E225,'[1]Assessment - Detect'!$E:$J,6,FALSE))</f>
        <v>#N/A</v>
      </c>
      <c r="J225" s="29"/>
      <c r="K225" s="29"/>
      <c r="L225" s="29"/>
      <c r="M225" s="29"/>
      <c r="N225" s="29"/>
      <c r="O225" s="29"/>
      <c r="P225" s="29"/>
      <c r="Q225" s="29"/>
      <c r="R225" s="29"/>
      <c r="S225" s="29"/>
      <c r="T225" s="57"/>
      <c r="U225" s="91" t="e">
        <f>IF(AND(C225&gt;4,VLOOKUP(B225,'[1]Assessment - Detect'!E:AA,23,FALSE)&lt;&gt;7),LEFT(B225,3),"")</f>
        <v>#N/A</v>
      </c>
      <c r="V225" s="91" t="e">
        <f>VLOOKUP(B225,#REF!,5,FALSE)</f>
        <v>#REF!</v>
      </c>
      <c r="W225" s="91">
        <f>IF(VLOOKUP(B225,'[1]Assessment - Detect'!B:AA,26,FALSE)=7,0,1)</f>
        <v>1</v>
      </c>
      <c r="X225" s="91" t="e">
        <f t="shared" si="13"/>
        <v>#REF!</v>
      </c>
      <c r="Y225" s="57"/>
      <c r="Z225" s="57"/>
    </row>
    <row r="226" spans="1:26" s="55" customFormat="1" ht="30" customHeight="1" x14ac:dyDescent="0.2">
      <c r="A226" s="27">
        <v>480</v>
      </c>
      <c r="B226" s="28" t="str">
        <f t="shared" si="11"/>
        <v>2.4.02h</v>
      </c>
      <c r="C226" s="29">
        <f t="shared" si="12"/>
        <v>6</v>
      </c>
      <c r="D226" s="3"/>
      <c r="E226" s="121"/>
      <c r="F226" s="36"/>
      <c r="G226" s="74" t="e">
        <f>VLOOKUP(E226,'[1]Assessment - Detect'!E:AB,24,FALSE)</f>
        <v>#N/A</v>
      </c>
      <c r="H226" s="74" t="e">
        <f>VLOOKUP(E226,'[1]Assessment - Detect'!E:I,5,FALSE)</f>
        <v>#N/A</v>
      </c>
      <c r="I226" s="121" t="e">
        <f>IF(VLOOKUP(E226,'[1]Assessment - Detect'!$E:$J,6,FALSE)=0,"",VLOOKUP(E226,'[1]Assessment - Detect'!$E:$J,6,FALSE))</f>
        <v>#N/A</v>
      </c>
      <c r="J226" s="29"/>
      <c r="K226" s="29"/>
      <c r="L226" s="29"/>
      <c r="M226" s="29"/>
      <c r="N226" s="29"/>
      <c r="O226" s="29"/>
      <c r="P226" s="29"/>
      <c r="Q226" s="29"/>
      <c r="R226" s="29"/>
      <c r="S226" s="29"/>
      <c r="T226" s="57"/>
      <c r="U226" s="91" t="e">
        <f>IF(AND(C226&gt;4,VLOOKUP(B226,'[1]Assessment - Detect'!E:AA,23,FALSE)&lt;&gt;7),LEFT(B226,3),"")</f>
        <v>#N/A</v>
      </c>
      <c r="V226" s="91" t="e">
        <f>VLOOKUP(B226,#REF!,5,FALSE)</f>
        <v>#REF!</v>
      </c>
      <c r="W226" s="91">
        <f>IF(VLOOKUP(B226,'[1]Assessment - Detect'!B:AA,26,FALSE)=7,0,1)</f>
        <v>1</v>
      </c>
      <c r="X226" s="91" t="e">
        <f t="shared" si="13"/>
        <v>#REF!</v>
      </c>
      <c r="Y226" s="57"/>
      <c r="Z226" s="57"/>
    </row>
    <row r="227" spans="1:26" s="55" customFormat="1" ht="19" x14ac:dyDescent="0.2">
      <c r="A227" s="27">
        <v>481</v>
      </c>
      <c r="B227" s="28" t="str">
        <f t="shared" si="11"/>
        <v>2.4.03</v>
      </c>
      <c r="C227" s="29">
        <f t="shared" si="12"/>
        <v>4</v>
      </c>
      <c r="D227" s="3"/>
      <c r="E227" s="121"/>
      <c r="F227" s="31"/>
      <c r="G227" s="74"/>
      <c r="H227" s="74"/>
      <c r="I227" s="121"/>
      <c r="J227" s="29"/>
      <c r="K227" s="29"/>
      <c r="L227" s="29"/>
      <c r="M227" s="29"/>
      <c r="N227" s="29"/>
      <c r="O227" s="29"/>
      <c r="P227" s="29"/>
      <c r="Q227" s="29"/>
      <c r="R227" s="29"/>
      <c r="S227" s="29"/>
      <c r="T227" s="57"/>
      <c r="U227" s="91" t="e">
        <f>IF(AND(C227&gt;4,VLOOKUP(B227,'[1]Assessment - Detect'!E:AA,23,FALSE)&lt;&gt;7),LEFT(B227,3),"")</f>
        <v>#N/A</v>
      </c>
      <c r="V227" s="91" t="e">
        <f>VLOOKUP(B227,#REF!,5,FALSE)</f>
        <v>#REF!</v>
      </c>
      <c r="W227" s="91">
        <f>IF(VLOOKUP(B227,'[1]Assessment - Detect'!B:AA,26,FALSE)=7,0,1)</f>
        <v>1</v>
      </c>
      <c r="X227" s="91" t="e">
        <f t="shared" si="13"/>
        <v>#REF!</v>
      </c>
      <c r="Y227" s="57"/>
      <c r="Z227" s="57"/>
    </row>
    <row r="228" spans="1:26" s="55" customFormat="1" ht="30" customHeight="1" x14ac:dyDescent="0.2">
      <c r="A228" s="27">
        <v>482</v>
      </c>
      <c r="B228" s="28" t="str">
        <f t="shared" si="11"/>
        <v>2.4.03a</v>
      </c>
      <c r="C228" s="29">
        <f t="shared" si="12"/>
        <v>6</v>
      </c>
      <c r="D228" s="3"/>
      <c r="E228" s="121"/>
      <c r="F228" s="36"/>
      <c r="G228" s="74" t="e">
        <f>VLOOKUP(E228,'[1]Assessment - Detect'!E:AB,24,FALSE)</f>
        <v>#N/A</v>
      </c>
      <c r="H228" s="74" t="e">
        <f>VLOOKUP(E228,'[1]Assessment - Detect'!E:I,5,FALSE)</f>
        <v>#N/A</v>
      </c>
      <c r="I228" s="121" t="e">
        <f>IF(VLOOKUP(E228,'[1]Assessment - Detect'!$E:$J,6,FALSE)=0,"",VLOOKUP(E228,'[1]Assessment - Detect'!$E:$J,6,FALSE))</f>
        <v>#N/A</v>
      </c>
      <c r="J228" s="29"/>
      <c r="K228" s="29"/>
      <c r="L228" s="29"/>
      <c r="M228" s="29"/>
      <c r="N228" s="29"/>
      <c r="O228" s="29"/>
      <c r="P228" s="29"/>
      <c r="Q228" s="29"/>
      <c r="R228" s="29"/>
      <c r="S228" s="29"/>
      <c r="T228" s="57"/>
      <c r="U228" s="91" t="e">
        <f>IF(AND(C228&gt;4,VLOOKUP(B228,'[1]Assessment - Detect'!E:AA,23,FALSE)&lt;&gt;7),LEFT(B228,3),"")</f>
        <v>#N/A</v>
      </c>
      <c r="V228" s="91" t="e">
        <f>VLOOKUP(B228,#REF!,5,FALSE)</f>
        <v>#REF!</v>
      </c>
      <c r="W228" s="91">
        <f>IF(VLOOKUP(B228,'[1]Assessment - Detect'!B:AA,26,FALSE)=7,0,1)</f>
        <v>1</v>
      </c>
      <c r="X228" s="91" t="e">
        <f t="shared" si="13"/>
        <v>#REF!</v>
      </c>
      <c r="Y228" s="57"/>
      <c r="Z228" s="57"/>
    </row>
    <row r="229" spans="1:26" s="55" customFormat="1" ht="19" x14ac:dyDescent="0.2">
      <c r="A229" s="27">
        <v>483</v>
      </c>
      <c r="B229" s="28" t="str">
        <f t="shared" si="11"/>
        <v>2.4.03b</v>
      </c>
      <c r="C229" s="29">
        <f t="shared" si="12"/>
        <v>6</v>
      </c>
      <c r="D229" s="3"/>
      <c r="E229" s="121"/>
      <c r="F229" s="36"/>
      <c r="G229" s="74" t="e">
        <f>VLOOKUP(E229,'[1]Assessment - Detect'!E:AB,24,FALSE)</f>
        <v>#N/A</v>
      </c>
      <c r="H229" s="74" t="e">
        <f>VLOOKUP(E229,'[1]Assessment - Detect'!E:I,5,FALSE)</f>
        <v>#N/A</v>
      </c>
      <c r="I229" s="121" t="e">
        <f>IF(VLOOKUP(E229,'[1]Assessment - Detect'!$E:$J,6,FALSE)=0,"",VLOOKUP(E229,'[1]Assessment - Detect'!$E:$J,6,FALSE))</f>
        <v>#N/A</v>
      </c>
      <c r="J229" s="29"/>
      <c r="K229" s="29"/>
      <c r="L229" s="29"/>
      <c r="M229" s="29"/>
      <c r="N229" s="29"/>
      <c r="O229" s="29"/>
      <c r="P229" s="29"/>
      <c r="Q229" s="29"/>
      <c r="R229" s="29"/>
      <c r="S229" s="29"/>
      <c r="T229" s="57"/>
      <c r="U229" s="91" t="e">
        <f>IF(AND(C229&gt;4,VLOOKUP(B229,'[1]Assessment - Detect'!E:AA,23,FALSE)&lt;&gt;7),LEFT(B229,3),"")</f>
        <v>#N/A</v>
      </c>
      <c r="V229" s="91" t="e">
        <f>VLOOKUP(B229,#REF!,5,FALSE)</f>
        <v>#REF!</v>
      </c>
      <c r="W229" s="91">
        <f>IF(VLOOKUP(B229,'[1]Assessment - Detect'!B:AA,26,FALSE)=7,0,1)</f>
        <v>1</v>
      </c>
      <c r="X229" s="91" t="e">
        <f t="shared" si="13"/>
        <v>#REF!</v>
      </c>
      <c r="Y229" s="57"/>
      <c r="Z229" s="57"/>
    </row>
    <row r="230" spans="1:26" s="55" customFormat="1" ht="30" customHeight="1" x14ac:dyDescent="0.2">
      <c r="A230" s="27">
        <v>484</v>
      </c>
      <c r="B230" s="28" t="str">
        <f t="shared" si="11"/>
        <v>2.4.03c</v>
      </c>
      <c r="C230" s="29">
        <f t="shared" si="12"/>
        <v>6</v>
      </c>
      <c r="D230" s="3"/>
      <c r="E230" s="121"/>
      <c r="F230" s="36"/>
      <c r="G230" s="74" t="e">
        <f>VLOOKUP(E230,'[1]Assessment - Detect'!E:AB,24,FALSE)</f>
        <v>#N/A</v>
      </c>
      <c r="H230" s="74" t="e">
        <f>VLOOKUP(E230,'[1]Assessment - Detect'!E:I,5,FALSE)</f>
        <v>#N/A</v>
      </c>
      <c r="I230" s="121" t="e">
        <f>IF(VLOOKUP(E230,'[1]Assessment - Detect'!$E:$J,6,FALSE)=0,"",VLOOKUP(E230,'[1]Assessment - Detect'!$E:$J,6,FALSE))</f>
        <v>#N/A</v>
      </c>
      <c r="J230" s="29"/>
      <c r="K230" s="29"/>
      <c r="L230" s="29"/>
      <c r="M230" s="29"/>
      <c r="N230" s="29"/>
      <c r="O230" s="29"/>
      <c r="P230" s="29"/>
      <c r="Q230" s="29"/>
      <c r="R230" s="29"/>
      <c r="S230" s="29"/>
      <c r="T230" s="57"/>
      <c r="U230" s="91" t="e">
        <f>IF(AND(C230&gt;4,VLOOKUP(B230,'[1]Assessment - Detect'!E:AA,23,FALSE)&lt;&gt;7),LEFT(B230,3),"")</f>
        <v>#N/A</v>
      </c>
      <c r="V230" s="91" t="e">
        <f>VLOOKUP(B230,#REF!,5,FALSE)</f>
        <v>#REF!</v>
      </c>
      <c r="W230" s="91">
        <f>IF(VLOOKUP(B230,'[1]Assessment - Detect'!B:AA,26,FALSE)=7,0,1)</f>
        <v>1</v>
      </c>
      <c r="X230" s="91" t="e">
        <f t="shared" si="13"/>
        <v>#REF!</v>
      </c>
      <c r="Y230" s="57"/>
      <c r="Z230" s="57"/>
    </row>
    <row r="231" spans="1:26" s="55" customFormat="1" ht="19" x14ac:dyDescent="0.2">
      <c r="A231" s="27">
        <v>485</v>
      </c>
      <c r="B231" s="28" t="str">
        <f t="shared" si="11"/>
        <v>2.4.03d</v>
      </c>
      <c r="C231" s="29">
        <f t="shared" si="12"/>
        <v>6</v>
      </c>
      <c r="D231" s="3"/>
      <c r="E231" s="121"/>
      <c r="F231" s="36"/>
      <c r="G231" s="74" t="e">
        <f>VLOOKUP(E231,'[1]Assessment - Detect'!E:AB,24,FALSE)</f>
        <v>#N/A</v>
      </c>
      <c r="H231" s="74" t="e">
        <f>VLOOKUP(E231,'[1]Assessment - Detect'!E:I,5,FALSE)</f>
        <v>#N/A</v>
      </c>
      <c r="I231" s="121" t="e">
        <f>IF(VLOOKUP(E231,'[1]Assessment - Detect'!$E:$J,6,FALSE)=0,"",VLOOKUP(E231,'[1]Assessment - Detect'!$E:$J,6,FALSE))</f>
        <v>#N/A</v>
      </c>
      <c r="J231" s="29"/>
      <c r="K231" s="29"/>
      <c r="L231" s="29"/>
      <c r="M231" s="29"/>
      <c r="N231" s="29"/>
      <c r="O231" s="29"/>
      <c r="P231" s="29"/>
      <c r="Q231" s="29"/>
      <c r="R231" s="29"/>
      <c r="S231" s="29"/>
      <c r="T231" s="57"/>
      <c r="U231" s="91" t="e">
        <f>IF(AND(C231&gt;4,VLOOKUP(B231,'[1]Assessment - Detect'!E:AA,23,FALSE)&lt;&gt;7),LEFT(B231,3),"")</f>
        <v>#N/A</v>
      </c>
      <c r="V231" s="91" t="e">
        <f>VLOOKUP(B231,#REF!,5,FALSE)</f>
        <v>#REF!</v>
      </c>
      <c r="W231" s="91">
        <f>IF(VLOOKUP(B231,'[1]Assessment - Detect'!B:AA,26,FALSE)=7,0,1)</f>
        <v>1</v>
      </c>
      <c r="X231" s="91" t="e">
        <f t="shared" si="13"/>
        <v>#REF!</v>
      </c>
      <c r="Y231" s="57"/>
      <c r="Z231" s="57"/>
    </row>
    <row r="232" spans="1:26" s="55" customFormat="1" ht="30" customHeight="1" x14ac:dyDescent="0.2">
      <c r="A232" s="27">
        <v>486</v>
      </c>
      <c r="B232" s="28" t="str">
        <f t="shared" si="11"/>
        <v>2.4.03e</v>
      </c>
      <c r="C232" s="29">
        <f t="shared" si="12"/>
        <v>6</v>
      </c>
      <c r="D232" s="3"/>
      <c r="E232" s="121"/>
      <c r="F232" s="36"/>
      <c r="G232" s="74" t="e">
        <f>VLOOKUP(E232,'[1]Assessment - Detect'!E:AB,24,FALSE)</f>
        <v>#N/A</v>
      </c>
      <c r="H232" s="74" t="e">
        <f>VLOOKUP(E232,'[1]Assessment - Detect'!E:I,5,FALSE)</f>
        <v>#N/A</v>
      </c>
      <c r="I232" s="121" t="e">
        <f>IF(VLOOKUP(E232,'[1]Assessment - Detect'!$E:$J,6,FALSE)=0,"",VLOOKUP(E232,'[1]Assessment - Detect'!$E:$J,6,FALSE))</f>
        <v>#N/A</v>
      </c>
      <c r="J232" s="29"/>
      <c r="K232" s="29"/>
      <c r="L232" s="29"/>
      <c r="M232" s="29"/>
      <c r="N232" s="29"/>
      <c r="O232" s="29"/>
      <c r="P232" s="29"/>
      <c r="Q232" s="29"/>
      <c r="R232" s="29"/>
      <c r="S232" s="29"/>
      <c r="T232" s="57"/>
      <c r="U232" s="91" t="e">
        <f>IF(AND(C232&gt;4,VLOOKUP(B232,'[1]Assessment - Detect'!E:AA,23,FALSE)&lt;&gt;7),LEFT(B232,3),"")</f>
        <v>#N/A</v>
      </c>
      <c r="V232" s="91" t="e">
        <f>VLOOKUP(B232,#REF!,5,FALSE)</f>
        <v>#REF!</v>
      </c>
      <c r="W232" s="91">
        <f>IF(VLOOKUP(B232,'[1]Assessment - Detect'!B:AA,26,FALSE)=7,0,1)</f>
        <v>1</v>
      </c>
      <c r="X232" s="91" t="e">
        <f t="shared" si="13"/>
        <v>#REF!</v>
      </c>
      <c r="Y232" s="57"/>
      <c r="Z232" s="57"/>
    </row>
    <row r="233" spans="1:26" s="55" customFormat="1" ht="19" x14ac:dyDescent="0.2">
      <c r="A233" s="27">
        <v>487</v>
      </c>
      <c r="B233" s="28" t="str">
        <f t="shared" si="11"/>
        <v>2.4.03f</v>
      </c>
      <c r="C233" s="29">
        <f t="shared" si="12"/>
        <v>6</v>
      </c>
      <c r="D233" s="3"/>
      <c r="E233" s="121"/>
      <c r="F233" s="36"/>
      <c r="G233" s="74" t="e">
        <f>VLOOKUP(E233,'[1]Assessment - Detect'!E:AB,24,FALSE)</f>
        <v>#N/A</v>
      </c>
      <c r="H233" s="74" t="e">
        <f>VLOOKUP(E233,'[1]Assessment - Detect'!E:I,5,FALSE)</f>
        <v>#N/A</v>
      </c>
      <c r="I233" s="121" t="e">
        <f>IF(VLOOKUP(E233,'[1]Assessment - Detect'!$E:$J,6,FALSE)=0,"",VLOOKUP(E233,'[1]Assessment - Detect'!$E:$J,6,FALSE))</f>
        <v>#N/A</v>
      </c>
      <c r="J233" s="29"/>
      <c r="K233" s="29"/>
      <c r="L233" s="29"/>
      <c r="M233" s="29"/>
      <c r="N233" s="29"/>
      <c r="O233" s="29"/>
      <c r="P233" s="29"/>
      <c r="Q233" s="29"/>
      <c r="R233" s="29"/>
      <c r="S233" s="29"/>
      <c r="T233" s="57"/>
      <c r="U233" s="91" t="e">
        <f>IF(AND(C233&gt;4,VLOOKUP(B233,'[1]Assessment - Detect'!E:AA,23,FALSE)&lt;&gt;7),LEFT(B233,3),"")</f>
        <v>#N/A</v>
      </c>
      <c r="V233" s="91" t="e">
        <f>VLOOKUP(B233,#REF!,5,FALSE)</f>
        <v>#REF!</v>
      </c>
      <c r="W233" s="91">
        <f>IF(VLOOKUP(B233,'[1]Assessment - Detect'!B:AA,26,FALSE)=7,0,1)</f>
        <v>1</v>
      </c>
      <c r="X233" s="91" t="e">
        <f t="shared" si="13"/>
        <v>#REF!</v>
      </c>
      <c r="Y233" s="57"/>
      <c r="Z233" s="57"/>
    </row>
    <row r="234" spans="1:26" s="55" customFormat="1" ht="18.75" customHeight="1" x14ac:dyDescent="0.2">
      <c r="A234" s="27">
        <v>488</v>
      </c>
      <c r="B234" s="28" t="str">
        <f t="shared" si="11"/>
        <v/>
      </c>
      <c r="C234" s="29">
        <f t="shared" si="12"/>
        <v>3</v>
      </c>
      <c r="D234" s="3"/>
      <c r="E234" s="120"/>
      <c r="F234" s="35"/>
      <c r="G234" s="119"/>
      <c r="H234" s="119"/>
      <c r="I234" s="31"/>
      <c r="J234" s="29"/>
      <c r="K234" s="29"/>
      <c r="L234" s="29"/>
      <c r="M234" s="29"/>
      <c r="N234" s="29"/>
      <c r="O234" s="29"/>
      <c r="P234" s="29"/>
      <c r="Q234" s="29"/>
      <c r="R234" s="29"/>
      <c r="S234" s="29"/>
      <c r="T234" s="57"/>
      <c r="U234" s="91" t="e">
        <f>IF(AND(C234&gt;4,VLOOKUP(B234,'[1]Assessment - Detect'!E:AA,23,FALSE)&lt;&gt;7),LEFT(B234,3),"")</f>
        <v>#N/A</v>
      </c>
      <c r="V234" s="91" t="e">
        <f>VLOOKUP(B234,#REF!,5,FALSE)</f>
        <v>#REF!</v>
      </c>
      <c r="W234" s="91">
        <f>IF(VLOOKUP(B234,'[1]Assessment - Detect'!B:AA,26,FALSE)=7,0,1)</f>
        <v>1</v>
      </c>
      <c r="X234" s="91" t="e">
        <f t="shared" si="13"/>
        <v>#REF!</v>
      </c>
      <c r="Y234" s="57"/>
      <c r="Z234" s="57"/>
    </row>
    <row r="235" spans="1:26" s="55" customFormat="1" ht="19" x14ac:dyDescent="0.2">
      <c r="A235" s="27">
        <v>489</v>
      </c>
      <c r="B235" s="28" t="str">
        <f t="shared" si="11"/>
        <v>2.4.04</v>
      </c>
      <c r="C235" s="29">
        <f t="shared" si="12"/>
        <v>5</v>
      </c>
      <c r="D235" s="3"/>
      <c r="E235" s="121"/>
      <c r="F235" s="31"/>
      <c r="G235" s="74" t="e">
        <f>VLOOKUP(E235,'[1]Assessment - Detect'!E:AB,24,FALSE)</f>
        <v>#N/A</v>
      </c>
      <c r="H235" s="74" t="e">
        <f>VLOOKUP(E235,'[1]Assessment - Detect'!E:I,5,FALSE)</f>
        <v>#N/A</v>
      </c>
      <c r="I235" s="121" t="e">
        <f>IF(VLOOKUP(E235,'[1]Assessment - Detect'!$E:$J,6,FALSE)=0,"",VLOOKUP(E235,'[1]Assessment - Detect'!$E:$J,6,FALSE))</f>
        <v>#N/A</v>
      </c>
      <c r="J235" s="29"/>
      <c r="K235" s="29"/>
      <c r="L235" s="29"/>
      <c r="M235" s="29"/>
      <c r="N235" s="29"/>
      <c r="O235" s="29"/>
      <c r="P235" s="29"/>
      <c r="Q235" s="29"/>
      <c r="R235" s="29"/>
      <c r="S235" s="29"/>
      <c r="T235" s="57"/>
      <c r="U235" s="91" t="e">
        <f>IF(AND(C235&gt;4,VLOOKUP(B235,'[1]Assessment - Detect'!E:AA,23,FALSE)&lt;&gt;7),LEFT(B235,3),"")</f>
        <v>#N/A</v>
      </c>
      <c r="V235" s="91" t="e">
        <f>VLOOKUP(B235,#REF!,5,FALSE)</f>
        <v>#REF!</v>
      </c>
      <c r="W235" s="91">
        <f>IF(VLOOKUP(B235,'[1]Assessment - Detect'!B:AA,26,FALSE)=7,0,1)</f>
        <v>1</v>
      </c>
      <c r="X235" s="91" t="e">
        <f t="shared" si="13"/>
        <v>#REF!</v>
      </c>
      <c r="Y235" s="57"/>
      <c r="Z235" s="57"/>
    </row>
    <row r="236" spans="1:26" s="55" customFormat="1" ht="19" x14ac:dyDescent="0.2">
      <c r="A236" s="27">
        <v>490</v>
      </c>
      <c r="B236" s="28" t="str">
        <f t="shared" si="11"/>
        <v>2.4.05</v>
      </c>
      <c r="C236" s="29">
        <f t="shared" si="12"/>
        <v>4</v>
      </c>
      <c r="D236" s="3"/>
      <c r="E236" s="121"/>
      <c r="F236" s="31"/>
      <c r="G236" s="74"/>
      <c r="H236" s="74"/>
      <c r="I236" s="121"/>
      <c r="J236" s="29"/>
      <c r="K236" s="29"/>
      <c r="L236" s="29"/>
      <c r="M236" s="29"/>
      <c r="N236" s="29"/>
      <c r="O236" s="29"/>
      <c r="P236" s="29"/>
      <c r="Q236" s="29"/>
      <c r="R236" s="29"/>
      <c r="S236" s="29"/>
      <c r="T236" s="57"/>
      <c r="U236" s="91" t="e">
        <f>IF(AND(C236&gt;4,VLOOKUP(B236,'[1]Assessment - Detect'!E:AA,23,FALSE)&lt;&gt;7),LEFT(B236,3),"")</f>
        <v>#N/A</v>
      </c>
      <c r="V236" s="91" t="e">
        <f>VLOOKUP(B236,#REF!,5,FALSE)</f>
        <v>#REF!</v>
      </c>
      <c r="W236" s="91">
        <f>IF(VLOOKUP(B236,'[1]Assessment - Detect'!B:AA,26,FALSE)=7,0,1)</f>
        <v>1</v>
      </c>
      <c r="X236" s="91" t="e">
        <f t="shared" si="13"/>
        <v>#REF!</v>
      </c>
      <c r="Y236" s="57"/>
      <c r="Z236" s="57"/>
    </row>
    <row r="237" spans="1:26" s="55" customFormat="1" ht="30" customHeight="1" x14ac:dyDescent="0.2">
      <c r="A237" s="27">
        <v>491</v>
      </c>
      <c r="B237" s="28" t="str">
        <f t="shared" si="11"/>
        <v>2.4.05a</v>
      </c>
      <c r="C237" s="29">
        <f t="shared" si="12"/>
        <v>6</v>
      </c>
      <c r="D237" s="3"/>
      <c r="E237" s="121"/>
      <c r="F237" s="36"/>
      <c r="G237" s="74" t="e">
        <f>VLOOKUP(E237,'[1]Assessment - Detect'!E:AB,24,FALSE)</f>
        <v>#N/A</v>
      </c>
      <c r="H237" s="74" t="e">
        <f>VLOOKUP(E237,'[1]Assessment - Detect'!E:I,5,FALSE)</f>
        <v>#N/A</v>
      </c>
      <c r="I237" s="121" t="e">
        <f>IF(VLOOKUP(E237,'[1]Assessment - Detect'!$E:$J,6,FALSE)=0,"",VLOOKUP(E237,'[1]Assessment - Detect'!$E:$J,6,FALSE))</f>
        <v>#N/A</v>
      </c>
      <c r="J237" s="29"/>
      <c r="K237" s="29"/>
      <c r="L237" s="29"/>
      <c r="M237" s="29"/>
      <c r="N237" s="29"/>
      <c r="O237" s="29"/>
      <c r="P237" s="29"/>
      <c r="Q237" s="29"/>
      <c r="R237" s="29"/>
      <c r="S237" s="29"/>
      <c r="T237" s="57"/>
      <c r="U237" s="91" t="e">
        <f>IF(AND(C237&gt;4,VLOOKUP(B237,'[1]Assessment - Detect'!E:AA,23,FALSE)&lt;&gt;7),LEFT(B237,3),"")</f>
        <v>#N/A</v>
      </c>
      <c r="V237" s="91" t="e">
        <f>VLOOKUP(B237,#REF!,5,FALSE)</f>
        <v>#REF!</v>
      </c>
      <c r="W237" s="91">
        <f>IF(VLOOKUP(B237,'[1]Assessment - Detect'!B:AA,26,FALSE)=7,0,1)</f>
        <v>1</v>
      </c>
      <c r="X237" s="91" t="e">
        <f t="shared" si="13"/>
        <v>#REF!</v>
      </c>
      <c r="Y237" s="57"/>
      <c r="Z237" s="57"/>
    </row>
    <row r="238" spans="1:26" s="55" customFormat="1" ht="19" x14ac:dyDescent="0.2">
      <c r="A238" s="27">
        <v>492</v>
      </c>
      <c r="B238" s="28" t="str">
        <f t="shared" si="11"/>
        <v>2.4.05b</v>
      </c>
      <c r="C238" s="29">
        <f t="shared" si="12"/>
        <v>6</v>
      </c>
      <c r="D238" s="3"/>
      <c r="E238" s="121"/>
      <c r="F238" s="36"/>
      <c r="G238" s="74" t="e">
        <f>VLOOKUP(E238,'[1]Assessment - Detect'!E:AB,24,FALSE)</f>
        <v>#N/A</v>
      </c>
      <c r="H238" s="74" t="e">
        <f>VLOOKUP(E238,'[1]Assessment - Detect'!E:I,5,FALSE)</f>
        <v>#N/A</v>
      </c>
      <c r="I238" s="121" t="e">
        <f>IF(VLOOKUP(E238,'[1]Assessment - Detect'!$E:$J,6,FALSE)=0,"",VLOOKUP(E238,'[1]Assessment - Detect'!$E:$J,6,FALSE))</f>
        <v>#N/A</v>
      </c>
      <c r="J238" s="29"/>
      <c r="K238" s="29"/>
      <c r="L238" s="29"/>
      <c r="M238" s="29"/>
      <c r="N238" s="29"/>
      <c r="O238" s="29"/>
      <c r="P238" s="29"/>
      <c r="Q238" s="29"/>
      <c r="R238" s="29"/>
      <c r="S238" s="29"/>
      <c r="T238" s="57"/>
      <c r="U238" s="91" t="e">
        <f>IF(AND(C238&gt;4,VLOOKUP(B238,'[1]Assessment - Detect'!E:AA,23,FALSE)&lt;&gt;7),LEFT(B238,3),"")</f>
        <v>#N/A</v>
      </c>
      <c r="V238" s="91" t="e">
        <f>VLOOKUP(B238,#REF!,5,FALSE)</f>
        <v>#REF!</v>
      </c>
      <c r="W238" s="91">
        <f>IF(VLOOKUP(B238,'[1]Assessment - Detect'!B:AA,26,FALSE)=7,0,1)</f>
        <v>1</v>
      </c>
      <c r="X238" s="91" t="e">
        <f t="shared" si="13"/>
        <v>#REF!</v>
      </c>
      <c r="Y238" s="57"/>
      <c r="Z238" s="57"/>
    </row>
    <row r="239" spans="1:26" s="55" customFormat="1" ht="30" customHeight="1" x14ac:dyDescent="0.2">
      <c r="A239" s="27">
        <v>493</v>
      </c>
      <c r="B239" s="28" t="str">
        <f t="shared" si="11"/>
        <v>2.4.05c</v>
      </c>
      <c r="C239" s="29">
        <f t="shared" si="12"/>
        <v>6</v>
      </c>
      <c r="D239" s="3"/>
      <c r="E239" s="121"/>
      <c r="F239" s="36"/>
      <c r="G239" s="74" t="e">
        <f>VLOOKUP(E239,'[1]Assessment - Detect'!E:AB,24,FALSE)</f>
        <v>#N/A</v>
      </c>
      <c r="H239" s="74" t="e">
        <f>VLOOKUP(E239,'[1]Assessment - Detect'!E:I,5,FALSE)</f>
        <v>#N/A</v>
      </c>
      <c r="I239" s="121" t="e">
        <f>IF(VLOOKUP(E239,'[1]Assessment - Detect'!$E:$J,6,FALSE)=0,"",VLOOKUP(E239,'[1]Assessment - Detect'!$E:$J,6,FALSE))</f>
        <v>#N/A</v>
      </c>
      <c r="J239" s="29"/>
      <c r="K239" s="29"/>
      <c r="L239" s="29"/>
      <c r="M239" s="29"/>
      <c r="N239" s="29"/>
      <c r="O239" s="29"/>
      <c r="P239" s="29"/>
      <c r="Q239" s="29"/>
      <c r="R239" s="29"/>
      <c r="S239" s="29"/>
      <c r="T239" s="57"/>
      <c r="U239" s="91" t="e">
        <f>IF(AND(C239&gt;4,VLOOKUP(B239,'[1]Assessment - Detect'!E:AA,23,FALSE)&lt;&gt;7),LEFT(B239,3),"")</f>
        <v>#N/A</v>
      </c>
      <c r="V239" s="91" t="e">
        <f>VLOOKUP(B239,#REF!,5,FALSE)</f>
        <v>#REF!</v>
      </c>
      <c r="W239" s="91">
        <f>IF(VLOOKUP(B239,'[1]Assessment - Detect'!B:AA,26,FALSE)=7,0,1)</f>
        <v>1</v>
      </c>
      <c r="X239" s="91" t="e">
        <f t="shared" si="13"/>
        <v>#REF!</v>
      </c>
      <c r="Y239" s="57"/>
      <c r="Z239" s="57"/>
    </row>
    <row r="240" spans="1:26" s="55" customFormat="1" ht="30" customHeight="1" x14ac:dyDescent="0.2">
      <c r="A240" s="27">
        <v>494</v>
      </c>
      <c r="B240" s="28" t="str">
        <f t="shared" si="11"/>
        <v>2.4.06</v>
      </c>
      <c r="C240" s="29">
        <f t="shared" si="12"/>
        <v>4</v>
      </c>
      <c r="D240" s="3"/>
      <c r="E240" s="121"/>
      <c r="F240" s="31"/>
      <c r="G240" s="74"/>
      <c r="H240" s="74"/>
      <c r="I240" s="121"/>
      <c r="J240" s="29"/>
      <c r="K240" s="29"/>
      <c r="L240" s="29"/>
      <c r="M240" s="29"/>
      <c r="N240" s="29"/>
      <c r="O240" s="29"/>
      <c r="P240" s="29"/>
      <c r="Q240" s="29"/>
      <c r="R240" s="29"/>
      <c r="S240" s="29"/>
      <c r="T240" s="57"/>
      <c r="U240" s="91" t="e">
        <f>IF(AND(C240&gt;4,VLOOKUP(B240,'[1]Assessment - Detect'!E:AA,23,FALSE)&lt;&gt;7),LEFT(B240,3),"")</f>
        <v>#N/A</v>
      </c>
      <c r="V240" s="91" t="e">
        <f>VLOOKUP(B240,#REF!,5,FALSE)</f>
        <v>#REF!</v>
      </c>
      <c r="W240" s="91">
        <f>IF(VLOOKUP(B240,'[1]Assessment - Detect'!B:AA,26,FALSE)=7,0,1)</f>
        <v>1</v>
      </c>
      <c r="X240" s="91" t="e">
        <f t="shared" si="13"/>
        <v>#REF!</v>
      </c>
      <c r="Y240" s="57"/>
      <c r="Z240" s="57"/>
    </row>
    <row r="241" spans="1:26" s="55" customFormat="1" ht="30" customHeight="1" x14ac:dyDescent="0.2">
      <c r="A241" s="27">
        <v>495</v>
      </c>
      <c r="B241" s="28" t="str">
        <f t="shared" si="11"/>
        <v>2.4.06a</v>
      </c>
      <c r="C241" s="29">
        <f t="shared" si="12"/>
        <v>6</v>
      </c>
      <c r="D241" s="3"/>
      <c r="E241" s="121"/>
      <c r="F241" s="36"/>
      <c r="G241" s="74" t="e">
        <f>VLOOKUP(E241,'[1]Assessment - Detect'!E:AB,24,FALSE)</f>
        <v>#N/A</v>
      </c>
      <c r="H241" s="74" t="e">
        <f>VLOOKUP(E241,'[1]Assessment - Detect'!E:I,5,FALSE)</f>
        <v>#N/A</v>
      </c>
      <c r="I241" s="121" t="e">
        <f>IF(VLOOKUP(E241,'[1]Assessment - Detect'!$E:$J,6,FALSE)=0,"",VLOOKUP(E241,'[1]Assessment - Detect'!$E:$J,6,FALSE))</f>
        <v>#N/A</v>
      </c>
      <c r="J241" s="29"/>
      <c r="K241" s="29"/>
      <c r="L241" s="29"/>
      <c r="M241" s="29"/>
      <c r="N241" s="29"/>
      <c r="O241" s="29"/>
      <c r="P241" s="29"/>
      <c r="Q241" s="29"/>
      <c r="R241" s="29"/>
      <c r="S241" s="29"/>
      <c r="T241" s="57"/>
      <c r="U241" s="91" t="e">
        <f>IF(AND(C241&gt;4,VLOOKUP(B241,'[1]Assessment - Detect'!E:AA,23,FALSE)&lt;&gt;7),LEFT(B241,3),"")</f>
        <v>#N/A</v>
      </c>
      <c r="V241" s="91" t="e">
        <f>VLOOKUP(B241,#REF!,5,FALSE)</f>
        <v>#REF!</v>
      </c>
      <c r="W241" s="91">
        <f>IF(VLOOKUP(B241,'[1]Assessment - Detect'!B:AA,26,FALSE)=7,0,1)</f>
        <v>1</v>
      </c>
      <c r="X241" s="91" t="e">
        <f t="shared" si="13"/>
        <v>#REF!</v>
      </c>
      <c r="Y241" s="57"/>
      <c r="Z241" s="57"/>
    </row>
    <row r="242" spans="1:26" s="55" customFormat="1" ht="30" customHeight="1" x14ac:dyDescent="0.2">
      <c r="A242" s="27">
        <v>496</v>
      </c>
      <c r="B242" s="28" t="str">
        <f t="shared" si="11"/>
        <v>2.4.06b</v>
      </c>
      <c r="C242" s="29">
        <f t="shared" si="12"/>
        <v>6</v>
      </c>
      <c r="D242" s="3"/>
      <c r="E242" s="121"/>
      <c r="F242" s="36"/>
      <c r="G242" s="74" t="e">
        <f>VLOOKUP(E242,'[1]Assessment - Detect'!E:AB,24,FALSE)</f>
        <v>#N/A</v>
      </c>
      <c r="H242" s="74" t="e">
        <f>VLOOKUP(E242,'[1]Assessment - Detect'!E:I,5,FALSE)</f>
        <v>#N/A</v>
      </c>
      <c r="I242" s="121" t="e">
        <f>IF(VLOOKUP(E242,'[1]Assessment - Detect'!$E:$J,6,FALSE)=0,"",VLOOKUP(E242,'[1]Assessment - Detect'!$E:$J,6,FALSE))</f>
        <v>#N/A</v>
      </c>
      <c r="J242" s="29"/>
      <c r="K242" s="29"/>
      <c r="L242" s="29"/>
      <c r="M242" s="29"/>
      <c r="N242" s="29"/>
      <c r="O242" s="29"/>
      <c r="P242" s="29"/>
      <c r="Q242" s="29"/>
      <c r="R242" s="29"/>
      <c r="S242" s="29"/>
      <c r="T242" s="57"/>
      <c r="U242" s="91" t="e">
        <f>IF(AND(C242&gt;4,VLOOKUP(B242,'[1]Assessment - Detect'!E:AA,23,FALSE)&lt;&gt;7),LEFT(B242,3),"")</f>
        <v>#N/A</v>
      </c>
      <c r="V242" s="91" t="e">
        <f>VLOOKUP(B242,#REF!,5,FALSE)</f>
        <v>#REF!</v>
      </c>
      <c r="W242" s="91">
        <f>IF(VLOOKUP(B242,'[1]Assessment - Detect'!B:AA,26,FALSE)=7,0,1)</f>
        <v>1</v>
      </c>
      <c r="X242" s="91" t="e">
        <f t="shared" si="13"/>
        <v>#REF!</v>
      </c>
      <c r="Y242" s="57"/>
      <c r="Z242" s="57"/>
    </row>
    <row r="243" spans="1:26" s="55" customFormat="1" ht="30" customHeight="1" x14ac:dyDescent="0.2">
      <c r="A243" s="27">
        <v>497</v>
      </c>
      <c r="B243" s="28" t="str">
        <f t="shared" si="11"/>
        <v>2.4.06c</v>
      </c>
      <c r="C243" s="29">
        <f t="shared" si="12"/>
        <v>6</v>
      </c>
      <c r="D243" s="3"/>
      <c r="E243" s="121"/>
      <c r="F243" s="36"/>
      <c r="G243" s="74" t="e">
        <f>VLOOKUP(E243,'[1]Assessment - Detect'!E:AB,24,FALSE)</f>
        <v>#N/A</v>
      </c>
      <c r="H243" s="74" t="e">
        <f>VLOOKUP(E243,'[1]Assessment - Detect'!E:I,5,FALSE)</f>
        <v>#N/A</v>
      </c>
      <c r="I243" s="121" t="e">
        <f>IF(VLOOKUP(E243,'[1]Assessment - Detect'!$E:$J,6,FALSE)=0,"",VLOOKUP(E243,'[1]Assessment - Detect'!$E:$J,6,FALSE))</f>
        <v>#N/A</v>
      </c>
      <c r="J243" s="29"/>
      <c r="K243" s="29"/>
      <c r="L243" s="29"/>
      <c r="M243" s="29"/>
      <c r="N243" s="29"/>
      <c r="O243" s="29"/>
      <c r="P243" s="29"/>
      <c r="Q243" s="29"/>
      <c r="R243" s="29"/>
      <c r="S243" s="29"/>
      <c r="T243" s="57"/>
      <c r="U243" s="91" t="e">
        <f>IF(AND(C243&gt;4,VLOOKUP(B243,'[1]Assessment - Detect'!E:AA,23,FALSE)&lt;&gt;7),LEFT(B243,3),"")</f>
        <v>#N/A</v>
      </c>
      <c r="V243" s="91" t="e">
        <f>VLOOKUP(B243,#REF!,5,FALSE)</f>
        <v>#REF!</v>
      </c>
      <c r="W243" s="91">
        <f>IF(VLOOKUP(B243,'[1]Assessment - Detect'!B:AA,26,FALSE)=7,0,1)</f>
        <v>1</v>
      </c>
      <c r="X243" s="91" t="e">
        <f t="shared" si="13"/>
        <v>#REF!</v>
      </c>
      <c r="Y243" s="57"/>
      <c r="Z243" s="57"/>
    </row>
    <row r="244" spans="1:26" s="55" customFormat="1" ht="30" customHeight="1" x14ac:dyDescent="0.2">
      <c r="A244" s="27">
        <v>498</v>
      </c>
      <c r="B244" s="28" t="str">
        <f t="shared" si="11"/>
        <v>2.4.06d</v>
      </c>
      <c r="C244" s="29">
        <f t="shared" si="12"/>
        <v>6</v>
      </c>
      <c r="D244" s="3"/>
      <c r="E244" s="121"/>
      <c r="F244" s="36"/>
      <c r="G244" s="74" t="e">
        <f>VLOOKUP(E244,'[1]Assessment - Detect'!E:AB,24,FALSE)</f>
        <v>#N/A</v>
      </c>
      <c r="H244" s="74" t="e">
        <f>VLOOKUP(E244,'[1]Assessment - Detect'!E:I,5,FALSE)</f>
        <v>#N/A</v>
      </c>
      <c r="I244" s="121" t="e">
        <f>IF(VLOOKUP(E244,'[1]Assessment - Detect'!$E:$J,6,FALSE)=0,"",VLOOKUP(E244,'[1]Assessment - Detect'!$E:$J,6,FALSE))</f>
        <v>#N/A</v>
      </c>
      <c r="J244" s="29"/>
      <c r="K244" s="29"/>
      <c r="L244" s="29"/>
      <c r="M244" s="29"/>
      <c r="N244" s="29"/>
      <c r="O244" s="29"/>
      <c r="P244" s="29"/>
      <c r="Q244" s="29"/>
      <c r="R244" s="29"/>
      <c r="S244" s="29"/>
      <c r="T244" s="57"/>
      <c r="U244" s="91" t="e">
        <f>IF(AND(C244&gt;4,VLOOKUP(B244,'[1]Assessment - Detect'!E:AA,23,FALSE)&lt;&gt;7),LEFT(B244,3),"")</f>
        <v>#N/A</v>
      </c>
      <c r="V244" s="91" t="e">
        <f>VLOOKUP(B244,#REF!,5,FALSE)</f>
        <v>#REF!</v>
      </c>
      <c r="W244" s="91">
        <f>IF(VLOOKUP(B244,'[1]Assessment - Detect'!B:AA,26,FALSE)=7,0,1)</f>
        <v>1</v>
      </c>
      <c r="X244" s="91" t="e">
        <f t="shared" si="13"/>
        <v>#REF!</v>
      </c>
      <c r="Y244" s="57"/>
      <c r="Z244" s="57"/>
    </row>
    <row r="245" spans="1:26" s="55" customFormat="1" ht="19" x14ac:dyDescent="0.2">
      <c r="A245" s="27">
        <v>499</v>
      </c>
      <c r="B245" s="28" t="str">
        <f t="shared" si="11"/>
        <v>2.4.06e</v>
      </c>
      <c r="C245" s="29">
        <f t="shared" si="12"/>
        <v>6</v>
      </c>
      <c r="D245" s="3"/>
      <c r="E245" s="121"/>
      <c r="F245" s="36"/>
      <c r="G245" s="74" t="e">
        <f>VLOOKUP(E245,'[1]Assessment - Detect'!E:AB,24,FALSE)</f>
        <v>#N/A</v>
      </c>
      <c r="H245" s="74" t="e">
        <f>VLOOKUP(E245,'[1]Assessment - Detect'!E:I,5,FALSE)</f>
        <v>#N/A</v>
      </c>
      <c r="I245" s="121" t="e">
        <f>IF(VLOOKUP(E245,'[1]Assessment - Detect'!$E:$J,6,FALSE)=0,"",VLOOKUP(E245,'[1]Assessment - Detect'!$E:$J,6,FALSE))</f>
        <v>#N/A</v>
      </c>
      <c r="J245" s="29"/>
      <c r="K245" s="29"/>
      <c r="L245" s="29"/>
      <c r="M245" s="29"/>
      <c r="N245" s="29"/>
      <c r="O245" s="29"/>
      <c r="P245" s="29"/>
      <c r="Q245" s="29"/>
      <c r="R245" s="29"/>
      <c r="S245" s="29"/>
      <c r="T245" s="57"/>
      <c r="U245" s="91" t="e">
        <f>IF(AND(C245&gt;4,VLOOKUP(B245,'[1]Assessment - Detect'!E:AA,23,FALSE)&lt;&gt;7),LEFT(B245,3),"")</f>
        <v>#N/A</v>
      </c>
      <c r="V245" s="91" t="e">
        <f>VLOOKUP(B245,#REF!,5,FALSE)</f>
        <v>#REF!</v>
      </c>
      <c r="W245" s="91">
        <f>IF(VLOOKUP(B245,'[1]Assessment - Detect'!B:AA,26,FALSE)=7,0,1)</f>
        <v>1</v>
      </c>
      <c r="X245" s="91" t="e">
        <f t="shared" si="13"/>
        <v>#REF!</v>
      </c>
      <c r="Y245" s="57"/>
      <c r="Z245" s="57"/>
    </row>
    <row r="246" spans="1:26" s="55" customFormat="1" ht="30" customHeight="1" x14ac:dyDescent="0.2">
      <c r="A246" s="27">
        <v>500</v>
      </c>
      <c r="B246" s="28" t="str">
        <f t="shared" si="11"/>
        <v>2.4.07</v>
      </c>
      <c r="C246" s="29">
        <f t="shared" si="12"/>
        <v>4</v>
      </c>
      <c r="D246" s="3"/>
      <c r="E246" s="121"/>
      <c r="F246" s="31"/>
      <c r="G246" s="74"/>
      <c r="H246" s="74"/>
      <c r="I246" s="121"/>
      <c r="J246" s="29"/>
      <c r="K246" s="29"/>
      <c r="L246" s="29"/>
      <c r="M246" s="29"/>
      <c r="N246" s="29"/>
      <c r="O246" s="29"/>
      <c r="P246" s="29"/>
      <c r="Q246" s="29"/>
      <c r="R246" s="29"/>
      <c r="S246" s="29"/>
      <c r="T246" s="57"/>
      <c r="U246" s="91" t="e">
        <f>IF(AND(C246&gt;4,VLOOKUP(B246,'[1]Assessment - Detect'!E:AA,23,FALSE)&lt;&gt;7),LEFT(B246,3),"")</f>
        <v>#N/A</v>
      </c>
      <c r="V246" s="91" t="e">
        <f>VLOOKUP(B246,#REF!,5,FALSE)</f>
        <v>#REF!</v>
      </c>
      <c r="W246" s="91">
        <f>IF(VLOOKUP(B246,'[1]Assessment - Detect'!B:AA,26,FALSE)=7,0,1)</f>
        <v>1</v>
      </c>
      <c r="X246" s="91" t="e">
        <f t="shared" si="13"/>
        <v>#REF!</v>
      </c>
      <c r="Y246" s="57"/>
      <c r="Z246" s="57"/>
    </row>
    <row r="247" spans="1:26" s="55" customFormat="1" ht="30" customHeight="1" x14ac:dyDescent="0.2">
      <c r="A247" s="27">
        <v>501</v>
      </c>
      <c r="B247" s="28" t="str">
        <f t="shared" si="11"/>
        <v>2.4.07a</v>
      </c>
      <c r="C247" s="29">
        <f t="shared" si="12"/>
        <v>6</v>
      </c>
      <c r="D247" s="3"/>
      <c r="E247" s="121"/>
      <c r="F247" s="36"/>
      <c r="G247" s="74" t="e">
        <f>VLOOKUP(E247,'[1]Assessment - Detect'!E:AB,24,FALSE)</f>
        <v>#N/A</v>
      </c>
      <c r="H247" s="74" t="e">
        <f>VLOOKUP(E247,'[1]Assessment - Detect'!E:I,5,FALSE)</f>
        <v>#N/A</v>
      </c>
      <c r="I247" s="121" t="e">
        <f>IF(VLOOKUP(E247,'[1]Assessment - Detect'!$E:$J,6,FALSE)=0,"",VLOOKUP(E247,'[1]Assessment - Detect'!$E:$J,6,FALSE))</f>
        <v>#N/A</v>
      </c>
      <c r="J247" s="29"/>
      <c r="K247" s="29"/>
      <c r="L247" s="29"/>
      <c r="M247" s="29"/>
      <c r="N247" s="29"/>
      <c r="O247" s="29"/>
      <c r="P247" s="29"/>
      <c r="Q247" s="29"/>
      <c r="R247" s="29"/>
      <c r="S247" s="29"/>
      <c r="T247" s="57"/>
      <c r="U247" s="91" t="e">
        <f>IF(AND(C247&gt;4,VLOOKUP(B247,'[1]Assessment - Detect'!E:AA,23,FALSE)&lt;&gt;7),LEFT(B247,3),"")</f>
        <v>#N/A</v>
      </c>
      <c r="V247" s="91" t="e">
        <f>VLOOKUP(B247,#REF!,5,FALSE)</f>
        <v>#REF!</v>
      </c>
      <c r="W247" s="91">
        <f>IF(VLOOKUP(B247,'[1]Assessment - Detect'!B:AA,26,FALSE)=7,0,1)</f>
        <v>1</v>
      </c>
      <c r="X247" s="91" t="e">
        <f t="shared" si="13"/>
        <v>#REF!</v>
      </c>
      <c r="Y247" s="57"/>
      <c r="Z247" s="57"/>
    </row>
    <row r="248" spans="1:26" s="55" customFormat="1" ht="19" x14ac:dyDescent="0.2">
      <c r="A248" s="27">
        <v>502</v>
      </c>
      <c r="B248" s="28" t="str">
        <f t="shared" si="11"/>
        <v>2.4.07b</v>
      </c>
      <c r="C248" s="29">
        <f t="shared" si="12"/>
        <v>6</v>
      </c>
      <c r="D248" s="3"/>
      <c r="E248" s="121"/>
      <c r="F248" s="36"/>
      <c r="G248" s="74" t="e">
        <f>VLOOKUP(E248,'[1]Assessment - Detect'!E:AB,24,FALSE)</f>
        <v>#N/A</v>
      </c>
      <c r="H248" s="74" t="e">
        <f>VLOOKUP(E248,'[1]Assessment - Detect'!E:I,5,FALSE)</f>
        <v>#N/A</v>
      </c>
      <c r="I248" s="121" t="e">
        <f>IF(VLOOKUP(E248,'[1]Assessment - Detect'!$E:$J,6,FALSE)=0,"",VLOOKUP(E248,'[1]Assessment - Detect'!$E:$J,6,FALSE))</f>
        <v>#N/A</v>
      </c>
      <c r="J248" s="29"/>
      <c r="K248" s="29"/>
      <c r="L248" s="29"/>
      <c r="M248" s="29"/>
      <c r="N248" s="29"/>
      <c r="O248" s="29"/>
      <c r="P248" s="29"/>
      <c r="Q248" s="29"/>
      <c r="R248" s="29"/>
      <c r="S248" s="29"/>
      <c r="T248" s="57"/>
      <c r="U248" s="91" t="e">
        <f>IF(AND(C248&gt;4,VLOOKUP(B248,'[1]Assessment - Detect'!E:AA,23,FALSE)&lt;&gt;7),LEFT(B248,3),"")</f>
        <v>#N/A</v>
      </c>
      <c r="V248" s="91" t="e">
        <f>VLOOKUP(B248,#REF!,5,FALSE)</f>
        <v>#REF!</v>
      </c>
      <c r="W248" s="91">
        <f>IF(VLOOKUP(B248,'[1]Assessment - Detect'!B:AA,26,FALSE)=7,0,1)</f>
        <v>1</v>
      </c>
      <c r="X248" s="91" t="e">
        <f t="shared" si="13"/>
        <v>#REF!</v>
      </c>
      <c r="Y248" s="57"/>
      <c r="Z248" s="57"/>
    </row>
    <row r="249" spans="1:26" s="55" customFormat="1" ht="30" customHeight="1" x14ac:dyDescent="0.2">
      <c r="A249" s="27">
        <v>503</v>
      </c>
      <c r="B249" s="28" t="str">
        <f t="shared" si="11"/>
        <v>2.4.07c</v>
      </c>
      <c r="C249" s="29">
        <f t="shared" si="12"/>
        <v>6</v>
      </c>
      <c r="D249" s="3"/>
      <c r="E249" s="121"/>
      <c r="F249" s="36"/>
      <c r="G249" s="74" t="e">
        <f>VLOOKUP(E249,'[1]Assessment - Detect'!E:AB,24,FALSE)</f>
        <v>#N/A</v>
      </c>
      <c r="H249" s="74" t="e">
        <f>VLOOKUP(E249,'[1]Assessment - Detect'!E:I,5,FALSE)</f>
        <v>#N/A</v>
      </c>
      <c r="I249" s="121" t="e">
        <f>IF(VLOOKUP(E249,'[1]Assessment - Detect'!$E:$J,6,FALSE)=0,"",VLOOKUP(E249,'[1]Assessment - Detect'!$E:$J,6,FALSE))</f>
        <v>#N/A</v>
      </c>
      <c r="J249" s="29"/>
      <c r="K249" s="29"/>
      <c r="L249" s="29"/>
      <c r="M249" s="29"/>
      <c r="N249" s="29"/>
      <c r="O249" s="29"/>
      <c r="P249" s="29"/>
      <c r="Q249" s="29"/>
      <c r="R249" s="29"/>
      <c r="S249" s="29"/>
      <c r="T249" s="57"/>
      <c r="U249" s="91" t="e">
        <f>IF(AND(C249&gt;4,VLOOKUP(B249,'[1]Assessment - Detect'!E:AA,23,FALSE)&lt;&gt;7),LEFT(B249,3),"")</f>
        <v>#N/A</v>
      </c>
      <c r="V249" s="91" t="e">
        <f>VLOOKUP(B249,#REF!,5,FALSE)</f>
        <v>#REF!</v>
      </c>
      <c r="W249" s="91">
        <f>IF(VLOOKUP(B249,'[1]Assessment - Detect'!B:AA,26,FALSE)=7,0,1)</f>
        <v>1</v>
      </c>
      <c r="X249" s="91" t="e">
        <f t="shared" si="13"/>
        <v>#REF!</v>
      </c>
      <c r="Y249" s="57"/>
      <c r="Z249" s="57"/>
    </row>
    <row r="250" spans="1:26" s="55" customFormat="1" ht="19" x14ac:dyDescent="0.2">
      <c r="A250" s="27">
        <v>504</v>
      </c>
      <c r="B250" s="28" t="str">
        <f t="shared" si="11"/>
        <v>2.4.07d</v>
      </c>
      <c r="C250" s="29">
        <f t="shared" si="12"/>
        <v>6</v>
      </c>
      <c r="D250" s="3"/>
      <c r="E250" s="121"/>
      <c r="F250" s="36"/>
      <c r="G250" s="74" t="e">
        <f>VLOOKUP(E250,'[1]Assessment - Detect'!E:AB,24,FALSE)</f>
        <v>#N/A</v>
      </c>
      <c r="H250" s="74" t="e">
        <f>VLOOKUP(E250,'[1]Assessment - Detect'!E:I,5,FALSE)</f>
        <v>#N/A</v>
      </c>
      <c r="I250" s="121" t="e">
        <f>IF(VLOOKUP(E250,'[1]Assessment - Detect'!$E:$J,6,FALSE)=0,"",VLOOKUP(E250,'[1]Assessment - Detect'!$E:$J,6,FALSE))</f>
        <v>#N/A</v>
      </c>
      <c r="J250" s="29"/>
      <c r="K250" s="29"/>
      <c r="L250" s="29"/>
      <c r="M250" s="29"/>
      <c r="N250" s="29"/>
      <c r="O250" s="29"/>
      <c r="P250" s="29"/>
      <c r="Q250" s="29"/>
      <c r="R250" s="29"/>
      <c r="S250" s="29"/>
      <c r="T250" s="57"/>
      <c r="U250" s="91" t="e">
        <f>IF(AND(C250&gt;4,VLOOKUP(B250,'[1]Assessment - Detect'!E:AA,23,FALSE)&lt;&gt;7),LEFT(B250,3),"")</f>
        <v>#N/A</v>
      </c>
      <c r="V250" s="91" t="e">
        <f>VLOOKUP(B250,#REF!,5,FALSE)</f>
        <v>#REF!</v>
      </c>
      <c r="W250" s="91">
        <f>IF(VLOOKUP(B250,'[1]Assessment - Detect'!B:AA,26,FALSE)=7,0,1)</f>
        <v>1</v>
      </c>
      <c r="X250" s="91" t="e">
        <f t="shared" si="13"/>
        <v>#REF!</v>
      </c>
      <c r="Y250" s="57"/>
      <c r="Z250" s="57"/>
    </row>
    <row r="251" spans="1:26" s="55" customFormat="1" ht="30" customHeight="1" x14ac:dyDescent="0.2">
      <c r="A251" s="27">
        <v>505</v>
      </c>
      <c r="B251" s="28" t="str">
        <f t="shared" si="11"/>
        <v>2.4.07e</v>
      </c>
      <c r="C251" s="29">
        <f t="shared" si="12"/>
        <v>6</v>
      </c>
      <c r="D251" s="3"/>
      <c r="E251" s="121"/>
      <c r="F251" s="36"/>
      <c r="G251" s="74" t="e">
        <f>VLOOKUP(E251,'[1]Assessment - Detect'!E:AB,24,FALSE)</f>
        <v>#N/A</v>
      </c>
      <c r="H251" s="74" t="e">
        <f>VLOOKUP(E251,'[1]Assessment - Detect'!E:I,5,FALSE)</f>
        <v>#N/A</v>
      </c>
      <c r="I251" s="121" t="e">
        <f>IF(VLOOKUP(E251,'[1]Assessment - Detect'!$E:$J,6,FALSE)=0,"",VLOOKUP(E251,'[1]Assessment - Detect'!$E:$J,6,FALSE))</f>
        <v>#N/A</v>
      </c>
      <c r="J251" s="29"/>
      <c r="K251" s="29"/>
      <c r="L251" s="29"/>
      <c r="M251" s="29"/>
      <c r="N251" s="29"/>
      <c r="O251" s="29"/>
      <c r="P251" s="29"/>
      <c r="Q251" s="29"/>
      <c r="R251" s="29"/>
      <c r="S251" s="29"/>
      <c r="T251" s="57"/>
      <c r="U251" s="91" t="e">
        <f>IF(AND(C251&gt;4,VLOOKUP(B251,'[1]Assessment - Detect'!E:AA,23,FALSE)&lt;&gt;7),LEFT(B251,3),"")</f>
        <v>#N/A</v>
      </c>
      <c r="V251" s="91" t="e">
        <f>VLOOKUP(B251,#REF!,5,FALSE)</f>
        <v>#REF!</v>
      </c>
      <c r="W251" s="91">
        <f>IF(VLOOKUP(B251,'[1]Assessment - Detect'!B:AA,26,FALSE)=7,0,1)</f>
        <v>1</v>
      </c>
      <c r="X251" s="91" t="e">
        <f t="shared" si="13"/>
        <v>#REF!</v>
      </c>
      <c r="Y251" s="57"/>
      <c r="Z251" s="57"/>
    </row>
    <row r="252" spans="1:26" s="55" customFormat="1" ht="30" customHeight="1" x14ac:dyDescent="0.2">
      <c r="A252" s="27">
        <v>506</v>
      </c>
      <c r="B252" s="28" t="str">
        <f t="shared" si="11"/>
        <v>2.4.07f</v>
      </c>
      <c r="C252" s="29">
        <f t="shared" si="12"/>
        <v>6</v>
      </c>
      <c r="D252" s="3"/>
      <c r="E252" s="121"/>
      <c r="F252" s="36"/>
      <c r="G252" s="74" t="e">
        <f>VLOOKUP(E252,'[1]Assessment - Detect'!E:AB,24,FALSE)</f>
        <v>#N/A</v>
      </c>
      <c r="H252" s="74" t="e">
        <f>VLOOKUP(E252,'[1]Assessment - Detect'!E:I,5,FALSE)</f>
        <v>#N/A</v>
      </c>
      <c r="I252" s="121" t="e">
        <f>IF(VLOOKUP(E252,'[1]Assessment - Detect'!$E:$J,6,FALSE)=0,"",VLOOKUP(E252,'[1]Assessment - Detect'!$E:$J,6,FALSE))</f>
        <v>#N/A</v>
      </c>
      <c r="J252" s="29"/>
      <c r="K252" s="29"/>
      <c r="L252" s="29"/>
      <c r="M252" s="29"/>
      <c r="N252" s="29"/>
      <c r="O252" s="29"/>
      <c r="P252" s="29"/>
      <c r="Q252" s="29"/>
      <c r="R252" s="29"/>
      <c r="S252" s="29"/>
      <c r="T252" s="57"/>
      <c r="U252" s="91" t="e">
        <f>IF(AND(C252&gt;4,VLOOKUP(B252,'[1]Assessment - Detect'!E:AA,23,FALSE)&lt;&gt;7),LEFT(B252,3),"")</f>
        <v>#N/A</v>
      </c>
      <c r="V252" s="91" t="e">
        <f>VLOOKUP(B252,#REF!,5,FALSE)</f>
        <v>#REF!</v>
      </c>
      <c r="W252" s="91">
        <f>IF(VLOOKUP(B252,'[1]Assessment - Detect'!B:AA,26,FALSE)=7,0,1)</f>
        <v>1</v>
      </c>
      <c r="X252" s="91" t="e">
        <f t="shared" si="13"/>
        <v>#REF!</v>
      </c>
      <c r="Y252" s="57"/>
      <c r="Z252" s="57"/>
    </row>
    <row r="253" spans="1:26" s="55" customFormat="1" ht="19" x14ac:dyDescent="0.2">
      <c r="A253" s="27">
        <v>507</v>
      </c>
      <c r="B253" s="28" t="str">
        <f t="shared" si="11"/>
        <v>2.4.07g</v>
      </c>
      <c r="C253" s="29">
        <f t="shared" si="12"/>
        <v>6</v>
      </c>
      <c r="D253" s="3"/>
      <c r="E253" s="121"/>
      <c r="F253" s="36"/>
      <c r="G253" s="74" t="e">
        <f>VLOOKUP(E253,'[1]Assessment - Detect'!E:AB,24,FALSE)</f>
        <v>#N/A</v>
      </c>
      <c r="H253" s="74" t="e">
        <f>VLOOKUP(E253,'[1]Assessment - Detect'!E:I,5,FALSE)</f>
        <v>#N/A</v>
      </c>
      <c r="I253" s="121" t="e">
        <f>IF(VLOOKUP(E253,'[1]Assessment - Detect'!$E:$J,6,FALSE)=0,"",VLOOKUP(E253,'[1]Assessment - Detect'!$E:$J,6,FALSE))</f>
        <v>#N/A</v>
      </c>
      <c r="J253" s="29"/>
      <c r="K253" s="29"/>
      <c r="L253" s="29"/>
      <c r="M253" s="29"/>
      <c r="N253" s="29"/>
      <c r="O253" s="29"/>
      <c r="P253" s="29"/>
      <c r="Q253" s="29"/>
      <c r="R253" s="29"/>
      <c r="S253" s="29"/>
      <c r="T253" s="57"/>
      <c r="U253" s="91" t="e">
        <f>IF(AND(C253&gt;4,VLOOKUP(B253,'[1]Assessment - Detect'!E:AA,23,FALSE)&lt;&gt;7),LEFT(B253,3),"")</f>
        <v>#N/A</v>
      </c>
      <c r="V253" s="91" t="e">
        <f>VLOOKUP(B253,#REF!,5,FALSE)</f>
        <v>#REF!</v>
      </c>
      <c r="W253" s="91">
        <f>IF(VLOOKUP(B253,'[1]Assessment - Detect'!B:AA,26,FALSE)=7,0,1)</f>
        <v>1</v>
      </c>
      <c r="X253" s="91" t="e">
        <f t="shared" si="13"/>
        <v>#REF!</v>
      </c>
      <c r="Y253" s="57"/>
      <c r="Z253" s="57"/>
    </row>
    <row r="254" spans="1:26" s="55" customFormat="1" ht="30" customHeight="1" x14ac:dyDescent="0.2">
      <c r="A254" s="27">
        <v>508</v>
      </c>
      <c r="B254" s="28" t="str">
        <f t="shared" si="11"/>
        <v>2.4.08</v>
      </c>
      <c r="C254" s="29">
        <f t="shared" si="12"/>
        <v>4</v>
      </c>
      <c r="D254" s="3"/>
      <c r="E254" s="121"/>
      <c r="F254" s="31"/>
      <c r="G254" s="74"/>
      <c r="H254" s="74"/>
      <c r="I254" s="121"/>
      <c r="J254" s="29"/>
      <c r="K254" s="29"/>
      <c r="L254" s="29"/>
      <c r="M254" s="29"/>
      <c r="N254" s="29"/>
      <c r="O254" s="29"/>
      <c r="P254" s="29"/>
      <c r="Q254" s="29"/>
      <c r="R254" s="29"/>
      <c r="S254" s="29"/>
      <c r="T254" s="57"/>
      <c r="U254" s="91" t="e">
        <f>IF(AND(C254&gt;4,VLOOKUP(B254,'[1]Assessment - Detect'!E:AA,23,FALSE)&lt;&gt;7),LEFT(B254,3),"")</f>
        <v>#N/A</v>
      </c>
      <c r="V254" s="91" t="e">
        <f>VLOOKUP(B254,#REF!,5,FALSE)</f>
        <v>#REF!</v>
      </c>
      <c r="W254" s="91">
        <f>IF(VLOOKUP(B254,'[1]Assessment - Detect'!B:AA,26,FALSE)=7,0,1)</f>
        <v>1</v>
      </c>
      <c r="X254" s="91" t="e">
        <f t="shared" si="13"/>
        <v>#REF!</v>
      </c>
      <c r="Y254" s="57"/>
      <c r="Z254" s="57"/>
    </row>
    <row r="255" spans="1:26" s="55" customFormat="1" ht="30" customHeight="1" x14ac:dyDescent="0.2">
      <c r="A255" s="27">
        <v>509</v>
      </c>
      <c r="B255" s="28" t="str">
        <f t="shared" si="11"/>
        <v>2.4.08a</v>
      </c>
      <c r="C255" s="29">
        <f t="shared" si="12"/>
        <v>6</v>
      </c>
      <c r="D255" s="3"/>
      <c r="E255" s="121"/>
      <c r="F255" s="36"/>
      <c r="G255" s="74" t="e">
        <f>VLOOKUP(E255,'[1]Assessment - Detect'!E:AB,24,FALSE)</f>
        <v>#N/A</v>
      </c>
      <c r="H255" s="74" t="e">
        <f>VLOOKUP(E255,'[1]Assessment - Detect'!E:I,5,FALSE)</f>
        <v>#N/A</v>
      </c>
      <c r="I255" s="121" t="e">
        <f>IF(VLOOKUP(E255,'[1]Assessment - Detect'!$E:$J,6,FALSE)=0,"",VLOOKUP(E255,'[1]Assessment - Detect'!$E:$J,6,FALSE))</f>
        <v>#N/A</v>
      </c>
      <c r="J255" s="29"/>
      <c r="K255" s="29"/>
      <c r="L255" s="29"/>
      <c r="M255" s="29"/>
      <c r="N255" s="29"/>
      <c r="O255" s="29"/>
      <c r="P255" s="29"/>
      <c r="Q255" s="29"/>
      <c r="R255" s="29"/>
      <c r="S255" s="29"/>
      <c r="T255" s="57"/>
      <c r="U255" s="91" t="e">
        <f>IF(AND(C255&gt;4,VLOOKUP(B255,'[1]Assessment - Detect'!E:AA,23,FALSE)&lt;&gt;7),LEFT(B255,3),"")</f>
        <v>#N/A</v>
      </c>
      <c r="V255" s="91" t="e">
        <f>VLOOKUP(B255,#REF!,5,FALSE)</f>
        <v>#REF!</v>
      </c>
      <c r="W255" s="91">
        <f>IF(VLOOKUP(B255,'[1]Assessment - Detect'!B:AA,26,FALSE)=7,0,1)</f>
        <v>1</v>
      </c>
      <c r="X255" s="91" t="e">
        <f t="shared" si="13"/>
        <v>#REF!</v>
      </c>
      <c r="Y255" s="57"/>
      <c r="Z255" s="57"/>
    </row>
    <row r="256" spans="1:26" s="55" customFormat="1" ht="30" customHeight="1" x14ac:dyDescent="0.2">
      <c r="A256" s="27">
        <v>510</v>
      </c>
      <c r="B256" s="28" t="str">
        <f t="shared" si="11"/>
        <v>2.4.08b</v>
      </c>
      <c r="C256" s="29">
        <f t="shared" si="12"/>
        <v>6</v>
      </c>
      <c r="D256" s="3"/>
      <c r="E256" s="121"/>
      <c r="F256" s="36"/>
      <c r="G256" s="74" t="e">
        <f>VLOOKUP(E256,'[1]Assessment - Detect'!E:AB,24,FALSE)</f>
        <v>#N/A</v>
      </c>
      <c r="H256" s="74" t="e">
        <f>VLOOKUP(E256,'[1]Assessment - Detect'!E:I,5,FALSE)</f>
        <v>#N/A</v>
      </c>
      <c r="I256" s="121" t="e">
        <f>IF(VLOOKUP(E256,'[1]Assessment - Detect'!$E:$J,6,FALSE)=0,"",VLOOKUP(E256,'[1]Assessment - Detect'!$E:$J,6,FALSE))</f>
        <v>#N/A</v>
      </c>
      <c r="J256" s="29"/>
      <c r="K256" s="29"/>
      <c r="L256" s="29"/>
      <c r="M256" s="29"/>
      <c r="N256" s="29"/>
      <c r="O256" s="29"/>
      <c r="P256" s="29"/>
      <c r="Q256" s="29"/>
      <c r="R256" s="29"/>
      <c r="S256" s="29"/>
      <c r="T256" s="57"/>
      <c r="U256" s="91" t="e">
        <f>IF(AND(C256&gt;4,VLOOKUP(B256,'[1]Assessment - Detect'!E:AA,23,FALSE)&lt;&gt;7),LEFT(B256,3),"")</f>
        <v>#N/A</v>
      </c>
      <c r="V256" s="91" t="e">
        <f>VLOOKUP(B256,#REF!,5,FALSE)</f>
        <v>#REF!</v>
      </c>
      <c r="W256" s="91">
        <f>IF(VLOOKUP(B256,'[1]Assessment - Detect'!B:AA,26,FALSE)=7,0,1)</f>
        <v>1</v>
      </c>
      <c r="X256" s="91" t="e">
        <f t="shared" si="13"/>
        <v>#REF!</v>
      </c>
      <c r="Y256" s="57"/>
      <c r="Z256" s="57"/>
    </row>
    <row r="257" spans="1:26" s="55" customFormat="1" ht="19" x14ac:dyDescent="0.2">
      <c r="A257" s="27">
        <v>511</v>
      </c>
      <c r="B257" s="28" t="str">
        <f t="shared" si="11"/>
        <v>2.4.08c</v>
      </c>
      <c r="C257" s="29">
        <f t="shared" si="12"/>
        <v>6</v>
      </c>
      <c r="D257" s="3"/>
      <c r="E257" s="121"/>
      <c r="F257" s="36"/>
      <c r="G257" s="74" t="e">
        <f>VLOOKUP(E257,'[1]Assessment - Detect'!E:AB,24,FALSE)</f>
        <v>#N/A</v>
      </c>
      <c r="H257" s="74" t="e">
        <f>VLOOKUP(E257,'[1]Assessment - Detect'!E:I,5,FALSE)</f>
        <v>#N/A</v>
      </c>
      <c r="I257" s="121" t="e">
        <f>IF(VLOOKUP(E257,'[1]Assessment - Detect'!$E:$J,6,FALSE)=0,"",VLOOKUP(E257,'[1]Assessment - Detect'!$E:$J,6,FALSE))</f>
        <v>#N/A</v>
      </c>
      <c r="J257" s="29"/>
      <c r="K257" s="29"/>
      <c r="L257" s="29"/>
      <c r="M257" s="29"/>
      <c r="N257" s="29"/>
      <c r="O257" s="29"/>
      <c r="P257" s="29"/>
      <c r="Q257" s="29"/>
      <c r="R257" s="29"/>
      <c r="S257" s="29"/>
      <c r="T257" s="57"/>
      <c r="U257" s="91" t="e">
        <f>IF(AND(C257&gt;4,VLOOKUP(B257,'[1]Assessment - Detect'!E:AA,23,FALSE)&lt;&gt;7),LEFT(B257,3),"")</f>
        <v>#N/A</v>
      </c>
      <c r="V257" s="91" t="e">
        <f>VLOOKUP(B257,#REF!,5,FALSE)</f>
        <v>#REF!</v>
      </c>
      <c r="W257" s="91">
        <f>IF(VLOOKUP(B257,'[1]Assessment - Detect'!B:AA,26,FALSE)=7,0,1)</f>
        <v>1</v>
      </c>
      <c r="X257" s="91" t="e">
        <f t="shared" si="13"/>
        <v>#REF!</v>
      </c>
      <c r="Y257" s="57"/>
      <c r="Z257" s="57"/>
    </row>
    <row r="258" spans="1:26" s="55" customFormat="1" ht="18.75" customHeight="1" x14ac:dyDescent="0.2">
      <c r="A258" s="27">
        <v>512</v>
      </c>
      <c r="B258" s="28" t="str">
        <f t="shared" si="11"/>
        <v/>
      </c>
      <c r="C258" s="29">
        <f t="shared" si="12"/>
        <v>3</v>
      </c>
      <c r="D258" s="3"/>
      <c r="E258" s="120"/>
      <c r="F258" s="35"/>
      <c r="G258" s="119"/>
      <c r="H258" s="119"/>
      <c r="I258" s="31"/>
      <c r="J258" s="29"/>
      <c r="K258" s="29"/>
      <c r="L258" s="29"/>
      <c r="M258" s="29"/>
      <c r="N258" s="29"/>
      <c r="O258" s="29"/>
      <c r="P258" s="29"/>
      <c r="Q258" s="29"/>
      <c r="R258" s="29"/>
      <c r="S258" s="29"/>
      <c r="T258" s="57"/>
      <c r="U258" s="91" t="e">
        <f>IF(AND(C258&gt;4,VLOOKUP(B258,'[1]Assessment - Detect'!E:AA,23,FALSE)&lt;&gt;7),LEFT(B258,3),"")</f>
        <v>#N/A</v>
      </c>
      <c r="V258" s="91" t="e">
        <f>VLOOKUP(B258,#REF!,5,FALSE)</f>
        <v>#REF!</v>
      </c>
      <c r="W258" s="91">
        <f>IF(VLOOKUP(B258,'[1]Assessment - Detect'!B:AA,26,FALSE)=7,0,1)</f>
        <v>1</v>
      </c>
      <c r="X258" s="91" t="e">
        <f t="shared" si="13"/>
        <v>#REF!</v>
      </c>
      <c r="Y258" s="57"/>
      <c r="Z258" s="57"/>
    </row>
    <row r="259" spans="1:26" s="55" customFormat="1" ht="30" customHeight="1" x14ac:dyDescent="0.2">
      <c r="A259" s="27">
        <v>513</v>
      </c>
      <c r="B259" s="28" t="str">
        <f t="shared" si="11"/>
        <v>2.4.09</v>
      </c>
      <c r="C259" s="29">
        <f t="shared" si="12"/>
        <v>4</v>
      </c>
      <c r="D259" s="3"/>
      <c r="E259" s="121"/>
      <c r="F259" s="31"/>
      <c r="G259" s="74"/>
      <c r="H259" s="74"/>
      <c r="I259" s="121"/>
      <c r="J259" s="29"/>
      <c r="K259" s="29"/>
      <c r="L259" s="29"/>
      <c r="M259" s="29"/>
      <c r="N259" s="29"/>
      <c r="O259" s="29"/>
      <c r="P259" s="29"/>
      <c r="Q259" s="29"/>
      <c r="R259" s="29"/>
      <c r="S259" s="29"/>
      <c r="T259" s="57"/>
      <c r="U259" s="91" t="e">
        <f>IF(AND(C259&gt;4,VLOOKUP(B259,'[1]Assessment - Detect'!E:AA,23,FALSE)&lt;&gt;7),LEFT(B259,3),"")</f>
        <v>#N/A</v>
      </c>
      <c r="V259" s="91" t="e">
        <f>VLOOKUP(B259,#REF!,5,FALSE)</f>
        <v>#REF!</v>
      </c>
      <c r="W259" s="91">
        <f>IF(VLOOKUP(B259,'[1]Assessment - Detect'!B:AA,26,FALSE)=7,0,1)</f>
        <v>1</v>
      </c>
      <c r="X259" s="91" t="e">
        <f t="shared" si="13"/>
        <v>#REF!</v>
      </c>
      <c r="Y259" s="57"/>
      <c r="Z259" s="57"/>
    </row>
    <row r="260" spans="1:26" s="55" customFormat="1" ht="19" x14ac:dyDescent="0.2">
      <c r="A260" s="27">
        <v>514</v>
      </c>
      <c r="B260" s="28" t="str">
        <f t="shared" si="11"/>
        <v>2.4.09a</v>
      </c>
      <c r="C260" s="29">
        <f t="shared" si="12"/>
        <v>6</v>
      </c>
      <c r="D260" s="3"/>
      <c r="E260" s="121"/>
      <c r="F260" s="36"/>
      <c r="G260" s="74" t="e">
        <f>VLOOKUP(E260,'[1]Assessment - Detect'!E:AB,24,FALSE)</f>
        <v>#N/A</v>
      </c>
      <c r="H260" s="74" t="e">
        <f>VLOOKUP(E260,'[1]Assessment - Detect'!E:I,5,FALSE)</f>
        <v>#N/A</v>
      </c>
      <c r="I260" s="121" t="e">
        <f>IF(VLOOKUP(E260,'[1]Assessment - Detect'!$E:$J,6,FALSE)=0,"",VLOOKUP(E260,'[1]Assessment - Detect'!$E:$J,6,FALSE))</f>
        <v>#N/A</v>
      </c>
      <c r="J260" s="29"/>
      <c r="K260" s="29"/>
      <c r="L260" s="29"/>
      <c r="M260" s="29"/>
      <c r="N260" s="29"/>
      <c r="O260" s="29"/>
      <c r="P260" s="29"/>
      <c r="Q260" s="29"/>
      <c r="R260" s="29"/>
      <c r="S260" s="29"/>
      <c r="T260" s="57"/>
      <c r="U260" s="91" t="e">
        <f>IF(AND(C260&gt;4,VLOOKUP(B260,'[1]Assessment - Detect'!E:AA,23,FALSE)&lt;&gt;7),LEFT(B260,3),"")</f>
        <v>#N/A</v>
      </c>
      <c r="V260" s="91" t="e">
        <f>VLOOKUP(B260,#REF!,5,FALSE)</f>
        <v>#REF!</v>
      </c>
      <c r="W260" s="91">
        <f>IF(VLOOKUP(B260,'[1]Assessment - Detect'!B:AA,26,FALSE)=7,0,1)</f>
        <v>1</v>
      </c>
      <c r="X260" s="91" t="e">
        <f t="shared" si="13"/>
        <v>#REF!</v>
      </c>
      <c r="Y260" s="57"/>
      <c r="Z260" s="57"/>
    </row>
    <row r="261" spans="1:26" s="55" customFormat="1" ht="30" customHeight="1" x14ac:dyDescent="0.2">
      <c r="A261" s="27">
        <v>515</v>
      </c>
      <c r="B261" s="28" t="str">
        <f t="shared" si="11"/>
        <v>2.4.09b</v>
      </c>
      <c r="C261" s="29">
        <f t="shared" si="12"/>
        <v>6</v>
      </c>
      <c r="D261" s="3"/>
      <c r="E261" s="121"/>
      <c r="F261" s="36"/>
      <c r="G261" s="74" t="e">
        <f>VLOOKUP(E261,'[1]Assessment - Detect'!E:AB,24,FALSE)</f>
        <v>#N/A</v>
      </c>
      <c r="H261" s="74" t="e">
        <f>VLOOKUP(E261,'[1]Assessment - Detect'!E:I,5,FALSE)</f>
        <v>#N/A</v>
      </c>
      <c r="I261" s="121" t="e">
        <f>IF(VLOOKUP(E261,'[1]Assessment - Detect'!$E:$J,6,FALSE)=0,"",VLOOKUP(E261,'[1]Assessment - Detect'!$E:$J,6,FALSE))</f>
        <v>#N/A</v>
      </c>
      <c r="J261" s="29"/>
      <c r="K261" s="29"/>
      <c r="L261" s="29"/>
      <c r="M261" s="29"/>
      <c r="N261" s="29"/>
      <c r="O261" s="29"/>
      <c r="P261" s="29"/>
      <c r="Q261" s="29"/>
      <c r="R261" s="29"/>
      <c r="S261" s="29"/>
      <c r="T261" s="57"/>
      <c r="U261" s="91" t="e">
        <f>IF(AND(C261&gt;4,VLOOKUP(B261,'[1]Assessment - Detect'!E:AA,23,FALSE)&lt;&gt;7),LEFT(B261,3),"")</f>
        <v>#N/A</v>
      </c>
      <c r="V261" s="91" t="e">
        <f>VLOOKUP(B261,#REF!,5,FALSE)</f>
        <v>#REF!</v>
      </c>
      <c r="W261" s="91">
        <f>IF(VLOOKUP(B261,'[1]Assessment - Detect'!B:AA,26,FALSE)=7,0,1)</f>
        <v>1</v>
      </c>
      <c r="X261" s="91" t="e">
        <f t="shared" si="13"/>
        <v>#REF!</v>
      </c>
      <c r="Y261" s="57"/>
      <c r="Z261" s="57"/>
    </row>
    <row r="262" spans="1:26" s="55" customFormat="1" ht="30" customHeight="1" x14ac:dyDescent="0.2">
      <c r="A262" s="27">
        <v>516</v>
      </c>
      <c r="B262" s="28" t="str">
        <f t="shared" si="11"/>
        <v>2.4.10</v>
      </c>
      <c r="C262" s="29">
        <f t="shared" si="12"/>
        <v>4</v>
      </c>
      <c r="D262" s="3"/>
      <c r="E262" s="121"/>
      <c r="F262" s="31"/>
      <c r="G262" s="74"/>
      <c r="H262" s="74"/>
      <c r="I262" s="121"/>
      <c r="J262" s="29"/>
      <c r="K262" s="29"/>
      <c r="L262" s="29"/>
      <c r="M262" s="29"/>
      <c r="N262" s="29"/>
      <c r="O262" s="29"/>
      <c r="P262" s="29"/>
      <c r="Q262" s="29"/>
      <c r="R262" s="29"/>
      <c r="S262" s="29"/>
      <c r="T262" s="57"/>
      <c r="U262" s="91" t="e">
        <f>IF(AND(C262&gt;4,VLOOKUP(B262,'[1]Assessment - Detect'!E:AA,23,FALSE)&lt;&gt;7),LEFT(B262,3),"")</f>
        <v>#N/A</v>
      </c>
      <c r="V262" s="91" t="e">
        <f>VLOOKUP(B262,#REF!,5,FALSE)</f>
        <v>#REF!</v>
      </c>
      <c r="W262" s="91">
        <f>IF(VLOOKUP(B262,'[1]Assessment - Detect'!B:AA,26,FALSE)=7,0,1)</f>
        <v>1</v>
      </c>
      <c r="X262" s="91" t="e">
        <f t="shared" si="13"/>
        <v>#REF!</v>
      </c>
      <c r="Y262" s="57"/>
      <c r="Z262" s="57"/>
    </row>
    <row r="263" spans="1:26" s="55" customFormat="1" ht="19" x14ac:dyDescent="0.2">
      <c r="A263" s="27">
        <v>517</v>
      </c>
      <c r="B263" s="28" t="str">
        <f t="shared" si="11"/>
        <v>2.4.10a</v>
      </c>
      <c r="C263" s="29">
        <f t="shared" si="12"/>
        <v>6</v>
      </c>
      <c r="D263" s="3"/>
      <c r="E263" s="121"/>
      <c r="F263" s="36"/>
      <c r="G263" s="74" t="e">
        <f>VLOOKUP(E263,'[1]Assessment - Detect'!E:AB,24,FALSE)</f>
        <v>#N/A</v>
      </c>
      <c r="H263" s="74" t="e">
        <f>VLOOKUP(E263,'[1]Assessment - Detect'!E:I,5,FALSE)</f>
        <v>#N/A</v>
      </c>
      <c r="I263" s="121" t="e">
        <f>IF(VLOOKUP(E263,'[1]Assessment - Detect'!$E:$J,6,FALSE)=0,"",VLOOKUP(E263,'[1]Assessment - Detect'!$E:$J,6,FALSE))</f>
        <v>#N/A</v>
      </c>
      <c r="J263" s="29"/>
      <c r="K263" s="29"/>
      <c r="L263" s="29"/>
      <c r="M263" s="29"/>
      <c r="N263" s="29"/>
      <c r="O263" s="29"/>
      <c r="P263" s="29"/>
      <c r="Q263" s="29"/>
      <c r="R263" s="29"/>
      <c r="S263" s="29"/>
      <c r="T263" s="57"/>
      <c r="U263" s="91" t="e">
        <f>IF(AND(C263&gt;4,VLOOKUP(B263,'[1]Assessment - Detect'!E:AA,23,FALSE)&lt;&gt;7),LEFT(B263,3),"")</f>
        <v>#N/A</v>
      </c>
      <c r="V263" s="91" t="e">
        <f>VLOOKUP(B263,#REF!,5,FALSE)</f>
        <v>#REF!</v>
      </c>
      <c r="W263" s="91">
        <f>IF(VLOOKUP(B263,'[1]Assessment - Detect'!B:AA,26,FALSE)=7,0,1)</f>
        <v>1</v>
      </c>
      <c r="X263" s="91" t="e">
        <f t="shared" si="13"/>
        <v>#REF!</v>
      </c>
      <c r="Y263" s="57"/>
      <c r="Z263" s="57"/>
    </row>
    <row r="264" spans="1:26" s="55" customFormat="1" ht="30" customHeight="1" x14ac:dyDescent="0.2">
      <c r="A264" s="27">
        <v>518</v>
      </c>
      <c r="B264" s="28" t="str">
        <f t="shared" ref="B264:B267" si="14">VLOOKUP(A264,contentref,2,FALSE)</f>
        <v>2.4.10b</v>
      </c>
      <c r="C264" s="29">
        <f t="shared" si="12"/>
        <v>6</v>
      </c>
      <c r="D264" s="3"/>
      <c r="E264" s="121"/>
      <c r="F264" s="36"/>
      <c r="G264" s="74" t="e">
        <f>VLOOKUP(E264,'[1]Assessment - Detect'!E:AB,24,FALSE)</f>
        <v>#N/A</v>
      </c>
      <c r="H264" s="74" t="e">
        <f>VLOOKUP(E264,'[1]Assessment - Detect'!E:I,5,FALSE)</f>
        <v>#N/A</v>
      </c>
      <c r="I264" s="121" t="e">
        <f>IF(VLOOKUP(E264,'[1]Assessment - Detect'!$E:$J,6,FALSE)=0,"",VLOOKUP(E264,'[1]Assessment - Detect'!$E:$J,6,FALSE))</f>
        <v>#N/A</v>
      </c>
      <c r="J264" s="29"/>
      <c r="K264" s="29"/>
      <c r="L264" s="29"/>
      <c r="M264" s="29"/>
      <c r="N264" s="29"/>
      <c r="O264" s="29"/>
      <c r="P264" s="29"/>
      <c r="Q264" s="29"/>
      <c r="R264" s="29"/>
      <c r="S264" s="29"/>
      <c r="T264" s="57"/>
      <c r="U264" s="91" t="e">
        <f>IF(AND(C264&gt;4,VLOOKUP(B264,'[1]Assessment - Detect'!E:AA,23,FALSE)&lt;&gt;7),LEFT(B264,3),"")</f>
        <v>#N/A</v>
      </c>
      <c r="V264" s="91" t="e">
        <f>VLOOKUP(B264,#REF!,5,FALSE)</f>
        <v>#REF!</v>
      </c>
      <c r="W264" s="91">
        <f>IF(VLOOKUP(B264,'[1]Assessment - Detect'!B:AA,26,FALSE)=7,0,1)</f>
        <v>1</v>
      </c>
      <c r="X264" s="91" t="e">
        <f t="shared" ref="X264:X267" si="15">W264*V264*3</f>
        <v>#REF!</v>
      </c>
      <c r="Y264" s="57"/>
      <c r="Z264" s="57"/>
    </row>
    <row r="265" spans="1:26" s="55" customFormat="1" ht="19" x14ac:dyDescent="0.2">
      <c r="A265" s="27">
        <v>519</v>
      </c>
      <c r="B265" s="28" t="str">
        <f t="shared" si="14"/>
        <v>2.4.11</v>
      </c>
      <c r="C265" s="29">
        <f t="shared" si="12"/>
        <v>4</v>
      </c>
      <c r="D265" s="3"/>
      <c r="E265" s="121"/>
      <c r="F265" s="31"/>
      <c r="G265" s="74"/>
      <c r="H265" s="74"/>
      <c r="I265" s="121"/>
      <c r="J265" s="29"/>
      <c r="K265" s="29"/>
      <c r="L265" s="29"/>
      <c r="M265" s="29"/>
      <c r="N265" s="29"/>
      <c r="O265" s="29"/>
      <c r="P265" s="29"/>
      <c r="Q265" s="29"/>
      <c r="R265" s="29"/>
      <c r="S265" s="29"/>
      <c r="T265" s="57"/>
      <c r="U265" s="91" t="e">
        <f>IF(AND(C265&gt;4,VLOOKUP(B265,'[1]Assessment - Detect'!E:AA,23,FALSE)&lt;&gt;7),LEFT(B265,3),"")</f>
        <v>#N/A</v>
      </c>
      <c r="V265" s="91" t="e">
        <f>VLOOKUP(B265,#REF!,5,FALSE)</f>
        <v>#REF!</v>
      </c>
      <c r="W265" s="91">
        <f>IF(VLOOKUP(B265,'[1]Assessment - Detect'!B:AA,26,FALSE)=7,0,1)</f>
        <v>1</v>
      </c>
      <c r="X265" s="91" t="e">
        <f t="shared" si="15"/>
        <v>#REF!</v>
      </c>
      <c r="Y265" s="57"/>
      <c r="Z265" s="57"/>
    </row>
    <row r="266" spans="1:26" s="55" customFormat="1" ht="30" customHeight="1" x14ac:dyDescent="0.2">
      <c r="A266" s="27">
        <v>520</v>
      </c>
      <c r="B266" s="28" t="str">
        <f t="shared" si="14"/>
        <v>2.4.11a</v>
      </c>
      <c r="C266" s="29">
        <f t="shared" si="12"/>
        <v>6</v>
      </c>
      <c r="D266" s="3"/>
      <c r="E266" s="121"/>
      <c r="F266" s="36"/>
      <c r="G266" s="74" t="e">
        <f>VLOOKUP(E266,'[1]Assessment - Detect'!E:AB,24,FALSE)</f>
        <v>#N/A</v>
      </c>
      <c r="H266" s="74" t="e">
        <f>VLOOKUP(E266,'[1]Assessment - Detect'!E:I,5,FALSE)</f>
        <v>#N/A</v>
      </c>
      <c r="I266" s="121" t="e">
        <f>IF(VLOOKUP(E266,'[1]Assessment - Detect'!$E:$J,6,FALSE)=0,"",VLOOKUP(E266,'[1]Assessment - Detect'!$E:$J,6,FALSE))</f>
        <v>#N/A</v>
      </c>
      <c r="J266" s="29"/>
      <c r="K266" s="29"/>
      <c r="L266" s="29"/>
      <c r="M266" s="29"/>
      <c r="N266" s="29"/>
      <c r="O266" s="29"/>
      <c r="P266" s="29"/>
      <c r="Q266" s="29"/>
      <c r="R266" s="29"/>
      <c r="S266" s="29"/>
      <c r="T266" s="57"/>
      <c r="U266" s="91" t="e">
        <f>IF(AND(C266&gt;4,VLOOKUP(B266,'[1]Assessment - Detect'!E:AA,23,FALSE)&lt;&gt;7),LEFT(B266,3),"")</f>
        <v>#N/A</v>
      </c>
      <c r="V266" s="91" t="e">
        <f>VLOOKUP(B266,#REF!,5,FALSE)</f>
        <v>#REF!</v>
      </c>
      <c r="W266" s="91">
        <f>IF(VLOOKUP(B266,'[1]Assessment - Detect'!B:AA,26,FALSE)=7,0,1)</f>
        <v>1</v>
      </c>
      <c r="X266" s="91" t="e">
        <f t="shared" si="15"/>
        <v>#REF!</v>
      </c>
      <c r="Y266" s="57"/>
      <c r="Z266" s="57"/>
    </row>
    <row r="267" spans="1:26" s="55" customFormat="1" ht="30" customHeight="1" x14ac:dyDescent="0.2">
      <c r="A267" s="27">
        <v>521</v>
      </c>
      <c r="B267" s="28" t="str">
        <f t="shared" si="14"/>
        <v>2.4.11b</v>
      </c>
      <c r="C267" s="29">
        <f t="shared" si="12"/>
        <v>6</v>
      </c>
      <c r="D267" s="3"/>
      <c r="E267" s="121"/>
      <c r="F267" s="36"/>
      <c r="G267" s="74" t="e">
        <f>VLOOKUP(E267,'[1]Assessment - Detect'!E:AB,24,FALSE)</f>
        <v>#N/A</v>
      </c>
      <c r="H267" s="74" t="e">
        <f>VLOOKUP(E267,'[1]Assessment - Detect'!E:I,5,FALSE)</f>
        <v>#N/A</v>
      </c>
      <c r="I267" s="121" t="e">
        <f>IF(VLOOKUP(E267,'[1]Assessment - Detect'!$E:$J,6,FALSE)=0,"",VLOOKUP(E267,'[1]Assessment - Detect'!$E:$J,6,FALSE))</f>
        <v>#N/A</v>
      </c>
      <c r="J267" s="29"/>
      <c r="K267" s="29"/>
      <c r="L267" s="29"/>
      <c r="M267" s="29"/>
      <c r="N267" s="29"/>
      <c r="O267" s="29"/>
      <c r="P267" s="29"/>
      <c r="Q267" s="29"/>
      <c r="R267" s="29"/>
      <c r="S267" s="29"/>
      <c r="T267" s="57"/>
      <c r="U267" s="91" t="e">
        <f>IF(AND(C267&gt;4,VLOOKUP(B267,'[1]Assessment - Detect'!E:AA,23,FALSE)&lt;&gt;7),LEFT(B267,3),"")</f>
        <v>#N/A</v>
      </c>
      <c r="V267" s="91" t="e">
        <f>VLOOKUP(B267,#REF!,5,FALSE)</f>
        <v>#REF!</v>
      </c>
      <c r="W267" s="91">
        <f>IF(VLOOKUP(B267,'[1]Assessment - Detect'!B:AA,26,FALSE)=7,0,1)</f>
        <v>1</v>
      </c>
      <c r="X267" s="91" t="e">
        <f t="shared" si="15"/>
        <v>#REF!</v>
      </c>
      <c r="Y267" s="57"/>
      <c r="Z267" s="57"/>
    </row>
  </sheetData>
  <mergeCells count="2">
    <mergeCell ref="F2:I3"/>
    <mergeCell ref="F4:I5"/>
  </mergeCells>
  <conditionalFormatting sqref="G9:G48">
    <cfRule type="dataBar" priority="23">
      <dataBar>
        <cfvo type="num" val="0"/>
        <cfvo type="num" val="3"/>
        <color rgb="FF638EC6"/>
      </dataBar>
      <extLst>
        <ext xmlns:x14="http://schemas.microsoft.com/office/spreadsheetml/2009/9/main" uri="{B025F937-C7B1-47D3-B67F-A62EFF666E3E}">
          <x14:id>{FEFB3143-3111-4C63-AA6A-631B3AE689E5}</x14:id>
        </ext>
      </extLst>
    </cfRule>
  </conditionalFormatting>
  <conditionalFormatting sqref="H9:H48">
    <cfRule type="dataBar" priority="24">
      <dataBar>
        <cfvo type="num" val="0"/>
        <cfvo type="num" val="15"/>
        <color rgb="FF3156BD"/>
      </dataBar>
      <extLst>
        <ext xmlns:x14="http://schemas.microsoft.com/office/spreadsheetml/2009/9/main" uri="{B025F937-C7B1-47D3-B67F-A62EFF666E3E}">
          <x14:id>{AE5F947D-08E7-4D7D-86B0-830CFA00F4AB}</x14:id>
        </ext>
      </extLst>
    </cfRule>
  </conditionalFormatting>
  <conditionalFormatting sqref="G51:G71">
    <cfRule type="dataBar" priority="21">
      <dataBar>
        <cfvo type="num" val="0"/>
        <cfvo type="num" val="3"/>
        <color rgb="FF638EC6"/>
      </dataBar>
      <extLst>
        <ext xmlns:x14="http://schemas.microsoft.com/office/spreadsheetml/2009/9/main" uri="{B025F937-C7B1-47D3-B67F-A62EFF666E3E}">
          <x14:id>{8CBBBA50-E0CB-4EC9-912F-BB3FF5CDD4E1}</x14:id>
        </ext>
      </extLst>
    </cfRule>
  </conditionalFormatting>
  <conditionalFormatting sqref="H51:H71">
    <cfRule type="dataBar" priority="22">
      <dataBar>
        <cfvo type="num" val="0"/>
        <cfvo type="num" val="15"/>
        <color rgb="FF3156BD"/>
      </dataBar>
      <extLst>
        <ext xmlns:x14="http://schemas.microsoft.com/office/spreadsheetml/2009/9/main" uri="{B025F937-C7B1-47D3-B67F-A62EFF666E3E}">
          <x14:id>{780BA50C-E8C6-4145-8606-CFDA9E05D53C}</x14:id>
        </ext>
      </extLst>
    </cfRule>
  </conditionalFormatting>
  <conditionalFormatting sqref="G73:G77">
    <cfRule type="dataBar" priority="19">
      <dataBar>
        <cfvo type="num" val="0"/>
        <cfvo type="num" val="3"/>
        <color rgb="FF638EC6"/>
      </dataBar>
      <extLst>
        <ext xmlns:x14="http://schemas.microsoft.com/office/spreadsheetml/2009/9/main" uri="{B025F937-C7B1-47D3-B67F-A62EFF666E3E}">
          <x14:id>{7CB9390C-AA19-49E1-8B0A-EA8A75DED0DC}</x14:id>
        </ext>
      </extLst>
    </cfRule>
  </conditionalFormatting>
  <conditionalFormatting sqref="H73:H77">
    <cfRule type="dataBar" priority="20">
      <dataBar>
        <cfvo type="num" val="0"/>
        <cfvo type="num" val="15"/>
        <color rgb="FF3156BD"/>
      </dataBar>
      <extLst>
        <ext xmlns:x14="http://schemas.microsoft.com/office/spreadsheetml/2009/9/main" uri="{B025F937-C7B1-47D3-B67F-A62EFF666E3E}">
          <x14:id>{5A7D9456-3978-4434-BE06-9E9EC9EC4E0E}</x14:id>
        </ext>
      </extLst>
    </cfRule>
  </conditionalFormatting>
  <conditionalFormatting sqref="G79:G92">
    <cfRule type="dataBar" priority="17">
      <dataBar>
        <cfvo type="num" val="0"/>
        <cfvo type="num" val="3"/>
        <color rgb="FF638EC6"/>
      </dataBar>
      <extLst>
        <ext xmlns:x14="http://schemas.microsoft.com/office/spreadsheetml/2009/9/main" uri="{B025F937-C7B1-47D3-B67F-A62EFF666E3E}">
          <x14:id>{919E7296-5FAC-438F-98C9-2EE3F3BD5F39}</x14:id>
        </ext>
      </extLst>
    </cfRule>
  </conditionalFormatting>
  <conditionalFormatting sqref="H79:H92">
    <cfRule type="dataBar" priority="18">
      <dataBar>
        <cfvo type="num" val="0"/>
        <cfvo type="num" val="15"/>
        <color rgb="FF3156BD"/>
      </dataBar>
      <extLst>
        <ext xmlns:x14="http://schemas.microsoft.com/office/spreadsheetml/2009/9/main" uri="{B025F937-C7B1-47D3-B67F-A62EFF666E3E}">
          <x14:id>{4C0A137C-FA1C-4B03-B9F1-EBE6B040E1B6}</x14:id>
        </ext>
      </extLst>
    </cfRule>
  </conditionalFormatting>
  <conditionalFormatting sqref="G94:G110">
    <cfRule type="dataBar" priority="15">
      <dataBar>
        <cfvo type="num" val="0"/>
        <cfvo type="num" val="3"/>
        <color rgb="FF638EC6"/>
      </dataBar>
      <extLst>
        <ext xmlns:x14="http://schemas.microsoft.com/office/spreadsheetml/2009/9/main" uri="{B025F937-C7B1-47D3-B67F-A62EFF666E3E}">
          <x14:id>{31C8910A-CA3F-4831-A7D2-3478A1427DE6}</x14:id>
        </ext>
      </extLst>
    </cfRule>
  </conditionalFormatting>
  <conditionalFormatting sqref="H94:H110">
    <cfRule type="dataBar" priority="16">
      <dataBar>
        <cfvo type="num" val="0"/>
        <cfvo type="num" val="15"/>
        <color rgb="FF3156BD"/>
      </dataBar>
      <extLst>
        <ext xmlns:x14="http://schemas.microsoft.com/office/spreadsheetml/2009/9/main" uri="{B025F937-C7B1-47D3-B67F-A62EFF666E3E}">
          <x14:id>{6D2B0941-A443-4418-B8DE-0695154CDC79}</x14:id>
        </ext>
      </extLst>
    </cfRule>
  </conditionalFormatting>
  <conditionalFormatting sqref="G112:G115">
    <cfRule type="dataBar" priority="13">
      <dataBar>
        <cfvo type="num" val="0"/>
        <cfvo type="num" val="3"/>
        <color rgb="FF638EC6"/>
      </dataBar>
      <extLst>
        <ext xmlns:x14="http://schemas.microsoft.com/office/spreadsheetml/2009/9/main" uri="{B025F937-C7B1-47D3-B67F-A62EFF666E3E}">
          <x14:id>{5AD11527-3829-4C27-8887-B1ADDF649888}</x14:id>
        </ext>
      </extLst>
    </cfRule>
  </conditionalFormatting>
  <conditionalFormatting sqref="H112:H115">
    <cfRule type="dataBar" priority="14">
      <dataBar>
        <cfvo type="num" val="0"/>
        <cfvo type="num" val="15"/>
        <color rgb="FF3156BD"/>
      </dataBar>
      <extLst>
        <ext xmlns:x14="http://schemas.microsoft.com/office/spreadsheetml/2009/9/main" uri="{B025F937-C7B1-47D3-B67F-A62EFF666E3E}">
          <x14:id>{0AD7E4CC-DF1F-4A0B-9C43-8E51783F0CAF}</x14:id>
        </ext>
      </extLst>
    </cfRule>
  </conditionalFormatting>
  <conditionalFormatting sqref="G118:G159">
    <cfRule type="dataBar" priority="11">
      <dataBar>
        <cfvo type="num" val="0"/>
        <cfvo type="num" val="3"/>
        <color rgb="FF638EC6"/>
      </dataBar>
      <extLst>
        <ext xmlns:x14="http://schemas.microsoft.com/office/spreadsheetml/2009/9/main" uri="{B025F937-C7B1-47D3-B67F-A62EFF666E3E}">
          <x14:id>{EB263B0A-E32E-4A79-984E-5FDC64803396}</x14:id>
        </ext>
      </extLst>
    </cfRule>
  </conditionalFormatting>
  <conditionalFormatting sqref="H118:H159">
    <cfRule type="dataBar" priority="12">
      <dataBar>
        <cfvo type="num" val="0"/>
        <cfvo type="num" val="15"/>
        <color rgb="FF3156BD"/>
      </dataBar>
      <extLst>
        <ext xmlns:x14="http://schemas.microsoft.com/office/spreadsheetml/2009/9/main" uri="{B025F937-C7B1-47D3-B67F-A62EFF666E3E}">
          <x14:id>{764733D2-773B-4D43-9776-75F05D793229}</x14:id>
        </ext>
      </extLst>
    </cfRule>
  </conditionalFormatting>
  <conditionalFormatting sqref="G161:G181">
    <cfRule type="dataBar" priority="9">
      <dataBar>
        <cfvo type="num" val="0"/>
        <cfvo type="num" val="3"/>
        <color rgb="FF638EC6"/>
      </dataBar>
      <extLst>
        <ext xmlns:x14="http://schemas.microsoft.com/office/spreadsheetml/2009/9/main" uri="{B025F937-C7B1-47D3-B67F-A62EFF666E3E}">
          <x14:id>{71F42E25-24A6-49DF-BA4F-2C3B649A4C6E}</x14:id>
        </ext>
      </extLst>
    </cfRule>
  </conditionalFormatting>
  <conditionalFormatting sqref="H161:H181">
    <cfRule type="dataBar" priority="10">
      <dataBar>
        <cfvo type="num" val="0"/>
        <cfvo type="num" val="15"/>
        <color rgb="FF3156BD"/>
      </dataBar>
      <extLst>
        <ext xmlns:x14="http://schemas.microsoft.com/office/spreadsheetml/2009/9/main" uri="{B025F937-C7B1-47D3-B67F-A62EFF666E3E}">
          <x14:id>{9B3A731D-1D31-433C-8212-B4871FB2B68B}</x14:id>
        </ext>
      </extLst>
    </cfRule>
  </conditionalFormatting>
  <conditionalFormatting sqref="G183:G214">
    <cfRule type="dataBar" priority="7">
      <dataBar>
        <cfvo type="num" val="0"/>
        <cfvo type="num" val="3"/>
        <color rgb="FF638EC6"/>
      </dataBar>
      <extLst>
        <ext xmlns:x14="http://schemas.microsoft.com/office/spreadsheetml/2009/9/main" uri="{B025F937-C7B1-47D3-B67F-A62EFF666E3E}">
          <x14:id>{6CDDF21B-7181-412A-B00B-8FBC2A01466D}</x14:id>
        </ext>
      </extLst>
    </cfRule>
  </conditionalFormatting>
  <conditionalFormatting sqref="H183:H214">
    <cfRule type="dataBar" priority="8">
      <dataBar>
        <cfvo type="num" val="0"/>
        <cfvo type="num" val="15"/>
        <color rgb="FF3156BD"/>
      </dataBar>
      <extLst>
        <ext xmlns:x14="http://schemas.microsoft.com/office/spreadsheetml/2009/9/main" uri="{B025F937-C7B1-47D3-B67F-A62EFF666E3E}">
          <x14:id>{673C0FED-6E72-48FC-994F-204A7EF3D0E5}</x14:id>
        </ext>
      </extLst>
    </cfRule>
  </conditionalFormatting>
  <conditionalFormatting sqref="G217:G233">
    <cfRule type="dataBar" priority="5">
      <dataBar>
        <cfvo type="num" val="0"/>
        <cfvo type="num" val="3"/>
        <color rgb="FF638EC6"/>
      </dataBar>
      <extLst>
        <ext xmlns:x14="http://schemas.microsoft.com/office/spreadsheetml/2009/9/main" uri="{B025F937-C7B1-47D3-B67F-A62EFF666E3E}">
          <x14:id>{5BD185CA-315E-43DE-8DE6-EA3B8C33D3A2}</x14:id>
        </ext>
      </extLst>
    </cfRule>
  </conditionalFormatting>
  <conditionalFormatting sqref="H217:H233">
    <cfRule type="dataBar" priority="6">
      <dataBar>
        <cfvo type="num" val="0"/>
        <cfvo type="num" val="15"/>
        <color rgb="FF3156BD"/>
      </dataBar>
      <extLst>
        <ext xmlns:x14="http://schemas.microsoft.com/office/spreadsheetml/2009/9/main" uri="{B025F937-C7B1-47D3-B67F-A62EFF666E3E}">
          <x14:id>{76EC0120-153C-4304-98D4-3A752F9D0E87}</x14:id>
        </ext>
      </extLst>
    </cfRule>
  </conditionalFormatting>
  <conditionalFormatting sqref="G235:G257">
    <cfRule type="dataBar" priority="3">
      <dataBar>
        <cfvo type="num" val="0"/>
        <cfvo type="num" val="3"/>
        <color rgb="FF638EC6"/>
      </dataBar>
      <extLst>
        <ext xmlns:x14="http://schemas.microsoft.com/office/spreadsheetml/2009/9/main" uri="{B025F937-C7B1-47D3-B67F-A62EFF666E3E}">
          <x14:id>{EFE62104-C461-4835-9237-B7A6939D0519}</x14:id>
        </ext>
      </extLst>
    </cfRule>
  </conditionalFormatting>
  <conditionalFormatting sqref="H235:H257">
    <cfRule type="dataBar" priority="4">
      <dataBar>
        <cfvo type="num" val="0"/>
        <cfvo type="num" val="15"/>
        <color rgb="FF3156BD"/>
      </dataBar>
      <extLst>
        <ext xmlns:x14="http://schemas.microsoft.com/office/spreadsheetml/2009/9/main" uri="{B025F937-C7B1-47D3-B67F-A62EFF666E3E}">
          <x14:id>{B5C98510-9B12-4A2F-9F52-BF4FB29AD479}</x14:id>
        </ext>
      </extLst>
    </cfRule>
  </conditionalFormatting>
  <conditionalFormatting sqref="G259:G267">
    <cfRule type="dataBar" priority="1">
      <dataBar>
        <cfvo type="num" val="0"/>
        <cfvo type="num" val="3"/>
        <color rgb="FF638EC6"/>
      </dataBar>
      <extLst>
        <ext xmlns:x14="http://schemas.microsoft.com/office/spreadsheetml/2009/9/main" uri="{B025F937-C7B1-47D3-B67F-A62EFF666E3E}">
          <x14:id>{C8F72A61-CB1D-4D9C-9C9C-E4940BBD6653}</x14:id>
        </ext>
      </extLst>
    </cfRule>
  </conditionalFormatting>
  <conditionalFormatting sqref="H259:H267">
    <cfRule type="dataBar" priority="2">
      <dataBar>
        <cfvo type="num" val="0"/>
        <cfvo type="num" val="15"/>
        <color rgb="FF3156BD"/>
      </dataBar>
      <extLst>
        <ext xmlns:x14="http://schemas.microsoft.com/office/spreadsheetml/2009/9/main" uri="{B025F937-C7B1-47D3-B67F-A62EFF666E3E}">
          <x14:id>{950B210A-3988-414F-B61C-12859BB2972A}</x14:id>
        </ext>
      </extLst>
    </cfRule>
  </conditionalFormatting>
  <dataValidations count="19">
    <dataValidation type="list" allowBlank="1" showInputMessage="1" showErrorMessage="1" sqref="G29" xr:uid="{4E826222-2689-4072-95F4-439C71B8207B}">
      <formula1>"Select , Not Implemented , Requirement Gathering  , Initial Implementation Phase , In Development Phase , In Testing Phase , Fully Impelmented "</formula1>
    </dataValidation>
    <dataValidation type="list" allowBlank="1" showInputMessage="1" showErrorMessage="1" sqref="G28" xr:uid="{011F033B-25B1-4F0D-8D28-2F38C433DFB9}">
      <formula1>"Select, Not implemented , Requirement Gathering , Initial Implementation Phase , In Development Phase, In Testing Phase , Fully Implemented "</formula1>
    </dataValidation>
    <dataValidation type="list" allowBlank="1" showInputMessage="1" showErrorMessage="1" sqref="G27" xr:uid="{F3BE4960-1D18-482A-AAE2-FEC9F0914E14}">
      <formula1>"Select , Not Implemented , Requirement Gathering , Initial Implementation Phase , In Developmnet Phase, In Testing Phase , Fully Implemented "</formula1>
    </dataValidation>
    <dataValidation type="list" allowBlank="1" showInputMessage="1" showErrorMessage="1" sqref="G26" xr:uid="{8A519B42-87DB-45EA-BF49-8BFC4E55D13E}">
      <formula1>"Select , Not Implemented , Requirement Gathering , Initial Implementation Phase , In development Phase , In Testing Phase , Fully Implemented "</formula1>
    </dataValidation>
    <dataValidation type="list" allowBlank="1" showInputMessage="1" showErrorMessage="1" sqref="G25" xr:uid="{68B31947-ACEB-443D-8169-3017D7FA5CB9}">
      <formula1>"Select , Not Implemented , Requirement Gathering , Initial Implementation Phase , In Development Phase , In Testing Phase , Fully Implemented  "</formula1>
    </dataValidation>
    <dataValidation type="list" allowBlank="1" showInputMessage="1" showErrorMessage="1" sqref="G24" xr:uid="{32D9AB07-E02E-4DD0-ACE3-2885E1EFA852}">
      <formula1>"Select ,  Not implemented Phase , Requirement Phase , Initial Implementation Phase , In Development Phase , In Testing Phase , Fully Implemented "</formula1>
    </dataValidation>
    <dataValidation type="list" allowBlank="1" showInputMessage="1" showErrorMessage="1" sqref="G22" xr:uid="{7BB3C246-4CC7-455A-84E0-72AE80ED91F6}">
      <formula1>"Select , Not Implemented , Requirement Gathering  , Initial Implementation Phase, In Development Phase , In Testing Phase , Fully Implemented "</formula1>
    </dataValidation>
    <dataValidation type="list" allowBlank="1" showInputMessage="1" showErrorMessage="1" sqref="G21" xr:uid="{6FFED331-E488-4A63-901A-B2951076A778}">
      <formula1>"Select , Not Implemented , Requirement Gathering , Initial Implementation Phase, In Development Phase , In Testing Phase , Fully Implemented "</formula1>
    </dataValidation>
    <dataValidation type="list" allowBlank="1" showInputMessage="1" showErrorMessage="1" sqref="G20" xr:uid="{9608B350-AB37-4847-A1A2-CB64B49ABCA4}">
      <formula1>"Select , Not Implemented , Requirement Gathering , Initial Implementation Phase, In Development Phase, In Testing Phase, Fully Implemented "</formula1>
    </dataValidation>
    <dataValidation type="list" allowBlank="1" showInputMessage="1" showErrorMessage="1" sqref="G19 G23" xr:uid="{6E08EBA9-AE95-42CB-B855-1A112CEBE222}">
      <formula1>"Select , Not Implemented , Requirement Gathering , Initial Implementation Phase , In Development Phase , In Testing Phase , Fully Implemented "</formula1>
    </dataValidation>
    <dataValidation type="list" allowBlank="1" showInputMessage="1" showErrorMessage="1" sqref="G18" xr:uid="{5CD62414-78C9-4096-B4DC-DF94A3EAC1F9}">
      <formula1>"Select ,Not Implemented , Requirement Gathering , Initial Implementation Phase, In Development Phase , In Testing Phase, Fully Implemented "</formula1>
    </dataValidation>
    <dataValidation type="list" allowBlank="1" showInputMessage="1" showErrorMessage="1" sqref="G17" xr:uid="{147A4C13-F9E2-4382-9AD8-B9D57142CAF8}">
      <formula1>"Select , Not Implemented , Requirement Gathering , Initial Implementation Phase , In Development Phase,In Testing Phase , Fully Implemented "</formula1>
    </dataValidation>
    <dataValidation type="list" allowBlank="1" showInputMessage="1" showErrorMessage="1" sqref="G16" xr:uid="{73A89C17-5293-4025-801C-C6563E5F089E}">
      <formula1>"Select, Not Implemented , Requirement Gathering , Initial Implemnetation Phase , In Development Phase , In Testing Phase , Fully Implemented Phase "</formula1>
    </dataValidation>
    <dataValidation type="list" allowBlank="1" showInputMessage="1" showErrorMessage="1" sqref="G15" xr:uid="{628B8C4F-1385-4AC8-9358-391071F79D95}">
      <formula1>"Select, Not Implemented , Requiremnet Gathering , Initial Implementation Phase , In Development Phase , In Testing Phase , Fully Implemented "</formula1>
    </dataValidation>
    <dataValidation type="list" allowBlank="1" showInputMessage="1" showErrorMessage="1" sqref="G14" xr:uid="{415EA327-31AE-4AC8-8C2C-79FFB20D4FF5}">
      <formula1>"Select  , Not Implemented , Requirement Gathering , Initial Implementation Phase, In Development Phase, In Testing Phase , Fully Implememted "</formula1>
    </dataValidation>
    <dataValidation type="list" allowBlank="1" showInputMessage="1" showErrorMessage="1" sqref="G12" xr:uid="{4B7E3BF2-0124-48E5-9FCB-B22F0A949D37}">
      <formula1>"select , Not Implemented , Requirement Gathering , Initial Implementation Phase, In Development Phase, In Testing Phase,Fully Implemented "</formula1>
    </dataValidation>
    <dataValidation type="list" allowBlank="1" showInputMessage="1" showErrorMessage="1" sqref="G11 G13" xr:uid="{A26725C6-754B-4F3C-B643-3D09CD0E2756}">
      <formula1>"Select, Not Implemented , Requirement Gathering , Initial Implementation Phase , In Development Phase, In Testing Phase, Fully Implemented "</formula1>
    </dataValidation>
    <dataValidation type="list" allowBlank="1" showInputMessage="1" showErrorMessage="1" sqref="G10" xr:uid="{DFD72D1C-E931-40FF-9788-65F0A8F2CA50}">
      <formula1>"Select , Not Implemented , Requirement Gathering , Initial Implementation Phase , In Development Phase , In testing Phase , Fully Implemented "</formula1>
    </dataValidation>
    <dataValidation type="list" allowBlank="1" showInputMessage="1" showErrorMessage="1" sqref="G9" xr:uid="{C4C1D67C-96C7-47E7-960B-829931462381}">
      <formula1>"Select,Not Implemented , Requirement Gathering , Initial Implementation Phase , In Development Phase , In Testing Phase , Fully Implemented "</formula1>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FEFB3143-3111-4C63-AA6A-631B3AE689E5}">
            <x14:dataBar minLength="0" maxLength="100" gradient="0">
              <x14:cfvo type="num">
                <xm:f>0</xm:f>
              </x14:cfvo>
              <x14:cfvo type="num">
                <xm:f>3</xm:f>
              </x14:cfvo>
              <x14:negativeFillColor rgb="FFFF0000"/>
              <x14:axisColor rgb="FF000000"/>
            </x14:dataBar>
          </x14:cfRule>
          <xm:sqref>G9:G48</xm:sqref>
        </x14:conditionalFormatting>
        <x14:conditionalFormatting xmlns:xm="http://schemas.microsoft.com/office/excel/2006/main">
          <x14:cfRule type="dataBar" id="{AE5F947D-08E7-4D7D-86B0-830CFA00F4AB}">
            <x14:dataBar minLength="0" maxLength="100" gradient="0">
              <x14:cfvo type="num">
                <xm:f>0</xm:f>
              </x14:cfvo>
              <x14:cfvo type="num">
                <xm:f>15</xm:f>
              </x14:cfvo>
              <x14:negativeFillColor rgb="FFFF0000"/>
              <x14:axisColor rgb="FF000000"/>
            </x14:dataBar>
          </x14:cfRule>
          <xm:sqref>H9:H48</xm:sqref>
        </x14:conditionalFormatting>
        <x14:conditionalFormatting xmlns:xm="http://schemas.microsoft.com/office/excel/2006/main">
          <x14:cfRule type="dataBar" id="{8CBBBA50-E0CB-4EC9-912F-BB3FF5CDD4E1}">
            <x14:dataBar minLength="0" maxLength="100" gradient="0">
              <x14:cfvo type="num">
                <xm:f>0</xm:f>
              </x14:cfvo>
              <x14:cfvo type="num">
                <xm:f>3</xm:f>
              </x14:cfvo>
              <x14:negativeFillColor rgb="FFFF0000"/>
              <x14:axisColor rgb="FF000000"/>
            </x14:dataBar>
          </x14:cfRule>
          <xm:sqref>G51:G71</xm:sqref>
        </x14:conditionalFormatting>
        <x14:conditionalFormatting xmlns:xm="http://schemas.microsoft.com/office/excel/2006/main">
          <x14:cfRule type="dataBar" id="{780BA50C-E8C6-4145-8606-CFDA9E05D53C}">
            <x14:dataBar minLength="0" maxLength="100" gradient="0">
              <x14:cfvo type="num">
                <xm:f>0</xm:f>
              </x14:cfvo>
              <x14:cfvo type="num">
                <xm:f>15</xm:f>
              </x14:cfvo>
              <x14:negativeFillColor rgb="FFFF0000"/>
              <x14:axisColor rgb="FF000000"/>
            </x14:dataBar>
          </x14:cfRule>
          <xm:sqref>H51:H71</xm:sqref>
        </x14:conditionalFormatting>
        <x14:conditionalFormatting xmlns:xm="http://schemas.microsoft.com/office/excel/2006/main">
          <x14:cfRule type="dataBar" id="{7CB9390C-AA19-49E1-8B0A-EA8A75DED0DC}">
            <x14:dataBar minLength="0" maxLength="100" gradient="0">
              <x14:cfvo type="num">
                <xm:f>0</xm:f>
              </x14:cfvo>
              <x14:cfvo type="num">
                <xm:f>3</xm:f>
              </x14:cfvo>
              <x14:negativeFillColor rgb="FFFF0000"/>
              <x14:axisColor rgb="FF000000"/>
            </x14:dataBar>
          </x14:cfRule>
          <xm:sqref>G73:G77</xm:sqref>
        </x14:conditionalFormatting>
        <x14:conditionalFormatting xmlns:xm="http://schemas.microsoft.com/office/excel/2006/main">
          <x14:cfRule type="dataBar" id="{5A7D9456-3978-4434-BE06-9E9EC9EC4E0E}">
            <x14:dataBar minLength="0" maxLength="100" gradient="0">
              <x14:cfvo type="num">
                <xm:f>0</xm:f>
              </x14:cfvo>
              <x14:cfvo type="num">
                <xm:f>15</xm:f>
              </x14:cfvo>
              <x14:negativeFillColor rgb="FFFF0000"/>
              <x14:axisColor rgb="FF000000"/>
            </x14:dataBar>
          </x14:cfRule>
          <xm:sqref>H73:H77</xm:sqref>
        </x14:conditionalFormatting>
        <x14:conditionalFormatting xmlns:xm="http://schemas.microsoft.com/office/excel/2006/main">
          <x14:cfRule type="dataBar" id="{919E7296-5FAC-438F-98C9-2EE3F3BD5F39}">
            <x14:dataBar minLength="0" maxLength="100" gradient="0">
              <x14:cfvo type="num">
                <xm:f>0</xm:f>
              </x14:cfvo>
              <x14:cfvo type="num">
                <xm:f>3</xm:f>
              </x14:cfvo>
              <x14:negativeFillColor rgb="FFFF0000"/>
              <x14:axisColor rgb="FF000000"/>
            </x14:dataBar>
          </x14:cfRule>
          <xm:sqref>G79:G92</xm:sqref>
        </x14:conditionalFormatting>
        <x14:conditionalFormatting xmlns:xm="http://schemas.microsoft.com/office/excel/2006/main">
          <x14:cfRule type="dataBar" id="{4C0A137C-FA1C-4B03-B9F1-EBE6B040E1B6}">
            <x14:dataBar minLength="0" maxLength="100" gradient="0">
              <x14:cfvo type="num">
                <xm:f>0</xm:f>
              </x14:cfvo>
              <x14:cfvo type="num">
                <xm:f>15</xm:f>
              </x14:cfvo>
              <x14:negativeFillColor rgb="FFFF0000"/>
              <x14:axisColor rgb="FF000000"/>
            </x14:dataBar>
          </x14:cfRule>
          <xm:sqref>H79:H92</xm:sqref>
        </x14:conditionalFormatting>
        <x14:conditionalFormatting xmlns:xm="http://schemas.microsoft.com/office/excel/2006/main">
          <x14:cfRule type="dataBar" id="{31C8910A-CA3F-4831-A7D2-3478A1427DE6}">
            <x14:dataBar minLength="0" maxLength="100" gradient="0">
              <x14:cfvo type="num">
                <xm:f>0</xm:f>
              </x14:cfvo>
              <x14:cfvo type="num">
                <xm:f>3</xm:f>
              </x14:cfvo>
              <x14:negativeFillColor rgb="FFFF0000"/>
              <x14:axisColor rgb="FF000000"/>
            </x14:dataBar>
          </x14:cfRule>
          <xm:sqref>G94:G110</xm:sqref>
        </x14:conditionalFormatting>
        <x14:conditionalFormatting xmlns:xm="http://schemas.microsoft.com/office/excel/2006/main">
          <x14:cfRule type="dataBar" id="{6D2B0941-A443-4418-B8DE-0695154CDC79}">
            <x14:dataBar minLength="0" maxLength="100" gradient="0">
              <x14:cfvo type="num">
                <xm:f>0</xm:f>
              </x14:cfvo>
              <x14:cfvo type="num">
                <xm:f>15</xm:f>
              </x14:cfvo>
              <x14:negativeFillColor rgb="FFFF0000"/>
              <x14:axisColor rgb="FF000000"/>
            </x14:dataBar>
          </x14:cfRule>
          <xm:sqref>H94:H110</xm:sqref>
        </x14:conditionalFormatting>
        <x14:conditionalFormatting xmlns:xm="http://schemas.microsoft.com/office/excel/2006/main">
          <x14:cfRule type="dataBar" id="{5AD11527-3829-4C27-8887-B1ADDF649888}">
            <x14:dataBar minLength="0" maxLength="100" gradient="0">
              <x14:cfvo type="num">
                <xm:f>0</xm:f>
              </x14:cfvo>
              <x14:cfvo type="num">
                <xm:f>3</xm:f>
              </x14:cfvo>
              <x14:negativeFillColor rgb="FFFF0000"/>
              <x14:axisColor rgb="FF000000"/>
            </x14:dataBar>
          </x14:cfRule>
          <xm:sqref>G112:G115</xm:sqref>
        </x14:conditionalFormatting>
        <x14:conditionalFormatting xmlns:xm="http://schemas.microsoft.com/office/excel/2006/main">
          <x14:cfRule type="dataBar" id="{0AD7E4CC-DF1F-4A0B-9C43-8E51783F0CAF}">
            <x14:dataBar minLength="0" maxLength="100" gradient="0">
              <x14:cfvo type="num">
                <xm:f>0</xm:f>
              </x14:cfvo>
              <x14:cfvo type="num">
                <xm:f>15</xm:f>
              </x14:cfvo>
              <x14:negativeFillColor rgb="FFFF0000"/>
              <x14:axisColor rgb="FF000000"/>
            </x14:dataBar>
          </x14:cfRule>
          <xm:sqref>H112:H115</xm:sqref>
        </x14:conditionalFormatting>
        <x14:conditionalFormatting xmlns:xm="http://schemas.microsoft.com/office/excel/2006/main">
          <x14:cfRule type="dataBar" id="{EB263B0A-E32E-4A79-984E-5FDC64803396}">
            <x14:dataBar minLength="0" maxLength="100" gradient="0">
              <x14:cfvo type="num">
                <xm:f>0</xm:f>
              </x14:cfvo>
              <x14:cfvo type="num">
                <xm:f>3</xm:f>
              </x14:cfvo>
              <x14:negativeFillColor rgb="FFFF0000"/>
              <x14:axisColor rgb="FF000000"/>
            </x14:dataBar>
          </x14:cfRule>
          <xm:sqref>G118:G159</xm:sqref>
        </x14:conditionalFormatting>
        <x14:conditionalFormatting xmlns:xm="http://schemas.microsoft.com/office/excel/2006/main">
          <x14:cfRule type="dataBar" id="{764733D2-773B-4D43-9776-75F05D793229}">
            <x14:dataBar minLength="0" maxLength="100" gradient="0">
              <x14:cfvo type="num">
                <xm:f>0</xm:f>
              </x14:cfvo>
              <x14:cfvo type="num">
                <xm:f>15</xm:f>
              </x14:cfvo>
              <x14:negativeFillColor rgb="FFFF0000"/>
              <x14:axisColor rgb="FF000000"/>
            </x14:dataBar>
          </x14:cfRule>
          <xm:sqref>H118:H159</xm:sqref>
        </x14:conditionalFormatting>
        <x14:conditionalFormatting xmlns:xm="http://schemas.microsoft.com/office/excel/2006/main">
          <x14:cfRule type="dataBar" id="{71F42E25-24A6-49DF-BA4F-2C3B649A4C6E}">
            <x14:dataBar minLength="0" maxLength="100" gradient="0">
              <x14:cfvo type="num">
                <xm:f>0</xm:f>
              </x14:cfvo>
              <x14:cfvo type="num">
                <xm:f>3</xm:f>
              </x14:cfvo>
              <x14:negativeFillColor rgb="FFFF0000"/>
              <x14:axisColor rgb="FF000000"/>
            </x14:dataBar>
          </x14:cfRule>
          <xm:sqref>G161:G181</xm:sqref>
        </x14:conditionalFormatting>
        <x14:conditionalFormatting xmlns:xm="http://schemas.microsoft.com/office/excel/2006/main">
          <x14:cfRule type="dataBar" id="{9B3A731D-1D31-433C-8212-B4871FB2B68B}">
            <x14:dataBar minLength="0" maxLength="100" gradient="0">
              <x14:cfvo type="num">
                <xm:f>0</xm:f>
              </x14:cfvo>
              <x14:cfvo type="num">
                <xm:f>15</xm:f>
              </x14:cfvo>
              <x14:negativeFillColor rgb="FFFF0000"/>
              <x14:axisColor rgb="FF000000"/>
            </x14:dataBar>
          </x14:cfRule>
          <xm:sqref>H161:H181</xm:sqref>
        </x14:conditionalFormatting>
        <x14:conditionalFormatting xmlns:xm="http://schemas.microsoft.com/office/excel/2006/main">
          <x14:cfRule type="dataBar" id="{6CDDF21B-7181-412A-B00B-8FBC2A01466D}">
            <x14:dataBar minLength="0" maxLength="100" gradient="0">
              <x14:cfvo type="num">
                <xm:f>0</xm:f>
              </x14:cfvo>
              <x14:cfvo type="num">
                <xm:f>3</xm:f>
              </x14:cfvo>
              <x14:negativeFillColor rgb="FFFF0000"/>
              <x14:axisColor rgb="FF000000"/>
            </x14:dataBar>
          </x14:cfRule>
          <xm:sqref>G183:G214</xm:sqref>
        </x14:conditionalFormatting>
        <x14:conditionalFormatting xmlns:xm="http://schemas.microsoft.com/office/excel/2006/main">
          <x14:cfRule type="dataBar" id="{673C0FED-6E72-48FC-994F-204A7EF3D0E5}">
            <x14:dataBar minLength="0" maxLength="100" gradient="0">
              <x14:cfvo type="num">
                <xm:f>0</xm:f>
              </x14:cfvo>
              <x14:cfvo type="num">
                <xm:f>15</xm:f>
              </x14:cfvo>
              <x14:negativeFillColor rgb="FFFF0000"/>
              <x14:axisColor rgb="FF000000"/>
            </x14:dataBar>
          </x14:cfRule>
          <xm:sqref>H183:H214</xm:sqref>
        </x14:conditionalFormatting>
        <x14:conditionalFormatting xmlns:xm="http://schemas.microsoft.com/office/excel/2006/main">
          <x14:cfRule type="dataBar" id="{5BD185CA-315E-43DE-8DE6-EA3B8C33D3A2}">
            <x14:dataBar minLength="0" maxLength="100" gradient="0">
              <x14:cfvo type="num">
                <xm:f>0</xm:f>
              </x14:cfvo>
              <x14:cfvo type="num">
                <xm:f>3</xm:f>
              </x14:cfvo>
              <x14:negativeFillColor rgb="FFFF0000"/>
              <x14:axisColor rgb="FF000000"/>
            </x14:dataBar>
          </x14:cfRule>
          <xm:sqref>G217:G233</xm:sqref>
        </x14:conditionalFormatting>
        <x14:conditionalFormatting xmlns:xm="http://schemas.microsoft.com/office/excel/2006/main">
          <x14:cfRule type="dataBar" id="{76EC0120-153C-4304-98D4-3A752F9D0E87}">
            <x14:dataBar minLength="0" maxLength="100" gradient="0">
              <x14:cfvo type="num">
                <xm:f>0</xm:f>
              </x14:cfvo>
              <x14:cfvo type="num">
                <xm:f>15</xm:f>
              </x14:cfvo>
              <x14:negativeFillColor rgb="FFFF0000"/>
              <x14:axisColor rgb="FF000000"/>
            </x14:dataBar>
          </x14:cfRule>
          <xm:sqref>H217:H233</xm:sqref>
        </x14:conditionalFormatting>
        <x14:conditionalFormatting xmlns:xm="http://schemas.microsoft.com/office/excel/2006/main">
          <x14:cfRule type="dataBar" id="{EFE62104-C461-4835-9237-B7A6939D0519}">
            <x14:dataBar minLength="0" maxLength="100" gradient="0">
              <x14:cfvo type="num">
                <xm:f>0</xm:f>
              </x14:cfvo>
              <x14:cfvo type="num">
                <xm:f>3</xm:f>
              </x14:cfvo>
              <x14:negativeFillColor rgb="FFFF0000"/>
              <x14:axisColor rgb="FF000000"/>
            </x14:dataBar>
          </x14:cfRule>
          <xm:sqref>G235:G257</xm:sqref>
        </x14:conditionalFormatting>
        <x14:conditionalFormatting xmlns:xm="http://schemas.microsoft.com/office/excel/2006/main">
          <x14:cfRule type="dataBar" id="{B5C98510-9B12-4A2F-9F52-BF4FB29AD479}">
            <x14:dataBar minLength="0" maxLength="100" gradient="0">
              <x14:cfvo type="num">
                <xm:f>0</xm:f>
              </x14:cfvo>
              <x14:cfvo type="num">
                <xm:f>15</xm:f>
              </x14:cfvo>
              <x14:negativeFillColor rgb="FFFF0000"/>
              <x14:axisColor rgb="FF000000"/>
            </x14:dataBar>
          </x14:cfRule>
          <xm:sqref>H235:H257</xm:sqref>
        </x14:conditionalFormatting>
        <x14:conditionalFormatting xmlns:xm="http://schemas.microsoft.com/office/excel/2006/main">
          <x14:cfRule type="dataBar" id="{C8F72A61-CB1D-4D9C-9C9C-E4940BBD6653}">
            <x14:dataBar minLength="0" maxLength="100" gradient="0">
              <x14:cfvo type="num">
                <xm:f>0</xm:f>
              </x14:cfvo>
              <x14:cfvo type="num">
                <xm:f>3</xm:f>
              </x14:cfvo>
              <x14:negativeFillColor rgb="FFFF0000"/>
              <x14:axisColor rgb="FF000000"/>
            </x14:dataBar>
          </x14:cfRule>
          <xm:sqref>G259:G267</xm:sqref>
        </x14:conditionalFormatting>
        <x14:conditionalFormatting xmlns:xm="http://schemas.microsoft.com/office/excel/2006/main">
          <x14:cfRule type="dataBar" id="{950B210A-3988-414F-B61C-12859BB2972A}">
            <x14:dataBar minLength="0" maxLength="100" gradient="0">
              <x14:cfvo type="num">
                <xm:f>0</xm:f>
              </x14:cfvo>
              <x14:cfvo type="num">
                <xm:f>15</xm:f>
              </x14:cfvo>
              <x14:negativeFillColor rgb="FFFF0000"/>
              <x14:axisColor rgb="FF000000"/>
            </x14:dataBar>
          </x14:cfRule>
          <xm:sqref>H259:H267</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59D6A-70EC-45FE-A729-BDFD157F4031}">
  <sheetPr codeName="Sheet12">
    <tabColor rgb="FFFF0000"/>
    <pageSetUpPr autoPageBreaks="0" fitToPage="1"/>
  </sheetPr>
  <dimension ref="A2:AB130"/>
  <sheetViews>
    <sheetView showGridLines="0" showRowColHeaders="0" topLeftCell="F1" zoomScaleNormal="100" workbookViewId="0">
      <pane ySplit="7" topLeftCell="A19" activePane="bottomLeft" state="frozen"/>
      <selection pane="bottomLeft" activeCell="H30" sqref="H30"/>
    </sheetView>
  </sheetViews>
  <sheetFormatPr baseColWidth="10" defaultColWidth="9.1640625" defaultRowHeight="15" x14ac:dyDescent="0.2"/>
  <cols>
    <col min="1" max="1" width="9.33203125" style="4" hidden="1" customWidth="1"/>
    <col min="2" max="3" width="8.83203125" style="4" hidden="1" customWidth="1"/>
    <col min="4" max="4" width="6.33203125" style="4" customWidth="1"/>
    <col min="5" max="5" width="15.5" style="4" customWidth="1"/>
    <col min="6" max="6" width="67.5" style="4" customWidth="1"/>
    <col min="7" max="7" width="20.33203125" style="4" customWidth="1"/>
    <col min="8" max="9" width="16.1640625" style="4" customWidth="1"/>
    <col min="10" max="11" width="41.6640625" style="4" customWidth="1"/>
    <col min="12" max="23" width="9.1640625" style="4" customWidth="1"/>
    <col min="24" max="26" width="9.1640625" style="66" customWidth="1"/>
    <col min="27" max="28" width="9.1640625" style="61" hidden="1" customWidth="1"/>
    <col min="29" max="16384" width="9.1640625" style="4"/>
  </cols>
  <sheetData>
    <row r="2" spans="1:28" s="7" customFormat="1" ht="15" customHeight="1" x14ac:dyDescent="0.2">
      <c r="A2" s="4"/>
      <c r="B2" s="4"/>
      <c r="C2" s="4"/>
      <c r="D2" s="4"/>
      <c r="E2" s="4"/>
      <c r="F2" s="152" t="s">
        <v>886</v>
      </c>
      <c r="G2" s="144"/>
      <c r="H2" s="144"/>
      <c r="I2" s="144"/>
      <c r="J2" s="144"/>
      <c r="K2" s="144"/>
      <c r="L2" s="144"/>
      <c r="M2" s="144"/>
      <c r="N2" s="144"/>
      <c r="O2" s="144"/>
      <c r="P2" s="144"/>
      <c r="Q2" s="144"/>
      <c r="R2" s="144"/>
      <c r="S2" s="144"/>
      <c r="T2" s="144"/>
      <c r="U2" s="144"/>
      <c r="V2" s="144"/>
      <c r="X2" s="66"/>
      <c r="Y2" s="66"/>
      <c r="Z2" s="66"/>
      <c r="AA2" s="61"/>
      <c r="AB2" s="61"/>
    </row>
    <row r="3" spans="1:28" s="7" customFormat="1" ht="15" customHeight="1" x14ac:dyDescent="0.2">
      <c r="A3" s="4"/>
      <c r="B3" s="4"/>
      <c r="C3" s="4"/>
      <c r="D3" s="4"/>
      <c r="E3" s="4"/>
      <c r="F3" s="152"/>
      <c r="G3" s="144"/>
      <c r="H3" s="144"/>
      <c r="I3" s="144"/>
      <c r="J3" s="144"/>
      <c r="K3" s="144"/>
      <c r="L3" s="144"/>
      <c r="M3" s="144"/>
      <c r="N3" s="144"/>
      <c r="O3" s="144"/>
      <c r="P3" s="144"/>
      <c r="Q3" s="144"/>
      <c r="R3" s="144"/>
      <c r="S3" s="144"/>
      <c r="T3" s="144"/>
      <c r="U3" s="144"/>
      <c r="V3" s="144"/>
      <c r="X3" s="66"/>
      <c r="Y3" s="66"/>
      <c r="Z3" s="66"/>
      <c r="AA3" s="61"/>
      <c r="AB3" s="61"/>
    </row>
    <row r="4" spans="1:28" s="7" customFormat="1" ht="15" customHeight="1" x14ac:dyDescent="0.2">
      <c r="A4" s="4"/>
      <c r="B4" s="4"/>
      <c r="C4" s="4"/>
      <c r="D4" s="4"/>
      <c r="E4" s="4"/>
      <c r="F4" s="152"/>
      <c r="G4" s="144"/>
      <c r="H4" s="144"/>
      <c r="I4" s="144"/>
      <c r="J4" s="144"/>
      <c r="K4" s="144"/>
      <c r="L4" s="144"/>
      <c r="M4" s="144"/>
      <c r="N4" s="144"/>
      <c r="O4" s="144"/>
      <c r="P4" s="144"/>
      <c r="Q4" s="144"/>
      <c r="R4" s="144"/>
      <c r="S4" s="144"/>
      <c r="T4" s="144"/>
      <c r="U4" s="144"/>
      <c r="V4" s="144"/>
      <c r="X4" s="66"/>
      <c r="Y4" s="66"/>
      <c r="Z4" s="66"/>
      <c r="AA4" s="61"/>
      <c r="AB4" s="61"/>
    </row>
    <row r="5" spans="1:28" s="7" customFormat="1" ht="15" customHeight="1" x14ac:dyDescent="0.2">
      <c r="A5" s="4"/>
      <c r="B5" s="4"/>
      <c r="C5" s="4"/>
      <c r="D5" s="4"/>
      <c r="E5" s="4"/>
      <c r="F5" s="152"/>
      <c r="G5" s="144"/>
      <c r="H5" s="144"/>
      <c r="I5" s="144"/>
      <c r="J5" s="144"/>
      <c r="K5" s="144"/>
      <c r="L5" s="144"/>
      <c r="M5" s="144"/>
      <c r="N5" s="144"/>
      <c r="O5" s="144"/>
      <c r="P5" s="144"/>
      <c r="Q5" s="144"/>
      <c r="R5" s="144"/>
      <c r="S5" s="144"/>
      <c r="T5" s="144"/>
      <c r="U5" s="144"/>
      <c r="V5" s="144"/>
      <c r="X5" s="66"/>
      <c r="Y5" s="66"/>
      <c r="Z5" s="66"/>
      <c r="AA5" s="61"/>
      <c r="AB5" s="61"/>
    </row>
    <row r="6" spans="1:28" ht="11.25" customHeight="1" x14ac:dyDescent="0.2"/>
    <row r="7" spans="1:28" ht="36" customHeight="1" x14ac:dyDescent="0.25">
      <c r="F7" s="8"/>
      <c r="G7" s="9" t="s">
        <v>732</v>
      </c>
      <c r="H7" s="9" t="s">
        <v>733</v>
      </c>
      <c r="I7" s="10" t="s">
        <v>734</v>
      </c>
      <c r="V7" s="66"/>
      <c r="W7" s="66"/>
      <c r="Y7" s="61"/>
      <c r="Z7" s="61"/>
      <c r="AA7" s="4"/>
      <c r="AB7" s="4"/>
    </row>
    <row r="8" spans="1:28" s="54" customFormat="1" ht="30" customHeight="1" x14ac:dyDescent="0.2">
      <c r="A8" s="32">
        <v>523</v>
      </c>
      <c r="B8" s="33" t="str">
        <f t="shared" ref="B8:B71" si="0">VLOOKUP(A8,contentref,2,FALSE)</f>
        <v>3.1</v>
      </c>
      <c r="C8" s="3">
        <f t="shared" ref="C8:C71" si="1">VLOOKUP(A8,contentref,15,FALSE)</f>
        <v>2</v>
      </c>
      <c r="D8" s="3"/>
      <c r="E8" s="26" t="s">
        <v>758</v>
      </c>
      <c r="F8" s="50" t="s">
        <v>759</v>
      </c>
      <c r="G8" s="51"/>
      <c r="H8" s="52" t="str">
        <f>IF(ISERROR(VLOOKUP(E8,#REF!,6,FALSE)),"",IF(VLOOKUP(E8,#REF!,6,FALSE)=0,"",VLOOKUP(E8,#REF!,6,FALSE)))</f>
        <v/>
      </c>
      <c r="I8" s="52" t="str">
        <f t="shared" ref="I8:I19" si="2">IF(ISERROR(VLOOKUP(AA8,detail_maturity_score,3,FALSE)*VLOOKUP(H8,weighting_scores,2,FALSE)),"",VLOOKUP(AA8,detail_maturity_score,3,FALSE)*VLOOKUP(H8,weighting_scores,2,FALSE))</f>
        <v/>
      </c>
      <c r="J8" s="52"/>
      <c r="K8" s="52"/>
      <c r="L8" s="52"/>
      <c r="M8" s="51"/>
      <c r="N8" s="51"/>
      <c r="O8" s="51"/>
      <c r="P8" s="51"/>
      <c r="Q8" s="51"/>
      <c r="R8" s="51"/>
      <c r="S8" s="51"/>
      <c r="T8" s="51"/>
      <c r="U8" s="51"/>
      <c r="V8" s="51"/>
      <c r="W8" s="79"/>
      <c r="X8" s="79"/>
      <c r="Y8" s="83"/>
      <c r="AA8" s="70"/>
      <c r="AB8" s="70"/>
    </row>
    <row r="9" spans="1:28" s="53" customFormat="1" ht="16" x14ac:dyDescent="0.2">
      <c r="A9" s="41">
        <v>524</v>
      </c>
      <c r="B9" s="33" t="str">
        <f t="shared" si="0"/>
        <v>3.1.01</v>
      </c>
      <c r="C9" s="3">
        <f t="shared" si="1"/>
        <v>5</v>
      </c>
      <c r="D9" s="3"/>
      <c r="E9" s="122">
        <v>1</v>
      </c>
      <c r="F9" s="139" t="s">
        <v>887</v>
      </c>
      <c r="G9" s="45" t="s">
        <v>738</v>
      </c>
      <c r="H9" s="69">
        <v>1</v>
      </c>
      <c r="I9" s="69" t="str">
        <f t="shared" si="2"/>
        <v/>
      </c>
      <c r="J9" s="132"/>
      <c r="K9" s="132"/>
      <c r="L9" s="43"/>
      <c r="M9" s="43"/>
      <c r="N9" s="43"/>
      <c r="O9" s="43"/>
      <c r="P9" s="43"/>
      <c r="Q9" s="43"/>
      <c r="R9" s="43"/>
      <c r="S9" s="43"/>
      <c r="T9" s="78"/>
      <c r="U9" s="43"/>
      <c r="V9" s="43"/>
      <c r="W9" s="80"/>
      <c r="X9" s="84"/>
      <c r="Y9" s="80"/>
      <c r="AA9" s="71">
        <v>1</v>
      </c>
      <c r="AB9" s="71" t="str">
        <f t="shared" ref="AB9:AB19" si="3">VLOOKUP(AA9,detail_maturity_score,3,FALSE)</f>
        <v/>
      </c>
    </row>
    <row r="10" spans="1:28" s="55" customFormat="1" ht="30" customHeight="1" x14ac:dyDescent="0.2">
      <c r="A10" s="27">
        <v>525</v>
      </c>
      <c r="B10" s="33" t="str">
        <f t="shared" si="0"/>
        <v>3.1.02</v>
      </c>
      <c r="C10" s="3">
        <f t="shared" si="1"/>
        <v>5</v>
      </c>
      <c r="D10" s="3"/>
      <c r="E10" s="122">
        <v>2</v>
      </c>
      <c r="F10" s="140" t="s">
        <v>888</v>
      </c>
      <c r="G10" s="45" t="s">
        <v>740</v>
      </c>
      <c r="H10" s="67">
        <v>1</v>
      </c>
      <c r="I10" s="67" t="str">
        <f t="shared" si="2"/>
        <v/>
      </c>
      <c r="J10" s="133"/>
      <c r="K10" s="133"/>
      <c r="L10" s="29"/>
      <c r="M10" s="29"/>
      <c r="N10" s="29"/>
      <c r="O10" s="29"/>
      <c r="P10" s="29"/>
      <c r="Q10" s="29"/>
      <c r="R10" s="29"/>
      <c r="S10" s="29"/>
      <c r="T10" s="57"/>
      <c r="U10" s="29"/>
      <c r="V10" s="29"/>
      <c r="W10" s="81"/>
      <c r="X10" s="85"/>
      <c r="Y10" s="81"/>
      <c r="AA10" s="72">
        <v>1</v>
      </c>
      <c r="AB10" s="72" t="str">
        <f t="shared" si="3"/>
        <v/>
      </c>
    </row>
    <row r="11" spans="1:28" s="55" customFormat="1" ht="30" customHeight="1" x14ac:dyDescent="0.2">
      <c r="A11" s="27">
        <v>526</v>
      </c>
      <c r="B11" s="33" t="str">
        <f t="shared" si="0"/>
        <v>3.1.03</v>
      </c>
      <c r="C11" s="3">
        <f t="shared" si="1"/>
        <v>5</v>
      </c>
      <c r="D11" s="3"/>
      <c r="E11" s="121">
        <v>3</v>
      </c>
      <c r="F11" s="140" t="s">
        <v>889</v>
      </c>
      <c r="G11" s="45" t="s">
        <v>794</v>
      </c>
      <c r="H11" s="67">
        <v>2</v>
      </c>
      <c r="I11" s="67" t="str">
        <f t="shared" si="2"/>
        <v/>
      </c>
      <c r="J11" s="133"/>
      <c r="K11" s="133"/>
      <c r="L11" s="29"/>
      <c r="M11" s="29"/>
      <c r="N11" s="29"/>
      <c r="O11" s="29"/>
      <c r="P11" s="29"/>
      <c r="Q11" s="29"/>
      <c r="R11" s="29"/>
      <c r="S11" s="29"/>
      <c r="T11" s="57"/>
      <c r="U11" s="29"/>
      <c r="V11" s="29"/>
      <c r="W11" s="81"/>
      <c r="X11" s="85"/>
      <c r="Y11" s="81"/>
      <c r="AA11" s="72">
        <v>1</v>
      </c>
      <c r="AB11" s="72" t="str">
        <f t="shared" si="3"/>
        <v/>
      </c>
    </row>
    <row r="12" spans="1:28" s="55" customFormat="1" ht="48" x14ac:dyDescent="0.2">
      <c r="A12" s="27">
        <v>527</v>
      </c>
      <c r="B12" s="33" t="str">
        <f t="shared" si="0"/>
        <v>3.1.04</v>
      </c>
      <c r="C12" s="3">
        <f t="shared" si="1"/>
        <v>5</v>
      </c>
      <c r="D12" s="3"/>
      <c r="E12" s="121">
        <v>4</v>
      </c>
      <c r="F12" s="140" t="s">
        <v>890</v>
      </c>
      <c r="G12" s="45" t="s">
        <v>797</v>
      </c>
      <c r="H12" s="67">
        <v>2</v>
      </c>
      <c r="I12" s="67" t="str">
        <f t="shared" si="2"/>
        <v/>
      </c>
      <c r="J12" s="133"/>
      <c r="K12" s="133"/>
      <c r="L12" s="29"/>
      <c r="M12" s="29"/>
      <c r="N12" s="29"/>
      <c r="O12" s="29"/>
      <c r="P12" s="29"/>
      <c r="Q12" s="29"/>
      <c r="R12" s="29"/>
      <c r="S12" s="29"/>
      <c r="T12" s="57"/>
      <c r="U12" s="29"/>
      <c r="V12" s="29"/>
      <c r="W12" s="81"/>
      <c r="X12" s="85"/>
      <c r="Y12" s="81"/>
      <c r="AA12" s="72">
        <v>1</v>
      </c>
      <c r="AB12" s="72" t="str">
        <f t="shared" si="3"/>
        <v/>
      </c>
    </row>
    <row r="13" spans="1:28" s="55" customFormat="1" ht="30" customHeight="1" x14ac:dyDescent="0.2">
      <c r="A13" s="27">
        <v>528</v>
      </c>
      <c r="B13" s="33" t="str">
        <f t="shared" si="0"/>
        <v>3.1.05</v>
      </c>
      <c r="C13" s="3">
        <f t="shared" si="1"/>
        <v>5</v>
      </c>
      <c r="D13" s="3"/>
      <c r="E13" s="121">
        <v>5</v>
      </c>
      <c r="F13" s="140" t="s">
        <v>891</v>
      </c>
      <c r="G13" s="45" t="s">
        <v>738</v>
      </c>
      <c r="H13" s="67">
        <v>1</v>
      </c>
      <c r="I13" s="67" t="str">
        <f t="shared" si="2"/>
        <v/>
      </c>
      <c r="J13" s="133"/>
      <c r="K13" s="133"/>
      <c r="L13" s="29"/>
      <c r="M13" s="29"/>
      <c r="N13" s="29"/>
      <c r="O13" s="29"/>
      <c r="P13" s="29"/>
      <c r="Q13" s="29"/>
      <c r="R13" s="29"/>
      <c r="S13" s="29"/>
      <c r="T13" s="57"/>
      <c r="U13" s="29"/>
      <c r="V13" s="29"/>
      <c r="W13" s="81"/>
      <c r="X13" s="85"/>
      <c r="Y13" s="81"/>
      <c r="AA13" s="72">
        <v>1</v>
      </c>
      <c r="AB13" s="72" t="str">
        <f t="shared" si="3"/>
        <v/>
      </c>
    </row>
    <row r="14" spans="1:28" s="55" customFormat="1" ht="16" x14ac:dyDescent="0.2">
      <c r="A14" s="27">
        <v>529</v>
      </c>
      <c r="B14" s="28" t="str">
        <f t="shared" si="0"/>
        <v>3.1.06</v>
      </c>
      <c r="C14" s="29">
        <f t="shared" si="1"/>
        <v>5</v>
      </c>
      <c r="D14" s="3"/>
      <c r="E14" s="121">
        <v>6</v>
      </c>
      <c r="F14" s="140" t="s">
        <v>892</v>
      </c>
      <c r="G14" s="45" t="s">
        <v>797</v>
      </c>
      <c r="H14" s="67">
        <v>2</v>
      </c>
      <c r="I14" s="67" t="str">
        <f t="shared" si="2"/>
        <v/>
      </c>
      <c r="J14" s="133"/>
      <c r="K14" s="133"/>
      <c r="L14" s="29"/>
      <c r="M14" s="29"/>
      <c r="N14" s="29"/>
      <c r="O14" s="29"/>
      <c r="P14" s="29"/>
      <c r="Q14" s="29"/>
      <c r="R14" s="29"/>
      <c r="S14" s="29"/>
      <c r="T14" s="57"/>
      <c r="U14" s="29"/>
      <c r="V14" s="29"/>
      <c r="W14" s="81"/>
      <c r="X14" s="85"/>
      <c r="Y14" s="81"/>
      <c r="AA14" s="72">
        <v>1</v>
      </c>
      <c r="AB14" s="72" t="str">
        <f t="shared" si="3"/>
        <v/>
      </c>
    </row>
    <row r="15" spans="1:28" s="55" customFormat="1" ht="16" x14ac:dyDescent="0.2">
      <c r="A15" s="27">
        <v>530</v>
      </c>
      <c r="B15" s="28" t="str">
        <f t="shared" si="0"/>
        <v>3.1.07</v>
      </c>
      <c r="C15" s="29">
        <f t="shared" si="1"/>
        <v>5</v>
      </c>
      <c r="D15" s="3"/>
      <c r="E15" s="121">
        <v>7</v>
      </c>
      <c r="F15" s="140" t="s">
        <v>893</v>
      </c>
      <c r="G15" s="45" t="s">
        <v>752</v>
      </c>
      <c r="H15" s="67">
        <v>3</v>
      </c>
      <c r="I15" s="67" t="str">
        <f t="shared" si="2"/>
        <v/>
      </c>
      <c r="J15" s="133"/>
      <c r="K15" s="133"/>
      <c r="L15" s="29"/>
      <c r="M15" s="29"/>
      <c r="N15" s="29"/>
      <c r="O15" s="29"/>
      <c r="P15" s="29"/>
      <c r="Q15" s="29"/>
      <c r="R15" s="29"/>
      <c r="S15" s="29"/>
      <c r="T15" s="57"/>
      <c r="U15" s="29"/>
      <c r="V15" s="29"/>
      <c r="W15" s="81"/>
      <c r="X15" s="85"/>
      <c r="Y15" s="81"/>
      <c r="AA15" s="72">
        <v>1</v>
      </c>
      <c r="AB15" s="72" t="str">
        <f t="shared" si="3"/>
        <v/>
      </c>
    </row>
    <row r="16" spans="1:28" s="55" customFormat="1" ht="32" x14ac:dyDescent="0.2">
      <c r="A16" s="27">
        <v>531</v>
      </c>
      <c r="B16" s="28" t="str">
        <f t="shared" si="0"/>
        <v>3.1.08</v>
      </c>
      <c r="C16" s="29">
        <f t="shared" si="1"/>
        <v>5</v>
      </c>
      <c r="D16" s="3"/>
      <c r="E16" s="121">
        <v>8</v>
      </c>
      <c r="F16" s="140" t="s">
        <v>894</v>
      </c>
      <c r="G16" s="45" t="s">
        <v>740</v>
      </c>
      <c r="H16" s="67">
        <v>1</v>
      </c>
      <c r="I16" s="67" t="str">
        <f t="shared" si="2"/>
        <v/>
      </c>
      <c r="J16" s="133"/>
      <c r="K16" s="133"/>
      <c r="L16" s="29"/>
      <c r="M16" s="29"/>
      <c r="N16" s="29"/>
      <c r="O16" s="29"/>
      <c r="P16" s="29"/>
      <c r="Q16" s="29"/>
      <c r="R16" s="29"/>
      <c r="S16" s="29"/>
      <c r="T16" s="57"/>
      <c r="U16" s="29"/>
      <c r="V16" s="29"/>
      <c r="W16" s="81"/>
      <c r="X16" s="85"/>
      <c r="Y16" s="81"/>
      <c r="AA16" s="72">
        <v>1</v>
      </c>
      <c r="AB16" s="72" t="str">
        <f t="shared" si="3"/>
        <v/>
      </c>
    </row>
    <row r="17" spans="1:28" s="55" customFormat="1" ht="32" x14ac:dyDescent="0.2">
      <c r="A17" s="27">
        <v>532</v>
      </c>
      <c r="B17" s="28" t="str">
        <f t="shared" si="0"/>
        <v>3.1.09</v>
      </c>
      <c r="C17" s="29">
        <f t="shared" si="1"/>
        <v>5</v>
      </c>
      <c r="D17" s="3"/>
      <c r="E17" s="121">
        <v>9</v>
      </c>
      <c r="F17" s="140" t="s">
        <v>895</v>
      </c>
      <c r="G17" s="45" t="s">
        <v>738</v>
      </c>
      <c r="H17" s="67">
        <v>1</v>
      </c>
      <c r="I17" s="67" t="str">
        <f t="shared" si="2"/>
        <v/>
      </c>
      <c r="J17" s="133"/>
      <c r="K17" s="133"/>
      <c r="L17" s="29"/>
      <c r="M17" s="29"/>
      <c r="N17" s="29"/>
      <c r="O17" s="29"/>
      <c r="P17" s="29"/>
      <c r="Q17" s="29"/>
      <c r="R17" s="29"/>
      <c r="S17" s="29"/>
      <c r="T17" s="57"/>
      <c r="U17" s="29"/>
      <c r="V17" s="29"/>
      <c r="W17" s="81"/>
      <c r="X17" s="85"/>
      <c r="Y17" s="81"/>
      <c r="AA17" s="72">
        <v>1</v>
      </c>
      <c r="AB17" s="72" t="str">
        <f t="shared" si="3"/>
        <v/>
      </c>
    </row>
    <row r="18" spans="1:28" s="55" customFormat="1" ht="16" x14ac:dyDescent="0.2">
      <c r="A18" s="27">
        <v>533</v>
      </c>
      <c r="B18" s="28" t="str">
        <f t="shared" si="0"/>
        <v>3.1.10</v>
      </c>
      <c r="C18" s="29">
        <f t="shared" si="1"/>
        <v>5</v>
      </c>
      <c r="D18" s="3"/>
      <c r="E18" s="121">
        <v>10</v>
      </c>
      <c r="F18" s="140" t="s">
        <v>896</v>
      </c>
      <c r="G18" s="45" t="s">
        <v>740</v>
      </c>
      <c r="H18" s="67">
        <v>1</v>
      </c>
      <c r="I18" s="67" t="str">
        <f t="shared" si="2"/>
        <v/>
      </c>
      <c r="J18" s="133"/>
      <c r="K18" s="133"/>
      <c r="L18" s="29"/>
      <c r="M18" s="29"/>
      <c r="N18" s="29"/>
      <c r="O18" s="29"/>
      <c r="P18" s="29"/>
      <c r="Q18" s="29"/>
      <c r="R18" s="29"/>
      <c r="S18" s="29"/>
      <c r="T18" s="57"/>
      <c r="U18" s="29"/>
      <c r="V18" s="29"/>
      <c r="W18" s="81"/>
      <c r="X18" s="85"/>
      <c r="Y18" s="81"/>
      <c r="AA18" s="72">
        <v>1</v>
      </c>
      <c r="AB18" s="72" t="str">
        <f t="shared" si="3"/>
        <v/>
      </c>
    </row>
    <row r="19" spans="1:28" s="56" customFormat="1" ht="16" x14ac:dyDescent="0.2">
      <c r="A19" s="27">
        <v>534</v>
      </c>
      <c r="B19" s="28" t="str">
        <f t="shared" si="0"/>
        <v>3.1.11</v>
      </c>
      <c r="C19" s="29">
        <f t="shared" si="1"/>
        <v>5</v>
      </c>
      <c r="D19" s="3"/>
      <c r="E19" s="126">
        <v>11</v>
      </c>
      <c r="F19" s="141" t="s">
        <v>897</v>
      </c>
      <c r="G19" s="45" t="s">
        <v>810</v>
      </c>
      <c r="H19" s="68">
        <v>4</v>
      </c>
      <c r="I19" s="68" t="str">
        <f t="shared" si="2"/>
        <v/>
      </c>
      <c r="J19" s="134"/>
      <c r="K19" s="134"/>
      <c r="L19" s="37"/>
      <c r="M19" s="37"/>
      <c r="N19" s="37"/>
      <c r="O19" s="37"/>
      <c r="P19" s="37"/>
      <c r="Q19" s="37"/>
      <c r="R19" s="37"/>
      <c r="S19" s="37"/>
      <c r="T19" s="77"/>
      <c r="U19" s="37"/>
      <c r="V19" s="37"/>
      <c r="W19" s="82"/>
      <c r="X19" s="86"/>
      <c r="Y19" s="82"/>
      <c r="AA19" s="73">
        <v>1</v>
      </c>
      <c r="AB19" s="73" t="str">
        <f t="shared" si="3"/>
        <v/>
      </c>
    </row>
    <row r="20" spans="1:28" s="55" customFormat="1" ht="30" customHeight="1" x14ac:dyDescent="0.2">
      <c r="A20" s="27">
        <v>535</v>
      </c>
      <c r="B20" s="28" t="str">
        <f t="shared" si="0"/>
        <v>3.2</v>
      </c>
      <c r="C20" s="29">
        <f t="shared" si="1"/>
        <v>2</v>
      </c>
      <c r="D20" s="3"/>
      <c r="E20" s="122">
        <v>12</v>
      </c>
      <c r="F20" s="139" t="s">
        <v>898</v>
      </c>
      <c r="G20" s="45" t="s">
        <v>794</v>
      </c>
      <c r="H20" s="69">
        <v>2</v>
      </c>
      <c r="I20" s="69" t="str">
        <f t="shared" ref="I20:I29" si="4">IF(ISERROR(VLOOKUP(AA21,detail_maturity_score,3,FALSE)*VLOOKUP(H20,weighting_scores,2,FALSE)),"",VLOOKUP(AA21,detail_maturity_score,3,FALSE)*VLOOKUP(H20,weighting_scores,2,FALSE))</f>
        <v/>
      </c>
      <c r="J20" s="132"/>
      <c r="K20" s="132"/>
      <c r="L20" s="52"/>
      <c r="M20" s="51"/>
      <c r="N20" s="51"/>
      <c r="O20" s="51"/>
      <c r="P20" s="51"/>
      <c r="Q20" s="51"/>
      <c r="R20" s="51"/>
      <c r="S20" s="51"/>
      <c r="T20" s="51"/>
      <c r="U20" s="51"/>
      <c r="V20" s="51"/>
      <c r="W20" s="79"/>
      <c r="X20" s="79"/>
      <c r="Y20" s="83"/>
      <c r="Z20" s="54"/>
      <c r="AA20" s="70"/>
      <c r="AB20" s="70"/>
    </row>
    <row r="21" spans="1:28" s="53" customFormat="1" ht="16" x14ac:dyDescent="0.2">
      <c r="A21" s="27">
        <v>536</v>
      </c>
      <c r="B21" s="28" t="str">
        <f t="shared" si="0"/>
        <v>3.2.01</v>
      </c>
      <c r="C21" s="29">
        <f t="shared" si="1"/>
        <v>5</v>
      </c>
      <c r="D21" s="3"/>
      <c r="E21" s="121">
        <v>13</v>
      </c>
      <c r="F21" s="140" t="s">
        <v>899</v>
      </c>
      <c r="G21" s="45" t="s">
        <v>738</v>
      </c>
      <c r="H21" s="67">
        <v>1</v>
      </c>
      <c r="I21" s="67" t="str">
        <f t="shared" si="4"/>
        <v/>
      </c>
      <c r="J21" s="133"/>
      <c r="K21" s="133"/>
      <c r="L21" s="43"/>
      <c r="M21" s="43"/>
      <c r="N21" s="43"/>
      <c r="O21" s="43"/>
      <c r="P21" s="43"/>
      <c r="Q21" s="43"/>
      <c r="R21" s="43"/>
      <c r="S21" s="43"/>
      <c r="T21" s="78"/>
      <c r="U21" s="43"/>
      <c r="V21" s="43"/>
      <c r="W21" s="80"/>
      <c r="X21" s="84"/>
      <c r="Y21" s="80"/>
      <c r="AA21" s="71">
        <v>1</v>
      </c>
      <c r="AB21" s="71" t="str">
        <f>VLOOKUP(AA21,detail_maturity_score,3,FALSE)</f>
        <v/>
      </c>
    </row>
    <row r="22" spans="1:28" s="55" customFormat="1" ht="30" customHeight="1" x14ac:dyDescent="0.2">
      <c r="A22" s="27">
        <v>537</v>
      </c>
      <c r="B22" s="28" t="str">
        <f t="shared" si="0"/>
        <v>3.2.02</v>
      </c>
      <c r="C22" s="29">
        <f t="shared" si="1"/>
        <v>4</v>
      </c>
      <c r="D22" s="3"/>
      <c r="E22" s="121">
        <v>14</v>
      </c>
      <c r="F22" s="140" t="s">
        <v>900</v>
      </c>
      <c r="G22" s="45" t="s">
        <v>740</v>
      </c>
      <c r="H22" s="67">
        <v>1</v>
      </c>
      <c r="I22" s="67" t="str">
        <f t="shared" si="4"/>
        <v/>
      </c>
      <c r="J22" s="133"/>
      <c r="K22" s="133"/>
      <c r="L22" s="29"/>
      <c r="M22" s="29"/>
      <c r="N22" s="29"/>
      <c r="O22" s="29"/>
      <c r="P22" s="29"/>
      <c r="Q22" s="29"/>
      <c r="R22" s="29"/>
      <c r="S22" s="29"/>
      <c r="T22" s="57"/>
      <c r="U22" s="29"/>
      <c r="V22" s="29"/>
      <c r="W22" s="81"/>
      <c r="X22" s="85"/>
      <c r="Y22" s="81"/>
      <c r="AA22" s="72"/>
      <c r="AB22" s="72"/>
    </row>
    <row r="23" spans="1:28" s="55" customFormat="1" ht="16" x14ac:dyDescent="0.2">
      <c r="A23" s="27">
        <v>538</v>
      </c>
      <c r="B23" s="28" t="str">
        <f t="shared" si="0"/>
        <v>3.2.02a</v>
      </c>
      <c r="C23" s="29">
        <f t="shared" si="1"/>
        <v>6</v>
      </c>
      <c r="D23" s="3"/>
      <c r="E23" s="121">
        <v>15</v>
      </c>
      <c r="F23" s="140" t="s">
        <v>901</v>
      </c>
      <c r="G23" s="45" t="s">
        <v>797</v>
      </c>
      <c r="H23" s="67">
        <v>2</v>
      </c>
      <c r="I23" s="67" t="str">
        <f t="shared" si="4"/>
        <v/>
      </c>
      <c r="J23" s="133"/>
      <c r="K23" s="133"/>
      <c r="L23" s="29"/>
      <c r="M23" s="29"/>
      <c r="N23" s="29"/>
      <c r="O23" s="29"/>
      <c r="P23" s="29"/>
      <c r="Q23" s="29"/>
      <c r="R23" s="29"/>
      <c r="S23" s="29"/>
      <c r="T23" s="57"/>
      <c r="U23" s="29"/>
      <c r="V23" s="29"/>
      <c r="W23" s="81"/>
      <c r="X23" s="85"/>
      <c r="Y23" s="81"/>
      <c r="AA23" s="72">
        <v>1</v>
      </c>
      <c r="AB23" s="72" t="str">
        <f t="shared" ref="AB23:AB29" si="5">VLOOKUP(AA23,detail_maturity_score,3,FALSE)</f>
        <v/>
      </c>
    </row>
    <row r="24" spans="1:28" s="55" customFormat="1" ht="30" customHeight="1" x14ac:dyDescent="0.2">
      <c r="A24" s="27">
        <v>539</v>
      </c>
      <c r="B24" s="28" t="str">
        <f t="shared" si="0"/>
        <v>3.2.02b</v>
      </c>
      <c r="C24" s="29">
        <f t="shared" si="1"/>
        <v>6</v>
      </c>
      <c r="D24" s="3"/>
      <c r="E24" s="121">
        <v>16</v>
      </c>
      <c r="F24" s="140" t="s">
        <v>902</v>
      </c>
      <c r="G24" s="45" t="s">
        <v>810</v>
      </c>
      <c r="H24" s="67">
        <v>4</v>
      </c>
      <c r="I24" s="67" t="str">
        <f t="shared" si="4"/>
        <v/>
      </c>
      <c r="J24" s="133"/>
      <c r="K24" s="133"/>
      <c r="L24" s="29"/>
      <c r="M24" s="29"/>
      <c r="N24" s="29"/>
      <c r="O24" s="29"/>
      <c r="P24" s="29"/>
      <c r="Q24" s="29"/>
      <c r="R24" s="29"/>
      <c r="S24" s="29"/>
      <c r="T24" s="57"/>
      <c r="U24" s="29"/>
      <c r="V24" s="29"/>
      <c r="W24" s="81"/>
      <c r="X24" s="85"/>
      <c r="Y24" s="81"/>
      <c r="AA24" s="72">
        <v>1</v>
      </c>
      <c r="AB24" s="72" t="str">
        <f t="shared" si="5"/>
        <v/>
      </c>
    </row>
    <row r="25" spans="1:28" s="55" customFormat="1" ht="32" x14ac:dyDescent="0.2">
      <c r="A25" s="27">
        <v>540</v>
      </c>
      <c r="B25" s="28" t="str">
        <f t="shared" si="0"/>
        <v>3.2.02c</v>
      </c>
      <c r="C25" s="29">
        <f t="shared" si="1"/>
        <v>6</v>
      </c>
      <c r="D25" s="3"/>
      <c r="E25" s="121">
        <v>17</v>
      </c>
      <c r="F25" s="140" t="s">
        <v>903</v>
      </c>
      <c r="G25" s="45" t="s">
        <v>794</v>
      </c>
      <c r="H25" s="67">
        <v>2</v>
      </c>
      <c r="I25" s="67" t="str">
        <f t="shared" si="4"/>
        <v/>
      </c>
      <c r="J25" s="133"/>
      <c r="K25" s="133"/>
      <c r="L25" s="29"/>
      <c r="M25" s="29"/>
      <c r="N25" s="29"/>
      <c r="O25" s="29"/>
      <c r="P25" s="29"/>
      <c r="Q25" s="29"/>
      <c r="R25" s="29"/>
      <c r="S25" s="29"/>
      <c r="T25" s="57"/>
      <c r="U25" s="29"/>
      <c r="V25" s="29"/>
      <c r="W25" s="81"/>
      <c r="X25" s="85"/>
      <c r="Y25" s="81"/>
      <c r="AA25" s="72">
        <v>1</v>
      </c>
      <c r="AB25" s="72" t="str">
        <f t="shared" si="5"/>
        <v/>
      </c>
    </row>
    <row r="26" spans="1:28" s="55" customFormat="1" ht="30" customHeight="1" x14ac:dyDescent="0.2">
      <c r="A26" s="27">
        <v>541</v>
      </c>
      <c r="B26" s="28" t="str">
        <f t="shared" si="0"/>
        <v>3.2.02d</v>
      </c>
      <c r="C26" s="29">
        <f t="shared" si="1"/>
        <v>6</v>
      </c>
      <c r="D26" s="3"/>
      <c r="E26" s="121">
        <v>18</v>
      </c>
      <c r="F26" s="140" t="s">
        <v>904</v>
      </c>
      <c r="G26" s="45" t="s">
        <v>752</v>
      </c>
      <c r="H26" s="67">
        <v>3</v>
      </c>
      <c r="I26" s="67" t="str">
        <f t="shared" si="4"/>
        <v/>
      </c>
      <c r="J26" s="133"/>
      <c r="K26" s="133"/>
      <c r="L26" s="29"/>
      <c r="M26" s="29"/>
      <c r="N26" s="29"/>
      <c r="O26" s="29"/>
      <c r="P26" s="29"/>
      <c r="Q26" s="29"/>
      <c r="R26" s="29"/>
      <c r="S26" s="29"/>
      <c r="T26" s="57"/>
      <c r="U26" s="29"/>
      <c r="V26" s="29"/>
      <c r="W26" s="81"/>
      <c r="X26" s="85"/>
      <c r="Y26" s="81"/>
      <c r="AA26" s="72">
        <v>1</v>
      </c>
      <c r="AB26" s="72" t="str">
        <f t="shared" si="5"/>
        <v/>
      </c>
    </row>
    <row r="27" spans="1:28" s="55" customFormat="1" ht="30" customHeight="1" x14ac:dyDescent="0.2">
      <c r="A27" s="27">
        <v>542</v>
      </c>
      <c r="B27" s="28" t="str">
        <f t="shared" si="0"/>
        <v>3.2.02e</v>
      </c>
      <c r="C27" s="29">
        <f t="shared" si="1"/>
        <v>6</v>
      </c>
      <c r="D27" s="3"/>
      <c r="E27" s="121">
        <v>19</v>
      </c>
      <c r="F27" s="140" t="s">
        <v>905</v>
      </c>
      <c r="G27" s="45" t="s">
        <v>752</v>
      </c>
      <c r="H27" s="67">
        <v>3</v>
      </c>
      <c r="I27" s="67" t="str">
        <f t="shared" si="4"/>
        <v/>
      </c>
      <c r="J27" s="133"/>
      <c r="K27" s="133"/>
      <c r="L27" s="29"/>
      <c r="M27" s="29"/>
      <c r="N27" s="29"/>
      <c r="O27" s="29"/>
      <c r="P27" s="29"/>
      <c r="Q27" s="29"/>
      <c r="R27" s="29"/>
      <c r="S27" s="29"/>
      <c r="T27" s="57"/>
      <c r="U27" s="29"/>
      <c r="V27" s="29"/>
      <c r="W27" s="81"/>
      <c r="X27" s="85"/>
      <c r="Y27" s="81"/>
      <c r="AA27" s="72">
        <v>1</v>
      </c>
      <c r="AB27" s="72" t="str">
        <f t="shared" si="5"/>
        <v/>
      </c>
    </row>
    <row r="28" spans="1:28" s="55" customFormat="1" ht="16" x14ac:dyDescent="0.2">
      <c r="A28" s="27">
        <v>543</v>
      </c>
      <c r="B28" s="28" t="str">
        <f t="shared" si="0"/>
        <v>3.2.03</v>
      </c>
      <c r="C28" s="29">
        <f t="shared" si="1"/>
        <v>5</v>
      </c>
      <c r="D28" s="3"/>
      <c r="E28" s="121">
        <v>20</v>
      </c>
      <c r="F28" s="140" t="s">
        <v>906</v>
      </c>
      <c r="G28" s="45" t="s">
        <v>740</v>
      </c>
      <c r="H28" s="67">
        <v>1</v>
      </c>
      <c r="I28" s="67" t="str">
        <f t="shared" si="4"/>
        <v/>
      </c>
      <c r="J28" s="133"/>
      <c r="K28" s="133"/>
      <c r="L28" s="29"/>
      <c r="M28" s="29"/>
      <c r="N28" s="29"/>
      <c r="O28" s="29"/>
      <c r="P28" s="29"/>
      <c r="Q28" s="29"/>
      <c r="R28" s="29"/>
      <c r="S28" s="29"/>
      <c r="T28" s="57"/>
      <c r="U28" s="29"/>
      <c r="V28" s="29"/>
      <c r="W28" s="81"/>
      <c r="X28" s="85"/>
      <c r="Y28" s="81"/>
      <c r="AA28" s="72">
        <v>1</v>
      </c>
      <c r="AB28" s="72" t="str">
        <f t="shared" si="5"/>
        <v/>
      </c>
    </row>
    <row r="29" spans="1:28" s="55" customFormat="1" ht="16" x14ac:dyDescent="0.2">
      <c r="A29" s="27">
        <v>544</v>
      </c>
      <c r="B29" s="28" t="str">
        <f t="shared" si="0"/>
        <v>3.2.04</v>
      </c>
      <c r="C29" s="29">
        <f t="shared" si="1"/>
        <v>5</v>
      </c>
      <c r="D29" s="3"/>
      <c r="E29" s="121">
        <v>21</v>
      </c>
      <c r="F29" s="140" t="s">
        <v>813</v>
      </c>
      <c r="G29" s="45" t="s">
        <v>738</v>
      </c>
      <c r="H29" s="67">
        <v>1</v>
      </c>
      <c r="I29" s="67" t="str">
        <f t="shared" si="4"/>
        <v/>
      </c>
      <c r="J29" s="133"/>
      <c r="K29" s="133"/>
      <c r="L29" s="29"/>
      <c r="M29" s="29"/>
      <c r="N29" s="29"/>
      <c r="O29" s="29"/>
      <c r="P29" s="29"/>
      <c r="Q29" s="29"/>
      <c r="R29" s="29"/>
      <c r="S29" s="29"/>
      <c r="T29" s="57"/>
      <c r="U29" s="29"/>
      <c r="V29" s="29"/>
      <c r="W29" s="81"/>
      <c r="X29" s="85"/>
      <c r="Y29" s="81"/>
      <c r="AA29" s="72">
        <v>1</v>
      </c>
      <c r="AB29" s="72" t="str">
        <f t="shared" si="5"/>
        <v/>
      </c>
    </row>
    <row r="30" spans="1:28" s="55" customFormat="1" ht="30" customHeight="1" x14ac:dyDescent="0.2">
      <c r="A30" s="27">
        <v>545</v>
      </c>
      <c r="B30" s="28" t="str">
        <f t="shared" si="0"/>
        <v>3.2.05</v>
      </c>
      <c r="C30" s="29">
        <f t="shared" si="1"/>
        <v>4</v>
      </c>
      <c r="D30" s="3"/>
      <c r="E30" s="4"/>
      <c r="F30" s="4" t="s">
        <v>755</v>
      </c>
      <c r="G30" s="4"/>
      <c r="H30" s="4">
        <f>SUM(H9:H29)</f>
        <v>39</v>
      </c>
      <c r="I30" s="4"/>
      <c r="J30" s="4"/>
      <c r="K30" s="133"/>
      <c r="L30" s="29"/>
      <c r="M30" s="29"/>
      <c r="N30" s="29"/>
      <c r="O30" s="29"/>
      <c r="P30" s="29"/>
      <c r="Q30" s="29"/>
      <c r="R30" s="29"/>
      <c r="S30" s="29"/>
      <c r="T30" s="57"/>
      <c r="U30" s="29"/>
      <c r="V30" s="29"/>
      <c r="W30" s="81"/>
      <c r="X30" s="85"/>
      <c r="Y30" s="81"/>
      <c r="AA30" s="72"/>
      <c r="AB30" s="72"/>
    </row>
    <row r="31" spans="1:28" s="55" customFormat="1" x14ac:dyDescent="0.2">
      <c r="A31" s="27">
        <v>546</v>
      </c>
      <c r="B31" s="28" t="str">
        <f t="shared" si="0"/>
        <v>3.2.05a</v>
      </c>
      <c r="C31" s="29">
        <f t="shared" si="1"/>
        <v>6</v>
      </c>
      <c r="D31" s="3"/>
      <c r="E31" s="4"/>
      <c r="F31" s="4"/>
      <c r="G31" s="4"/>
      <c r="H31" s="4"/>
      <c r="I31" s="4"/>
      <c r="J31" s="4"/>
      <c r="K31" s="133"/>
      <c r="L31" s="29"/>
      <c r="M31" s="29"/>
      <c r="N31" s="29"/>
      <c r="O31" s="29"/>
      <c r="P31" s="29"/>
      <c r="Q31" s="29"/>
      <c r="R31" s="29"/>
      <c r="S31" s="29"/>
      <c r="T31" s="57"/>
      <c r="U31" s="29"/>
      <c r="V31" s="29"/>
      <c r="W31" s="81"/>
      <c r="X31" s="85"/>
      <c r="Y31" s="81"/>
      <c r="AA31" s="72">
        <v>1</v>
      </c>
      <c r="AB31" s="72" t="str">
        <f>VLOOKUP(AA31,detail_maturity_score,3,FALSE)</f>
        <v/>
      </c>
    </row>
    <row r="32" spans="1:28" s="55" customFormat="1" x14ac:dyDescent="0.2">
      <c r="A32" s="27">
        <v>547</v>
      </c>
      <c r="B32" s="28" t="str">
        <f t="shared" si="0"/>
        <v>3.2.05b</v>
      </c>
      <c r="C32" s="29">
        <f t="shared" si="1"/>
        <v>6</v>
      </c>
      <c r="D32" s="3"/>
      <c r="E32" s="4"/>
      <c r="F32" s="4"/>
      <c r="G32" s="4"/>
      <c r="H32" s="4"/>
      <c r="I32" s="4"/>
      <c r="J32" s="4"/>
      <c r="K32" s="133"/>
      <c r="L32" s="29"/>
      <c r="M32" s="29"/>
      <c r="N32" s="29"/>
      <c r="O32" s="29"/>
      <c r="P32" s="29"/>
      <c r="Q32" s="29"/>
      <c r="R32" s="29"/>
      <c r="S32" s="29"/>
      <c r="T32" s="57"/>
      <c r="U32" s="29"/>
      <c r="V32" s="29"/>
      <c r="W32" s="81"/>
      <c r="X32" s="85"/>
      <c r="Y32" s="81"/>
      <c r="AA32" s="72">
        <v>1</v>
      </c>
      <c r="AB32" s="72" t="str">
        <f>VLOOKUP(AA32,detail_maturity_score,3,FALSE)</f>
        <v/>
      </c>
    </row>
    <row r="33" spans="1:28" s="55" customFormat="1" x14ac:dyDescent="0.2">
      <c r="A33" s="27">
        <v>548</v>
      </c>
      <c r="B33" s="28" t="str">
        <f t="shared" si="0"/>
        <v>3.2.05c</v>
      </c>
      <c r="C33" s="29">
        <f t="shared" si="1"/>
        <v>6</v>
      </c>
      <c r="D33" s="3"/>
      <c r="E33" s="4"/>
      <c r="F33" s="4"/>
      <c r="G33" s="4"/>
      <c r="H33" s="4"/>
      <c r="I33" s="4"/>
      <c r="J33" s="4"/>
      <c r="K33" s="133"/>
      <c r="L33" s="29"/>
      <c r="M33" s="29"/>
      <c r="N33" s="29"/>
      <c r="O33" s="29"/>
      <c r="P33" s="29"/>
      <c r="Q33" s="29"/>
      <c r="R33" s="29"/>
      <c r="S33" s="29"/>
      <c r="T33" s="57"/>
      <c r="U33" s="29"/>
      <c r="V33" s="29"/>
      <c r="W33" s="81"/>
      <c r="X33" s="85"/>
      <c r="Y33" s="81"/>
      <c r="AA33" s="72">
        <v>1</v>
      </c>
      <c r="AB33" s="72" t="str">
        <f>VLOOKUP(AA33,detail_maturity_score,3,FALSE)</f>
        <v/>
      </c>
    </row>
    <row r="34" spans="1:28" s="55" customFormat="1" x14ac:dyDescent="0.2">
      <c r="A34" s="27">
        <v>549</v>
      </c>
      <c r="B34" s="28" t="str">
        <f t="shared" si="0"/>
        <v>3.2.06</v>
      </c>
      <c r="C34" s="29">
        <f t="shared" si="1"/>
        <v>5</v>
      </c>
      <c r="D34" s="3"/>
      <c r="E34" s="4"/>
      <c r="F34" s="4"/>
      <c r="G34" s="4"/>
      <c r="H34" s="4"/>
      <c r="I34" s="4"/>
      <c r="J34" s="4"/>
      <c r="K34" s="134"/>
      <c r="L34" s="29"/>
      <c r="M34" s="29"/>
      <c r="N34" s="29"/>
      <c r="O34" s="29"/>
      <c r="P34" s="29"/>
      <c r="Q34" s="29"/>
      <c r="R34" s="29"/>
      <c r="S34" s="29"/>
      <c r="T34" s="57"/>
      <c r="U34" s="29"/>
      <c r="V34" s="29"/>
      <c r="W34" s="81"/>
      <c r="X34" s="85"/>
      <c r="Y34" s="81"/>
      <c r="AA34" s="72">
        <v>1</v>
      </c>
      <c r="AB34" s="72" t="str">
        <f>VLOOKUP(AA34,detail_maturity_score,3,FALSE)</f>
        <v/>
      </c>
    </row>
    <row r="35" spans="1:28" s="55" customFormat="1" ht="19" x14ac:dyDescent="0.2">
      <c r="A35" s="27">
        <v>550</v>
      </c>
      <c r="B35" s="28" t="str">
        <f t="shared" si="0"/>
        <v>3.2.07</v>
      </c>
      <c r="C35" s="29">
        <f t="shared" si="1"/>
        <v>5</v>
      </c>
      <c r="D35" s="3"/>
      <c r="E35" s="4"/>
      <c r="F35" s="4"/>
      <c r="G35" s="4"/>
      <c r="H35" s="4"/>
      <c r="I35" s="4"/>
      <c r="J35" s="4"/>
      <c r="K35" s="136"/>
      <c r="L35" s="37"/>
      <c r="M35" s="37"/>
      <c r="N35" s="37"/>
      <c r="O35" s="37"/>
      <c r="P35" s="37"/>
      <c r="Q35" s="37"/>
      <c r="R35" s="37"/>
      <c r="S35" s="37"/>
      <c r="T35" s="77"/>
      <c r="U35" s="37"/>
      <c r="V35" s="37"/>
      <c r="W35" s="82"/>
      <c r="X35" s="86"/>
      <c r="Y35" s="82"/>
      <c r="Z35" s="56"/>
      <c r="AA35" s="72">
        <v>1</v>
      </c>
      <c r="AB35" s="73" t="str">
        <f>VLOOKUP(AA35,detail_maturity_score,3,FALSE)</f>
        <v/>
      </c>
    </row>
    <row r="36" spans="1:28" s="54" customFormat="1" ht="30" customHeight="1" x14ac:dyDescent="0.2">
      <c r="A36" s="27">
        <v>551</v>
      </c>
      <c r="B36" s="28" t="str">
        <f t="shared" si="0"/>
        <v>3.3</v>
      </c>
      <c r="C36" s="29">
        <f t="shared" si="1"/>
        <v>2</v>
      </c>
      <c r="D36" s="3"/>
      <c r="E36" s="4"/>
      <c r="F36" s="4"/>
      <c r="G36" s="4"/>
      <c r="H36" s="4"/>
      <c r="I36" s="4"/>
      <c r="J36" s="4"/>
      <c r="K36" s="132"/>
      <c r="L36" s="52"/>
      <c r="M36" s="51"/>
      <c r="N36" s="51"/>
      <c r="O36" s="51"/>
      <c r="P36" s="51"/>
      <c r="Q36" s="51"/>
      <c r="R36" s="51"/>
      <c r="S36" s="51"/>
      <c r="T36" s="51"/>
      <c r="U36" s="51"/>
      <c r="V36" s="51"/>
      <c r="W36" s="79"/>
      <c r="X36" s="79"/>
      <c r="Y36" s="83"/>
      <c r="AA36" s="72"/>
      <c r="AB36" s="70"/>
    </row>
    <row r="37" spans="1:28" s="55" customFormat="1" x14ac:dyDescent="0.2">
      <c r="A37" s="27">
        <v>552</v>
      </c>
      <c r="B37" s="28" t="str">
        <f t="shared" si="0"/>
        <v>3.3.01</v>
      </c>
      <c r="C37" s="29">
        <f t="shared" si="1"/>
        <v>5</v>
      </c>
      <c r="D37" s="3"/>
      <c r="E37" s="4"/>
      <c r="F37" s="4"/>
      <c r="G37" s="4"/>
      <c r="H37" s="4"/>
      <c r="I37" s="4"/>
      <c r="J37" s="4"/>
      <c r="K37" s="133"/>
      <c r="L37" s="43"/>
      <c r="M37" s="43"/>
      <c r="N37" s="43"/>
      <c r="O37" s="43"/>
      <c r="P37" s="43"/>
      <c r="Q37" s="43"/>
      <c r="R37" s="43"/>
      <c r="S37" s="43"/>
      <c r="T37" s="78"/>
      <c r="U37" s="43"/>
      <c r="V37" s="43"/>
      <c r="W37" s="80"/>
      <c r="X37" s="84"/>
      <c r="Y37" s="80"/>
      <c r="Z37" s="53"/>
      <c r="AA37" s="72">
        <v>1</v>
      </c>
      <c r="AB37" s="71" t="str">
        <f>VLOOKUP(AA37,detail_maturity_score,3,FALSE)</f>
        <v/>
      </c>
    </row>
    <row r="38" spans="1:28" s="55" customFormat="1" x14ac:dyDescent="0.2">
      <c r="A38" s="27">
        <v>553</v>
      </c>
      <c r="B38" s="28" t="str">
        <f t="shared" si="0"/>
        <v>3.3.02</v>
      </c>
      <c r="C38" s="29">
        <f t="shared" si="1"/>
        <v>5</v>
      </c>
      <c r="D38" s="3"/>
      <c r="E38" s="4"/>
      <c r="F38" s="4"/>
      <c r="G38" s="4"/>
      <c r="H38" s="4"/>
      <c r="I38" s="4"/>
      <c r="J38" s="4"/>
      <c r="K38" s="133"/>
      <c r="L38" s="29"/>
      <c r="M38" s="29"/>
      <c r="N38" s="29"/>
      <c r="O38" s="29"/>
      <c r="P38" s="29"/>
      <c r="Q38" s="29"/>
      <c r="R38" s="29"/>
      <c r="S38" s="29"/>
      <c r="T38" s="57"/>
      <c r="U38" s="29"/>
      <c r="V38" s="29"/>
      <c r="W38" s="81"/>
      <c r="X38" s="85"/>
      <c r="Y38" s="81"/>
      <c r="AA38" s="72">
        <v>1</v>
      </c>
      <c r="AB38" s="72" t="str">
        <f>VLOOKUP(AA38,detail_maturity_score,3,FALSE)</f>
        <v/>
      </c>
    </row>
    <row r="39" spans="1:28" s="55" customFormat="1" x14ac:dyDescent="0.2">
      <c r="A39" s="27">
        <v>554</v>
      </c>
      <c r="B39" s="28" t="str">
        <f t="shared" si="0"/>
        <v>3.3.03</v>
      </c>
      <c r="C39" s="29">
        <f t="shared" si="1"/>
        <v>4</v>
      </c>
      <c r="D39" s="3"/>
      <c r="E39" s="4"/>
      <c r="F39" s="4"/>
      <c r="G39" s="4"/>
      <c r="H39" s="4"/>
      <c r="I39" s="4"/>
      <c r="J39" s="4"/>
      <c r="K39" s="133"/>
      <c r="L39" s="29"/>
      <c r="M39" s="29"/>
      <c r="N39" s="29"/>
      <c r="O39" s="29"/>
      <c r="P39" s="29"/>
      <c r="Q39" s="29"/>
      <c r="R39" s="29"/>
      <c r="S39" s="29"/>
      <c r="T39" s="57"/>
      <c r="U39" s="29"/>
      <c r="V39" s="29"/>
      <c r="W39" s="81"/>
      <c r="X39" s="85"/>
      <c r="Y39" s="81"/>
      <c r="AA39" s="72"/>
      <c r="AB39" s="72"/>
    </row>
    <row r="40" spans="1:28" s="55" customFormat="1" x14ac:dyDescent="0.2">
      <c r="A40" s="27">
        <v>555</v>
      </c>
      <c r="B40" s="28" t="str">
        <f t="shared" si="0"/>
        <v>3.3.03a</v>
      </c>
      <c r="C40" s="29">
        <f t="shared" si="1"/>
        <v>6</v>
      </c>
      <c r="D40" s="3"/>
      <c r="E40" s="4"/>
      <c r="F40" s="4"/>
      <c r="G40" s="4"/>
      <c r="H40" s="4"/>
      <c r="I40" s="4"/>
      <c r="J40" s="4"/>
      <c r="K40" s="133"/>
      <c r="L40" s="29"/>
      <c r="M40" s="29"/>
      <c r="N40" s="29"/>
      <c r="O40" s="29"/>
      <c r="P40" s="29"/>
      <c r="Q40" s="29"/>
      <c r="R40" s="29"/>
      <c r="S40" s="29"/>
      <c r="T40" s="57"/>
      <c r="U40" s="29"/>
      <c r="V40" s="29"/>
      <c r="W40" s="81"/>
      <c r="X40" s="85"/>
      <c r="Y40" s="81"/>
      <c r="AA40" s="72">
        <v>1</v>
      </c>
      <c r="AB40" s="72" t="str">
        <f t="shared" ref="AB40:AB48" si="6">VLOOKUP(AA40,detail_maturity_score,3,FALSE)</f>
        <v/>
      </c>
    </row>
    <row r="41" spans="1:28" s="55" customFormat="1" ht="30" customHeight="1" x14ac:dyDescent="0.2">
      <c r="A41" s="27">
        <v>556</v>
      </c>
      <c r="B41" s="28" t="str">
        <f t="shared" si="0"/>
        <v>3.3.03b</v>
      </c>
      <c r="C41" s="29">
        <f t="shared" si="1"/>
        <v>6</v>
      </c>
      <c r="D41" s="3"/>
      <c r="E41" s="4"/>
      <c r="F41" s="4"/>
      <c r="G41" s="4"/>
      <c r="H41" s="4"/>
      <c r="I41" s="4"/>
      <c r="J41" s="4"/>
      <c r="K41" s="133"/>
      <c r="L41" s="29"/>
      <c r="M41" s="29"/>
      <c r="N41" s="29"/>
      <c r="O41" s="29"/>
      <c r="P41" s="29"/>
      <c r="Q41" s="29"/>
      <c r="R41" s="29"/>
      <c r="S41" s="29"/>
      <c r="T41" s="57"/>
      <c r="U41" s="29"/>
      <c r="V41" s="29"/>
      <c r="W41" s="81"/>
      <c r="X41" s="85"/>
      <c r="Y41" s="81"/>
      <c r="AA41" s="72">
        <v>1</v>
      </c>
      <c r="AB41" s="72" t="str">
        <f t="shared" si="6"/>
        <v/>
      </c>
    </row>
    <row r="42" spans="1:28" s="55" customFormat="1" ht="30" customHeight="1" x14ac:dyDescent="0.2">
      <c r="A42" s="27">
        <v>557</v>
      </c>
      <c r="B42" s="28" t="str">
        <f t="shared" si="0"/>
        <v>3.3.03c</v>
      </c>
      <c r="C42" s="29">
        <f t="shared" si="1"/>
        <v>6</v>
      </c>
      <c r="D42" s="3"/>
      <c r="E42" s="4"/>
      <c r="F42" s="4"/>
      <c r="G42" s="4"/>
      <c r="H42" s="4"/>
      <c r="I42" s="4"/>
      <c r="J42" s="4"/>
      <c r="K42" s="133"/>
      <c r="L42" s="29"/>
      <c r="M42" s="29"/>
      <c r="N42" s="29"/>
      <c r="O42" s="29"/>
      <c r="P42" s="29"/>
      <c r="Q42" s="29"/>
      <c r="R42" s="29"/>
      <c r="S42" s="29"/>
      <c r="T42" s="57"/>
      <c r="U42" s="29"/>
      <c r="V42" s="29"/>
      <c r="W42" s="81"/>
      <c r="X42" s="85"/>
      <c r="Y42" s="81"/>
      <c r="AA42" s="72">
        <v>1</v>
      </c>
      <c r="AB42" s="72" t="str">
        <f t="shared" si="6"/>
        <v/>
      </c>
    </row>
    <row r="43" spans="1:28" s="55" customFormat="1" x14ac:dyDescent="0.2">
      <c r="A43" s="27">
        <v>558</v>
      </c>
      <c r="B43" s="28" t="str">
        <f t="shared" si="0"/>
        <v>3.3.03d</v>
      </c>
      <c r="C43" s="29">
        <f t="shared" si="1"/>
        <v>6</v>
      </c>
      <c r="D43" s="3"/>
      <c r="E43" s="4"/>
      <c r="F43" s="4"/>
      <c r="G43" s="4"/>
      <c r="H43" s="4"/>
      <c r="I43" s="4"/>
      <c r="J43" s="4"/>
      <c r="K43" s="133"/>
      <c r="L43" s="29"/>
      <c r="M43" s="29"/>
      <c r="N43" s="29"/>
      <c r="O43" s="29"/>
      <c r="P43" s="29"/>
      <c r="Q43" s="29"/>
      <c r="R43" s="29"/>
      <c r="S43" s="29"/>
      <c r="T43" s="57"/>
      <c r="U43" s="29"/>
      <c r="V43" s="29"/>
      <c r="W43" s="81"/>
      <c r="X43" s="85"/>
      <c r="Y43" s="81"/>
      <c r="AA43" s="72">
        <v>1</v>
      </c>
      <c r="AB43" s="72" t="str">
        <f t="shared" si="6"/>
        <v/>
      </c>
    </row>
    <row r="44" spans="1:28" s="55" customFormat="1" x14ac:dyDescent="0.2">
      <c r="A44" s="27">
        <v>559</v>
      </c>
      <c r="B44" s="28" t="str">
        <f t="shared" si="0"/>
        <v>3.3.03e</v>
      </c>
      <c r="C44" s="29">
        <f t="shared" si="1"/>
        <v>6</v>
      </c>
      <c r="D44" s="3"/>
      <c r="E44" s="4"/>
      <c r="F44" s="4"/>
      <c r="G44" s="4"/>
      <c r="H44" s="4"/>
      <c r="I44" s="4"/>
      <c r="J44" s="4"/>
      <c r="K44" s="133"/>
      <c r="L44" s="29"/>
      <c r="M44" s="29"/>
      <c r="N44" s="29"/>
      <c r="O44" s="29"/>
      <c r="P44" s="29"/>
      <c r="Q44" s="29"/>
      <c r="R44" s="29"/>
      <c r="S44" s="29"/>
      <c r="T44" s="57"/>
      <c r="U44" s="29"/>
      <c r="V44" s="29"/>
      <c r="W44" s="81"/>
      <c r="X44" s="85"/>
      <c r="Y44" s="81"/>
      <c r="AA44" s="72">
        <v>1</v>
      </c>
      <c r="AB44" s="72" t="str">
        <f t="shared" si="6"/>
        <v/>
      </c>
    </row>
    <row r="45" spans="1:28" s="55" customFormat="1" x14ac:dyDescent="0.2">
      <c r="A45" s="27">
        <v>560</v>
      </c>
      <c r="B45" s="28" t="str">
        <f t="shared" si="0"/>
        <v>3.3.03f</v>
      </c>
      <c r="C45" s="29">
        <f t="shared" si="1"/>
        <v>6</v>
      </c>
      <c r="D45" s="3"/>
      <c r="E45" s="4"/>
      <c r="F45" s="4"/>
      <c r="G45" s="4"/>
      <c r="H45" s="4"/>
      <c r="I45" s="4"/>
      <c r="J45" s="4"/>
      <c r="K45" s="133"/>
      <c r="L45" s="29"/>
      <c r="M45" s="29"/>
      <c r="N45" s="29"/>
      <c r="O45" s="29"/>
      <c r="P45" s="29"/>
      <c r="Q45" s="29"/>
      <c r="R45" s="29"/>
      <c r="S45" s="29"/>
      <c r="T45" s="57"/>
      <c r="U45" s="29"/>
      <c r="V45" s="29"/>
      <c r="W45" s="81"/>
      <c r="X45" s="85"/>
      <c r="Y45" s="81"/>
      <c r="AA45" s="72">
        <v>1</v>
      </c>
      <c r="AB45" s="72" t="str">
        <f t="shared" si="6"/>
        <v/>
      </c>
    </row>
    <row r="46" spans="1:28" s="55" customFormat="1" ht="30" customHeight="1" x14ac:dyDescent="0.2">
      <c r="A46" s="27">
        <v>561</v>
      </c>
      <c r="B46" s="28" t="str">
        <f t="shared" si="0"/>
        <v>3.3.03g</v>
      </c>
      <c r="C46" s="29">
        <f t="shared" si="1"/>
        <v>6</v>
      </c>
      <c r="D46" s="3"/>
      <c r="E46" s="4"/>
      <c r="F46" s="4"/>
      <c r="G46" s="4"/>
      <c r="H46" s="4"/>
      <c r="I46" s="4"/>
      <c r="J46" s="4"/>
      <c r="K46" s="133"/>
      <c r="L46" s="29"/>
      <c r="M46" s="29"/>
      <c r="N46" s="29"/>
      <c r="O46" s="29"/>
      <c r="P46" s="29"/>
      <c r="Q46" s="29"/>
      <c r="R46" s="29"/>
      <c r="S46" s="29"/>
      <c r="T46" s="57"/>
      <c r="U46" s="29"/>
      <c r="V46" s="29"/>
      <c r="W46" s="81"/>
      <c r="X46" s="85"/>
      <c r="Y46" s="81"/>
      <c r="AA46" s="72">
        <v>1</v>
      </c>
      <c r="AB46" s="72" t="str">
        <f t="shared" si="6"/>
        <v/>
      </c>
    </row>
    <row r="47" spans="1:28" s="55" customFormat="1" ht="30" customHeight="1" x14ac:dyDescent="0.2">
      <c r="A47" s="27">
        <v>562</v>
      </c>
      <c r="B47" s="28" t="str">
        <f t="shared" si="0"/>
        <v>3.3.03h</v>
      </c>
      <c r="C47" s="29">
        <f t="shared" si="1"/>
        <v>6</v>
      </c>
      <c r="D47" s="3"/>
      <c r="E47" s="4"/>
      <c r="F47" s="4"/>
      <c r="G47" s="4"/>
      <c r="H47" s="4"/>
      <c r="I47" s="4"/>
      <c r="J47" s="4"/>
      <c r="K47" s="133"/>
      <c r="L47" s="29"/>
      <c r="M47" s="29"/>
      <c r="N47" s="29"/>
      <c r="O47" s="29"/>
      <c r="P47" s="29"/>
      <c r="Q47" s="29"/>
      <c r="R47" s="29"/>
      <c r="S47" s="29"/>
      <c r="T47" s="57"/>
      <c r="U47" s="29"/>
      <c r="V47" s="29"/>
      <c r="W47" s="81"/>
      <c r="X47" s="85"/>
      <c r="Y47" s="81"/>
      <c r="AA47" s="72">
        <v>1</v>
      </c>
      <c r="AB47" s="72" t="str">
        <f t="shared" si="6"/>
        <v/>
      </c>
    </row>
    <row r="48" spans="1:28" s="55" customFormat="1" ht="30" customHeight="1" x14ac:dyDescent="0.2">
      <c r="A48" s="27">
        <v>563</v>
      </c>
      <c r="B48" s="28" t="str">
        <f t="shared" si="0"/>
        <v>3.3.03i</v>
      </c>
      <c r="C48" s="29">
        <f t="shared" si="1"/>
        <v>6</v>
      </c>
      <c r="D48" s="3"/>
      <c r="E48" s="4"/>
      <c r="F48" s="4"/>
      <c r="G48" s="4"/>
      <c r="H48" s="4"/>
      <c r="I48" s="4"/>
      <c r="J48" s="4"/>
      <c r="K48" s="133"/>
      <c r="L48" s="29"/>
      <c r="M48" s="29"/>
      <c r="N48" s="29"/>
      <c r="O48" s="29"/>
      <c r="P48" s="29"/>
      <c r="Q48" s="29"/>
      <c r="R48" s="29"/>
      <c r="S48" s="29"/>
      <c r="T48" s="57"/>
      <c r="U48" s="29"/>
      <c r="V48" s="29"/>
      <c r="W48" s="81"/>
      <c r="X48" s="85"/>
      <c r="Y48" s="81"/>
      <c r="AA48" s="72">
        <v>1</v>
      </c>
      <c r="AB48" s="72" t="str">
        <f t="shared" si="6"/>
        <v/>
      </c>
    </row>
    <row r="49" spans="1:28" s="55" customFormat="1" x14ac:dyDescent="0.2">
      <c r="A49" s="27">
        <v>564</v>
      </c>
      <c r="B49" s="28" t="str">
        <f t="shared" si="0"/>
        <v>3.3.04</v>
      </c>
      <c r="C49" s="29">
        <f t="shared" si="1"/>
        <v>4</v>
      </c>
      <c r="D49" s="3"/>
      <c r="E49" s="4"/>
      <c r="F49" s="4"/>
      <c r="G49" s="4"/>
      <c r="H49" s="4"/>
      <c r="I49" s="4"/>
      <c r="J49" s="4"/>
      <c r="K49" s="133"/>
      <c r="L49" s="29"/>
      <c r="M49" s="29"/>
      <c r="N49" s="29"/>
      <c r="O49" s="29"/>
      <c r="P49" s="29"/>
      <c r="Q49" s="29"/>
      <c r="R49" s="29"/>
      <c r="S49" s="29"/>
      <c r="T49" s="57"/>
      <c r="U49" s="29"/>
      <c r="V49" s="29"/>
      <c r="W49" s="81"/>
      <c r="X49" s="85"/>
      <c r="Y49" s="81"/>
      <c r="AA49" s="72"/>
      <c r="AB49" s="72"/>
    </row>
    <row r="50" spans="1:28" s="55" customFormat="1" x14ac:dyDescent="0.2">
      <c r="A50" s="27">
        <v>565</v>
      </c>
      <c r="B50" s="28" t="str">
        <f t="shared" si="0"/>
        <v>3.3.04a</v>
      </c>
      <c r="C50" s="29">
        <f t="shared" si="1"/>
        <v>6</v>
      </c>
      <c r="D50" s="3"/>
      <c r="E50" s="4"/>
      <c r="F50" s="4"/>
      <c r="G50" s="4"/>
      <c r="H50" s="4"/>
      <c r="I50" s="4"/>
      <c r="J50" s="4"/>
      <c r="K50" s="133"/>
      <c r="L50" s="29"/>
      <c r="M50" s="29"/>
      <c r="N50" s="29"/>
      <c r="O50" s="29"/>
      <c r="P50" s="29"/>
      <c r="Q50" s="29"/>
      <c r="R50" s="29"/>
      <c r="S50" s="29"/>
      <c r="T50" s="57"/>
      <c r="U50" s="29"/>
      <c r="V50" s="29"/>
      <c r="W50" s="81"/>
      <c r="X50" s="85"/>
      <c r="Y50" s="81"/>
      <c r="AA50" s="72">
        <v>1</v>
      </c>
      <c r="AB50" s="72" t="str">
        <f t="shared" ref="AB50:AB57" si="7">VLOOKUP(AA50,detail_maturity_score,3,FALSE)</f>
        <v/>
      </c>
    </row>
    <row r="51" spans="1:28" s="55" customFormat="1" ht="30" customHeight="1" x14ac:dyDescent="0.2">
      <c r="A51" s="27">
        <v>566</v>
      </c>
      <c r="B51" s="28" t="str">
        <f t="shared" si="0"/>
        <v>3.3.04b</v>
      </c>
      <c r="C51" s="29">
        <f t="shared" si="1"/>
        <v>6</v>
      </c>
      <c r="D51" s="3"/>
      <c r="E51" s="4"/>
      <c r="F51" s="4"/>
      <c r="G51" s="4"/>
      <c r="H51" s="4"/>
      <c r="I51" s="4"/>
      <c r="J51" s="4"/>
      <c r="K51" s="133"/>
      <c r="L51" s="29"/>
      <c r="M51" s="29"/>
      <c r="N51" s="29"/>
      <c r="O51" s="29"/>
      <c r="P51" s="29"/>
      <c r="Q51" s="29"/>
      <c r="R51" s="29"/>
      <c r="S51" s="29"/>
      <c r="T51" s="57"/>
      <c r="U51" s="29"/>
      <c r="V51" s="29"/>
      <c r="W51" s="81"/>
      <c r="X51" s="85"/>
      <c r="Y51" s="81"/>
      <c r="AA51" s="72">
        <v>1</v>
      </c>
      <c r="AB51" s="72" t="str">
        <f t="shared" si="7"/>
        <v/>
      </c>
    </row>
    <row r="52" spans="1:28" s="55" customFormat="1" ht="30" customHeight="1" x14ac:dyDescent="0.2">
      <c r="A52" s="27">
        <v>567</v>
      </c>
      <c r="B52" s="28" t="str">
        <f t="shared" si="0"/>
        <v>3.3.04c</v>
      </c>
      <c r="C52" s="29">
        <f t="shared" si="1"/>
        <v>6</v>
      </c>
      <c r="D52" s="3"/>
      <c r="E52" s="4"/>
      <c r="F52" s="4"/>
      <c r="G52" s="4"/>
      <c r="H52" s="4"/>
      <c r="I52" s="4"/>
      <c r="J52" s="4"/>
      <c r="K52" s="133"/>
      <c r="L52" s="29"/>
      <c r="M52" s="29"/>
      <c r="N52" s="29"/>
      <c r="O52" s="29"/>
      <c r="P52" s="29"/>
      <c r="Q52" s="29"/>
      <c r="R52" s="29"/>
      <c r="S52" s="29"/>
      <c r="T52" s="57"/>
      <c r="U52" s="29"/>
      <c r="V52" s="29"/>
      <c r="W52" s="81"/>
      <c r="X52" s="85"/>
      <c r="Y52" s="81"/>
      <c r="AA52" s="72">
        <v>1</v>
      </c>
      <c r="AB52" s="72" t="str">
        <f t="shared" si="7"/>
        <v/>
      </c>
    </row>
    <row r="53" spans="1:28" s="55" customFormat="1" x14ac:dyDescent="0.2">
      <c r="A53" s="27">
        <v>568</v>
      </c>
      <c r="B53" s="28" t="str">
        <f t="shared" si="0"/>
        <v>3.3.04d</v>
      </c>
      <c r="C53" s="29">
        <f t="shared" si="1"/>
        <v>6</v>
      </c>
      <c r="D53" s="3"/>
      <c r="E53" s="4"/>
      <c r="F53" s="4"/>
      <c r="G53" s="4"/>
      <c r="H53" s="4"/>
      <c r="I53" s="4"/>
      <c r="J53" s="4"/>
      <c r="K53" s="133"/>
      <c r="L53" s="29"/>
      <c r="M53" s="29"/>
      <c r="N53" s="29"/>
      <c r="O53" s="29"/>
      <c r="P53" s="29"/>
      <c r="Q53" s="29"/>
      <c r="R53" s="29"/>
      <c r="S53" s="29"/>
      <c r="T53" s="57"/>
      <c r="U53" s="29"/>
      <c r="V53" s="29"/>
      <c r="W53" s="81"/>
      <c r="X53" s="85"/>
      <c r="Y53" s="81"/>
      <c r="AA53" s="72">
        <v>1</v>
      </c>
      <c r="AB53" s="72" t="str">
        <f t="shared" si="7"/>
        <v/>
      </c>
    </row>
    <row r="54" spans="1:28" s="55" customFormat="1" ht="30" customHeight="1" x14ac:dyDescent="0.2">
      <c r="A54" s="27">
        <v>569</v>
      </c>
      <c r="B54" s="28" t="str">
        <f t="shared" si="0"/>
        <v>3.3.04e</v>
      </c>
      <c r="C54" s="29">
        <f t="shared" si="1"/>
        <v>6</v>
      </c>
      <c r="D54" s="3"/>
      <c r="E54" s="4"/>
      <c r="F54" s="4"/>
      <c r="G54" s="4"/>
      <c r="H54" s="4"/>
      <c r="I54" s="4"/>
      <c r="J54" s="4"/>
      <c r="K54" s="133"/>
      <c r="L54" s="29"/>
      <c r="M54" s="29"/>
      <c r="N54" s="29"/>
      <c r="O54" s="29"/>
      <c r="P54" s="29"/>
      <c r="Q54" s="29"/>
      <c r="R54" s="29"/>
      <c r="S54" s="29"/>
      <c r="T54" s="57"/>
      <c r="U54" s="29"/>
      <c r="V54" s="29"/>
      <c r="W54" s="81"/>
      <c r="X54" s="85"/>
      <c r="Y54" s="81"/>
      <c r="AA54" s="72">
        <v>1</v>
      </c>
      <c r="AB54" s="72" t="str">
        <f t="shared" si="7"/>
        <v/>
      </c>
    </row>
    <row r="55" spans="1:28" s="55" customFormat="1" ht="30" customHeight="1" x14ac:dyDescent="0.2">
      <c r="A55" s="27">
        <v>570</v>
      </c>
      <c r="B55" s="28" t="str">
        <f t="shared" si="0"/>
        <v>3.3.05</v>
      </c>
      <c r="C55" s="29">
        <f t="shared" si="1"/>
        <v>5</v>
      </c>
      <c r="D55" s="3"/>
      <c r="E55" s="4"/>
      <c r="F55" s="4"/>
      <c r="G55" s="4"/>
      <c r="H55" s="4"/>
      <c r="I55" s="4"/>
      <c r="J55" s="4"/>
      <c r="K55" s="133"/>
      <c r="L55" s="29"/>
      <c r="M55" s="29"/>
      <c r="N55" s="29"/>
      <c r="O55" s="29"/>
      <c r="P55" s="29"/>
      <c r="Q55" s="29"/>
      <c r="R55" s="29"/>
      <c r="S55" s="29"/>
      <c r="T55" s="57"/>
      <c r="U55" s="29"/>
      <c r="V55" s="29"/>
      <c r="W55" s="81"/>
      <c r="X55" s="85"/>
      <c r="Y55" s="81"/>
      <c r="AA55" s="72">
        <v>1</v>
      </c>
      <c r="AB55" s="72" t="str">
        <f t="shared" si="7"/>
        <v/>
      </c>
    </row>
    <row r="56" spans="1:28" s="55" customFormat="1" x14ac:dyDescent="0.2">
      <c r="A56" s="27">
        <v>571</v>
      </c>
      <c r="B56" s="28" t="str">
        <f t="shared" si="0"/>
        <v>3.3.06</v>
      </c>
      <c r="C56" s="29">
        <f t="shared" si="1"/>
        <v>5</v>
      </c>
      <c r="D56" s="3"/>
      <c r="E56" s="4"/>
      <c r="F56" s="4"/>
      <c r="G56" s="4"/>
      <c r="H56" s="4"/>
      <c r="I56" s="4"/>
      <c r="J56" s="4"/>
      <c r="K56" s="134"/>
      <c r="L56" s="29"/>
      <c r="M56" s="29"/>
      <c r="N56" s="29"/>
      <c r="O56" s="29"/>
      <c r="P56" s="29"/>
      <c r="Q56" s="29"/>
      <c r="R56" s="29"/>
      <c r="S56" s="29"/>
      <c r="T56" s="57"/>
      <c r="U56" s="29"/>
      <c r="V56" s="29"/>
      <c r="W56" s="81"/>
      <c r="X56" s="85"/>
      <c r="Y56" s="81"/>
      <c r="AA56" s="72">
        <v>1</v>
      </c>
      <c r="AB56" s="72" t="str">
        <f t="shared" si="7"/>
        <v/>
      </c>
    </row>
    <row r="57" spans="1:28" s="55" customFormat="1" ht="19" x14ac:dyDescent="0.2">
      <c r="A57" s="27">
        <v>572</v>
      </c>
      <c r="B57" s="28" t="str">
        <f t="shared" si="0"/>
        <v>3.3.07</v>
      </c>
      <c r="C57" s="29">
        <f t="shared" si="1"/>
        <v>5</v>
      </c>
      <c r="D57" s="3"/>
      <c r="E57" s="4"/>
      <c r="F57" s="4"/>
      <c r="G57" s="4"/>
      <c r="H57" s="4"/>
      <c r="I57" s="4"/>
      <c r="J57" s="4"/>
      <c r="K57" s="136"/>
      <c r="L57" s="37"/>
      <c r="M57" s="37"/>
      <c r="N57" s="37"/>
      <c r="O57" s="37"/>
      <c r="P57" s="37"/>
      <c r="Q57" s="37"/>
      <c r="R57" s="37"/>
      <c r="S57" s="37"/>
      <c r="T57" s="77"/>
      <c r="U57" s="37"/>
      <c r="V57" s="37"/>
      <c r="W57" s="82"/>
      <c r="X57" s="86"/>
      <c r="Y57" s="82"/>
      <c r="Z57" s="56"/>
      <c r="AA57" s="72">
        <v>1</v>
      </c>
      <c r="AB57" s="73" t="str">
        <f t="shared" si="7"/>
        <v/>
      </c>
    </row>
    <row r="58" spans="1:28" s="54" customFormat="1" ht="30" customHeight="1" x14ac:dyDescent="0.2">
      <c r="A58" s="27">
        <v>573</v>
      </c>
      <c r="B58" s="28" t="str">
        <f t="shared" si="0"/>
        <v>3.4</v>
      </c>
      <c r="C58" s="29">
        <f t="shared" si="1"/>
        <v>2</v>
      </c>
      <c r="D58" s="3"/>
      <c r="E58" s="4"/>
      <c r="F58" s="4"/>
      <c r="G58" s="4"/>
      <c r="H58" s="4"/>
      <c r="I58" s="4"/>
      <c r="J58" s="4"/>
      <c r="K58" s="132"/>
      <c r="L58" s="52"/>
      <c r="M58" s="51"/>
      <c r="N58" s="51"/>
      <c r="O58" s="51"/>
      <c r="P58" s="51"/>
      <c r="Q58" s="51"/>
      <c r="R58" s="51"/>
      <c r="S58" s="51"/>
      <c r="T58" s="51"/>
      <c r="U58" s="51"/>
      <c r="V58" s="51"/>
      <c r="W58" s="79"/>
      <c r="X58" s="79"/>
      <c r="Y58" s="83"/>
      <c r="AA58" s="72"/>
      <c r="AB58" s="70"/>
    </row>
    <row r="59" spans="1:28" s="55" customFormat="1" ht="30" customHeight="1" x14ac:dyDescent="0.2">
      <c r="A59" s="27">
        <v>574</v>
      </c>
      <c r="B59" s="28" t="str">
        <f t="shared" si="0"/>
        <v>3.4.01</v>
      </c>
      <c r="C59" s="29">
        <f t="shared" si="1"/>
        <v>5</v>
      </c>
      <c r="D59" s="3"/>
      <c r="E59" s="4"/>
      <c r="F59" s="4"/>
      <c r="G59" s="4"/>
      <c r="H59" s="4"/>
      <c r="I59" s="4"/>
      <c r="J59" s="4"/>
      <c r="K59" s="133"/>
      <c r="L59" s="43"/>
      <c r="M59" s="43"/>
      <c r="N59" s="43"/>
      <c r="O59" s="43"/>
      <c r="P59" s="43"/>
      <c r="Q59" s="43"/>
      <c r="R59" s="43"/>
      <c r="S59" s="43"/>
      <c r="T59" s="78"/>
      <c r="U59" s="43"/>
      <c r="V59" s="43"/>
      <c r="W59" s="80"/>
      <c r="X59" s="84"/>
      <c r="Y59" s="80"/>
      <c r="Z59" s="53"/>
      <c r="AA59" s="72">
        <v>1</v>
      </c>
      <c r="AB59" s="71" t="str">
        <f>VLOOKUP(AA59,detail_maturity_score,3,FALSE)</f>
        <v/>
      </c>
    </row>
    <row r="60" spans="1:28" s="55" customFormat="1" ht="30" customHeight="1" x14ac:dyDescent="0.2">
      <c r="A60" s="27">
        <v>575</v>
      </c>
      <c r="B60" s="28" t="str">
        <f t="shared" si="0"/>
        <v>3.4.02</v>
      </c>
      <c r="C60" s="29">
        <f t="shared" si="1"/>
        <v>4</v>
      </c>
      <c r="D60" s="3"/>
      <c r="E60" s="4"/>
      <c r="F60" s="4"/>
      <c r="G60" s="4"/>
      <c r="H60" s="4"/>
      <c r="I60" s="4"/>
      <c r="J60" s="4"/>
      <c r="K60" s="133"/>
      <c r="L60" s="29"/>
      <c r="M60" s="29"/>
      <c r="N60" s="29"/>
      <c r="O60" s="29"/>
      <c r="P60" s="29"/>
      <c r="Q60" s="29"/>
      <c r="R60" s="29"/>
      <c r="S60" s="29"/>
      <c r="T60" s="57"/>
      <c r="U60" s="29"/>
      <c r="V60" s="29"/>
      <c r="W60" s="81"/>
      <c r="X60" s="85"/>
      <c r="Y60" s="81"/>
      <c r="AA60" s="72"/>
      <c r="AB60" s="72"/>
    </row>
    <row r="61" spans="1:28" s="55" customFormat="1" ht="30" customHeight="1" x14ac:dyDescent="0.2">
      <c r="A61" s="27">
        <v>576</v>
      </c>
      <c r="B61" s="28" t="str">
        <f t="shared" si="0"/>
        <v>3.4.02a</v>
      </c>
      <c r="C61" s="29">
        <f t="shared" si="1"/>
        <v>6</v>
      </c>
      <c r="D61" s="3"/>
      <c r="E61" s="4"/>
      <c r="F61" s="4"/>
      <c r="G61" s="4"/>
      <c r="H61" s="4"/>
      <c r="I61" s="4"/>
      <c r="J61" s="4"/>
      <c r="K61" s="133"/>
      <c r="L61" s="29"/>
      <c r="M61" s="29"/>
      <c r="N61" s="29"/>
      <c r="O61" s="29"/>
      <c r="P61" s="29"/>
      <c r="Q61" s="29"/>
      <c r="R61" s="29"/>
      <c r="S61" s="29"/>
      <c r="T61" s="57"/>
      <c r="U61" s="29"/>
      <c r="V61" s="29"/>
      <c r="W61" s="81"/>
      <c r="X61" s="85"/>
      <c r="Y61" s="81"/>
      <c r="AA61" s="72">
        <v>1</v>
      </c>
      <c r="AB61" s="72" t="str">
        <f>VLOOKUP(AA61,detail_maturity_score,3,FALSE)</f>
        <v/>
      </c>
    </row>
    <row r="62" spans="1:28" s="55" customFormat="1" ht="30" customHeight="1" x14ac:dyDescent="0.2">
      <c r="A62" s="27">
        <v>577</v>
      </c>
      <c r="B62" s="28" t="str">
        <f t="shared" si="0"/>
        <v>3.4.02b</v>
      </c>
      <c r="C62" s="29">
        <f t="shared" si="1"/>
        <v>6</v>
      </c>
      <c r="D62" s="3"/>
      <c r="E62" s="4"/>
      <c r="F62" s="4"/>
      <c r="G62" s="4"/>
      <c r="H62" s="4"/>
      <c r="I62" s="4"/>
      <c r="J62" s="4"/>
      <c r="K62" s="133"/>
      <c r="L62" s="29"/>
      <c r="M62" s="29"/>
      <c r="N62" s="29"/>
      <c r="O62" s="29"/>
      <c r="P62" s="29"/>
      <c r="Q62" s="29"/>
      <c r="R62" s="29"/>
      <c r="S62" s="29"/>
      <c r="T62" s="57"/>
      <c r="U62" s="29"/>
      <c r="V62" s="29"/>
      <c r="W62" s="81"/>
      <c r="X62" s="85"/>
      <c r="Y62" s="81"/>
      <c r="AA62" s="72">
        <v>1</v>
      </c>
      <c r="AB62" s="72" t="str">
        <f>VLOOKUP(AA62,detail_maturity_score,3,FALSE)</f>
        <v/>
      </c>
    </row>
    <row r="63" spans="1:28" s="55" customFormat="1" ht="30" customHeight="1" x14ac:dyDescent="0.2">
      <c r="A63" s="27">
        <v>578</v>
      </c>
      <c r="B63" s="28" t="str">
        <f t="shared" si="0"/>
        <v>3.4.02c</v>
      </c>
      <c r="C63" s="29">
        <f t="shared" si="1"/>
        <v>6</v>
      </c>
      <c r="D63" s="3"/>
      <c r="E63" s="4"/>
      <c r="F63" s="4"/>
      <c r="G63" s="4"/>
      <c r="H63" s="4"/>
      <c r="I63" s="4"/>
      <c r="J63" s="4"/>
      <c r="K63" s="133"/>
      <c r="L63" s="29"/>
      <c r="M63" s="29"/>
      <c r="N63" s="29"/>
      <c r="O63" s="29"/>
      <c r="P63" s="29"/>
      <c r="Q63" s="29"/>
      <c r="R63" s="29"/>
      <c r="S63" s="29"/>
      <c r="T63" s="57"/>
      <c r="U63" s="29"/>
      <c r="V63" s="29"/>
      <c r="W63" s="81"/>
      <c r="X63" s="85"/>
      <c r="Y63" s="81"/>
      <c r="AA63" s="72">
        <v>1</v>
      </c>
      <c r="AB63" s="72" t="str">
        <f>VLOOKUP(AA63,detail_maturity_score,3,FALSE)</f>
        <v/>
      </c>
    </row>
    <row r="64" spans="1:28" s="55" customFormat="1" x14ac:dyDescent="0.2">
      <c r="A64" s="27">
        <v>579</v>
      </c>
      <c r="B64" s="28" t="str">
        <f t="shared" si="0"/>
        <v>3.4.02d</v>
      </c>
      <c r="C64" s="29">
        <f t="shared" si="1"/>
        <v>6</v>
      </c>
      <c r="D64" s="3"/>
      <c r="E64" s="4"/>
      <c r="F64" s="4"/>
      <c r="G64" s="4"/>
      <c r="H64" s="4"/>
      <c r="I64" s="4"/>
      <c r="J64" s="4"/>
      <c r="K64" s="133"/>
      <c r="L64" s="29"/>
      <c r="M64" s="29"/>
      <c r="N64" s="29"/>
      <c r="O64" s="29"/>
      <c r="P64" s="29"/>
      <c r="Q64" s="29"/>
      <c r="R64" s="29"/>
      <c r="S64" s="29"/>
      <c r="T64" s="57"/>
      <c r="U64" s="29"/>
      <c r="V64" s="29"/>
      <c r="W64" s="81"/>
      <c r="X64" s="85"/>
      <c r="Y64" s="81"/>
      <c r="AA64" s="72">
        <v>1</v>
      </c>
      <c r="AB64" s="72" t="str">
        <f>VLOOKUP(AA64,detail_maturity_score,3,FALSE)</f>
        <v/>
      </c>
    </row>
    <row r="65" spans="1:28" s="55" customFormat="1" ht="30" customHeight="1" x14ac:dyDescent="0.2">
      <c r="A65" s="27">
        <v>580</v>
      </c>
      <c r="B65" s="28" t="str">
        <f t="shared" si="0"/>
        <v>3.4.03</v>
      </c>
      <c r="C65" s="29">
        <f t="shared" si="1"/>
        <v>4</v>
      </c>
      <c r="D65" s="3"/>
      <c r="E65" s="4"/>
      <c r="F65" s="4"/>
      <c r="G65" s="4"/>
      <c r="H65" s="4"/>
      <c r="I65" s="4"/>
      <c r="J65" s="4"/>
      <c r="K65" s="133"/>
      <c r="L65" s="29"/>
      <c r="M65" s="29"/>
      <c r="N65" s="29"/>
      <c r="O65" s="29"/>
      <c r="P65" s="29"/>
      <c r="Q65" s="29"/>
      <c r="R65" s="29"/>
      <c r="S65" s="29"/>
      <c r="T65" s="57"/>
      <c r="U65" s="29"/>
      <c r="V65" s="29"/>
      <c r="W65" s="81"/>
      <c r="X65" s="85"/>
      <c r="Y65" s="81"/>
      <c r="AA65" s="72"/>
      <c r="AB65" s="72"/>
    </row>
    <row r="66" spans="1:28" s="55" customFormat="1" ht="30" customHeight="1" x14ac:dyDescent="0.2">
      <c r="A66" s="27">
        <v>581</v>
      </c>
      <c r="B66" s="28" t="str">
        <f t="shared" si="0"/>
        <v>3.4.03a</v>
      </c>
      <c r="C66" s="29">
        <f t="shared" si="1"/>
        <v>6</v>
      </c>
      <c r="D66" s="3"/>
      <c r="E66" s="4"/>
      <c r="F66" s="4"/>
      <c r="G66" s="4"/>
      <c r="H66" s="4"/>
      <c r="I66" s="4"/>
      <c r="J66" s="4"/>
      <c r="K66" s="133"/>
      <c r="L66" s="29"/>
      <c r="M66" s="29"/>
      <c r="N66" s="29"/>
      <c r="O66" s="29"/>
      <c r="P66" s="29"/>
      <c r="Q66" s="29"/>
      <c r="R66" s="29"/>
      <c r="S66" s="29"/>
      <c r="T66" s="57"/>
      <c r="U66" s="29"/>
      <c r="V66" s="29"/>
      <c r="W66" s="81"/>
      <c r="X66" s="85"/>
      <c r="Y66" s="81"/>
      <c r="AA66" s="72">
        <v>1</v>
      </c>
      <c r="AB66" s="72" t="str">
        <f>VLOOKUP(AA66,detail_maturity_score,3,FALSE)</f>
        <v/>
      </c>
    </row>
    <row r="67" spans="1:28" s="55" customFormat="1" ht="30" customHeight="1" x14ac:dyDescent="0.2">
      <c r="A67" s="27">
        <v>582</v>
      </c>
      <c r="B67" s="28" t="str">
        <f t="shared" si="0"/>
        <v>3.4.03b</v>
      </c>
      <c r="C67" s="29">
        <f t="shared" si="1"/>
        <v>6</v>
      </c>
      <c r="D67" s="3"/>
      <c r="E67" s="4"/>
      <c r="F67" s="4"/>
      <c r="G67" s="4"/>
      <c r="H67" s="4"/>
      <c r="I67" s="4"/>
      <c r="J67" s="4"/>
      <c r="K67" s="133"/>
      <c r="L67" s="29"/>
      <c r="M67" s="29"/>
      <c r="N67" s="29"/>
      <c r="O67" s="29"/>
      <c r="P67" s="29"/>
      <c r="Q67" s="29"/>
      <c r="R67" s="29"/>
      <c r="S67" s="29"/>
      <c r="T67" s="57"/>
      <c r="U67" s="29"/>
      <c r="V67" s="29"/>
      <c r="W67" s="81"/>
      <c r="X67" s="85"/>
      <c r="Y67" s="81"/>
      <c r="AA67" s="72">
        <v>1</v>
      </c>
      <c r="AB67" s="72" t="str">
        <f>VLOOKUP(AA67,detail_maturity_score,3,FALSE)</f>
        <v/>
      </c>
    </row>
    <row r="68" spans="1:28" s="55" customFormat="1" ht="30" customHeight="1" x14ac:dyDescent="0.2">
      <c r="A68" s="27">
        <v>583</v>
      </c>
      <c r="B68" s="28" t="str">
        <f t="shared" si="0"/>
        <v>3.4.04</v>
      </c>
      <c r="C68" s="29">
        <f t="shared" si="1"/>
        <v>4</v>
      </c>
      <c r="D68" s="3"/>
      <c r="E68" s="4"/>
      <c r="F68" s="4"/>
      <c r="G68" s="4"/>
      <c r="H68" s="4"/>
      <c r="I68" s="4"/>
      <c r="J68" s="4"/>
      <c r="K68" s="133"/>
      <c r="L68" s="29"/>
      <c r="M68" s="29"/>
      <c r="N68" s="29"/>
      <c r="O68" s="29"/>
      <c r="P68" s="29"/>
      <c r="Q68" s="29"/>
      <c r="R68" s="29"/>
      <c r="S68" s="29"/>
      <c r="T68" s="57"/>
      <c r="U68" s="29"/>
      <c r="V68" s="29"/>
      <c r="W68" s="81"/>
      <c r="X68" s="85"/>
      <c r="Y68" s="81"/>
      <c r="AA68" s="72"/>
      <c r="AB68" s="72"/>
    </row>
    <row r="69" spans="1:28" s="55" customFormat="1" x14ac:dyDescent="0.2">
      <c r="A69" s="27">
        <v>584</v>
      </c>
      <c r="B69" s="28" t="str">
        <f t="shared" si="0"/>
        <v>3.4.04a</v>
      </c>
      <c r="C69" s="29">
        <f t="shared" si="1"/>
        <v>6</v>
      </c>
      <c r="D69" s="3"/>
      <c r="E69" s="4"/>
      <c r="F69" s="4"/>
      <c r="G69" s="4"/>
      <c r="H69" s="4"/>
      <c r="I69" s="4"/>
      <c r="J69" s="4"/>
      <c r="K69" s="133"/>
      <c r="L69" s="29"/>
      <c r="M69" s="29"/>
      <c r="N69" s="29"/>
      <c r="O69" s="29"/>
      <c r="P69" s="29"/>
      <c r="Q69" s="29"/>
      <c r="R69" s="29"/>
      <c r="S69" s="29"/>
      <c r="T69" s="57"/>
      <c r="U69" s="29"/>
      <c r="V69" s="29"/>
      <c r="W69" s="81"/>
      <c r="X69" s="85"/>
      <c r="Y69" s="81"/>
      <c r="AA69" s="72">
        <v>1</v>
      </c>
      <c r="AB69" s="72" t="str">
        <f>VLOOKUP(AA69,detail_maturity_score,3,FALSE)</f>
        <v/>
      </c>
    </row>
    <row r="70" spans="1:28" s="55" customFormat="1" ht="30" customHeight="1" x14ac:dyDescent="0.2">
      <c r="A70" s="27">
        <v>585</v>
      </c>
      <c r="B70" s="28" t="str">
        <f t="shared" si="0"/>
        <v>3.4.04b</v>
      </c>
      <c r="C70" s="29">
        <f t="shared" si="1"/>
        <v>6</v>
      </c>
      <c r="D70" s="3"/>
      <c r="E70" s="4"/>
      <c r="F70" s="4"/>
      <c r="G70" s="4"/>
      <c r="H70" s="4"/>
      <c r="I70" s="4"/>
      <c r="J70" s="4"/>
      <c r="K70" s="133"/>
      <c r="L70" s="29"/>
      <c r="M70" s="29"/>
      <c r="N70" s="29"/>
      <c r="O70" s="29"/>
      <c r="P70" s="29"/>
      <c r="Q70" s="29"/>
      <c r="R70" s="29"/>
      <c r="S70" s="29"/>
      <c r="T70" s="57"/>
      <c r="U70" s="29"/>
      <c r="V70" s="29"/>
      <c r="W70" s="81"/>
      <c r="X70" s="85"/>
      <c r="Y70" s="81"/>
      <c r="AA70" s="72">
        <v>1</v>
      </c>
      <c r="AB70" s="72" t="str">
        <f>VLOOKUP(AA70,detail_maturity_score,3,FALSE)</f>
        <v/>
      </c>
    </row>
    <row r="71" spans="1:28" s="55" customFormat="1" ht="30" customHeight="1" x14ac:dyDescent="0.2">
      <c r="A71" s="27">
        <v>586</v>
      </c>
      <c r="B71" s="28" t="str">
        <f t="shared" si="0"/>
        <v>3.4.05</v>
      </c>
      <c r="C71" s="29">
        <f t="shared" si="1"/>
        <v>5</v>
      </c>
      <c r="D71" s="3"/>
      <c r="E71" s="4"/>
      <c r="F71" s="4"/>
      <c r="G71" s="4"/>
      <c r="H71" s="4"/>
      <c r="I71" s="4"/>
      <c r="J71" s="4"/>
      <c r="K71" s="133"/>
      <c r="L71" s="29"/>
      <c r="M71" s="29"/>
      <c r="N71" s="29"/>
      <c r="O71" s="29"/>
      <c r="P71" s="29"/>
      <c r="Q71" s="29"/>
      <c r="R71" s="29"/>
      <c r="S71" s="29"/>
      <c r="T71" s="57"/>
      <c r="U71" s="29"/>
      <c r="V71" s="29"/>
      <c r="W71" s="81"/>
      <c r="X71" s="85"/>
      <c r="Y71" s="81"/>
      <c r="AA71" s="72">
        <v>1</v>
      </c>
      <c r="AB71" s="72" t="str">
        <f>VLOOKUP(AA71,detail_maturity_score,3,FALSE)</f>
        <v/>
      </c>
    </row>
    <row r="72" spans="1:28" s="55" customFormat="1" ht="30" customHeight="1" x14ac:dyDescent="0.2">
      <c r="A72" s="27">
        <v>587</v>
      </c>
      <c r="B72" s="28" t="str">
        <f t="shared" ref="B72:B130" si="8">VLOOKUP(A72,contentref,2,FALSE)</f>
        <v>3.4.06</v>
      </c>
      <c r="C72" s="29">
        <f t="shared" ref="C72:C130" si="9">VLOOKUP(A72,contentref,15,FALSE)</f>
        <v>4</v>
      </c>
      <c r="D72" s="3"/>
      <c r="E72" s="4"/>
      <c r="F72" s="4"/>
      <c r="G72" s="4"/>
      <c r="H72" s="4"/>
      <c r="I72" s="4"/>
      <c r="J72" s="4"/>
      <c r="K72" s="133"/>
      <c r="L72" s="29"/>
      <c r="M72" s="29"/>
      <c r="N72" s="29"/>
      <c r="O72" s="29"/>
      <c r="P72" s="29"/>
      <c r="Q72" s="29"/>
      <c r="R72" s="29"/>
      <c r="S72" s="29"/>
      <c r="T72" s="57"/>
      <c r="U72" s="29"/>
      <c r="V72" s="29"/>
      <c r="W72" s="81"/>
      <c r="X72" s="85"/>
      <c r="Y72" s="81"/>
      <c r="AA72" s="72"/>
      <c r="AB72" s="72"/>
    </row>
    <row r="73" spans="1:28" s="55" customFormat="1" x14ac:dyDescent="0.2">
      <c r="A73" s="27">
        <v>588</v>
      </c>
      <c r="B73" s="28" t="str">
        <f t="shared" si="8"/>
        <v>3.4.06a</v>
      </c>
      <c r="C73" s="29">
        <f t="shared" si="9"/>
        <v>6</v>
      </c>
      <c r="D73" s="3"/>
      <c r="E73" s="4"/>
      <c r="F73" s="4"/>
      <c r="G73" s="4"/>
      <c r="H73" s="4"/>
      <c r="I73" s="4"/>
      <c r="J73" s="4"/>
      <c r="K73" s="133"/>
      <c r="L73" s="29"/>
      <c r="M73" s="29"/>
      <c r="N73" s="29"/>
      <c r="O73" s="29"/>
      <c r="P73" s="29"/>
      <c r="Q73" s="29"/>
      <c r="R73" s="29"/>
      <c r="S73" s="29"/>
      <c r="T73" s="57"/>
      <c r="U73" s="29"/>
      <c r="V73" s="29"/>
      <c r="W73" s="81"/>
      <c r="X73" s="85"/>
      <c r="Y73" s="81"/>
      <c r="AA73" s="72">
        <v>1</v>
      </c>
      <c r="AB73" s="72" t="str">
        <f>VLOOKUP(AA73,detail_maturity_score,3,FALSE)</f>
        <v/>
      </c>
    </row>
    <row r="74" spans="1:28" s="55" customFormat="1" x14ac:dyDescent="0.2">
      <c r="A74" s="27">
        <v>589</v>
      </c>
      <c r="B74" s="28" t="str">
        <f t="shared" si="8"/>
        <v>3.4.06b</v>
      </c>
      <c r="C74" s="29">
        <f t="shared" si="9"/>
        <v>6</v>
      </c>
      <c r="D74" s="3"/>
      <c r="E74" s="4"/>
      <c r="F74" s="4"/>
      <c r="G74" s="4"/>
      <c r="H74" s="4"/>
      <c r="I74" s="4"/>
      <c r="J74" s="4"/>
      <c r="K74" s="133"/>
      <c r="L74" s="29"/>
      <c r="M74" s="29"/>
      <c r="N74" s="29"/>
      <c r="O74" s="29"/>
      <c r="P74" s="29"/>
      <c r="Q74" s="29"/>
      <c r="R74" s="29"/>
      <c r="S74" s="29"/>
      <c r="T74" s="57"/>
      <c r="U74" s="29"/>
      <c r="V74" s="29"/>
      <c r="W74" s="81"/>
      <c r="X74" s="85"/>
      <c r="Y74" s="81"/>
      <c r="AA74" s="72">
        <v>1</v>
      </c>
      <c r="AB74" s="72" t="str">
        <f>VLOOKUP(AA74,detail_maturity_score,3,FALSE)</f>
        <v/>
      </c>
    </row>
    <row r="75" spans="1:28" s="55" customFormat="1" x14ac:dyDescent="0.2">
      <c r="A75" s="27">
        <v>590</v>
      </c>
      <c r="B75" s="28" t="str">
        <f t="shared" si="8"/>
        <v>3.4.07</v>
      </c>
      <c r="C75" s="29">
        <f t="shared" si="9"/>
        <v>4</v>
      </c>
      <c r="D75" s="3"/>
      <c r="E75" s="4"/>
      <c r="F75" s="4"/>
      <c r="G75" s="4"/>
      <c r="H75" s="4"/>
      <c r="I75" s="4"/>
      <c r="J75" s="4"/>
      <c r="K75" s="133"/>
      <c r="L75" s="29"/>
      <c r="M75" s="29"/>
      <c r="N75" s="29"/>
      <c r="O75" s="29"/>
      <c r="P75" s="29"/>
      <c r="Q75" s="29"/>
      <c r="R75" s="29"/>
      <c r="S75" s="29"/>
      <c r="T75" s="57"/>
      <c r="U75" s="29"/>
      <c r="V75" s="29"/>
      <c r="W75" s="81"/>
      <c r="X75" s="85"/>
      <c r="Y75" s="81"/>
      <c r="AA75" s="72"/>
      <c r="AB75" s="72"/>
    </row>
    <row r="76" spans="1:28" s="55" customFormat="1" ht="30" customHeight="1" x14ac:dyDescent="0.2">
      <c r="A76" s="27">
        <v>591</v>
      </c>
      <c r="B76" s="28" t="str">
        <f t="shared" si="8"/>
        <v>3.4.07a</v>
      </c>
      <c r="C76" s="29">
        <f t="shared" si="9"/>
        <v>6</v>
      </c>
      <c r="D76" s="3"/>
      <c r="E76" s="4"/>
      <c r="F76" s="4"/>
      <c r="G76" s="4"/>
      <c r="H76" s="4"/>
      <c r="I76" s="4"/>
      <c r="J76" s="4"/>
      <c r="K76" s="133"/>
      <c r="L76" s="29"/>
      <c r="M76" s="29"/>
      <c r="N76" s="29"/>
      <c r="O76" s="29"/>
      <c r="P76" s="29"/>
      <c r="Q76" s="29"/>
      <c r="R76" s="29"/>
      <c r="S76" s="29"/>
      <c r="T76" s="57"/>
      <c r="U76" s="29"/>
      <c r="V76" s="29"/>
      <c r="W76" s="81"/>
      <c r="X76" s="85"/>
      <c r="Y76" s="81"/>
      <c r="AA76" s="72">
        <v>1</v>
      </c>
      <c r="AB76" s="72" t="str">
        <f>VLOOKUP(AA76,detail_maturity_score,3,FALSE)</f>
        <v/>
      </c>
    </row>
    <row r="77" spans="1:28" s="55" customFormat="1" ht="30" customHeight="1" x14ac:dyDescent="0.2">
      <c r="A77" s="27">
        <v>592</v>
      </c>
      <c r="B77" s="28" t="str">
        <f t="shared" si="8"/>
        <v>3.4.07b</v>
      </c>
      <c r="C77" s="29">
        <f t="shared" si="9"/>
        <v>6</v>
      </c>
      <c r="D77" s="3"/>
      <c r="E77" s="4"/>
      <c r="F77" s="4"/>
      <c r="G77" s="4"/>
      <c r="H77" s="4"/>
      <c r="I77" s="4"/>
      <c r="J77" s="4"/>
      <c r="K77" s="133"/>
      <c r="L77" s="29"/>
      <c r="M77" s="29"/>
      <c r="N77" s="29"/>
      <c r="O77" s="29"/>
      <c r="P77" s="29"/>
      <c r="Q77" s="29"/>
      <c r="R77" s="29"/>
      <c r="S77" s="29"/>
      <c r="T77" s="57"/>
      <c r="U77" s="29"/>
      <c r="V77" s="29"/>
      <c r="W77" s="81"/>
      <c r="X77" s="85"/>
      <c r="Y77" s="81"/>
      <c r="AA77" s="72">
        <v>1</v>
      </c>
      <c r="AB77" s="72" t="str">
        <f>VLOOKUP(AA77,detail_maturity_score,3,FALSE)</f>
        <v/>
      </c>
    </row>
    <row r="78" spans="1:28" s="55" customFormat="1" ht="30" customHeight="1" x14ac:dyDescent="0.2">
      <c r="A78" s="27">
        <v>593</v>
      </c>
      <c r="B78" s="28" t="str">
        <f t="shared" si="8"/>
        <v>3.4.08</v>
      </c>
      <c r="C78" s="29">
        <f t="shared" si="9"/>
        <v>4</v>
      </c>
      <c r="D78" s="3"/>
      <c r="E78" s="4"/>
      <c r="F78" s="4"/>
      <c r="G78" s="4"/>
      <c r="H78" s="4"/>
      <c r="I78" s="4"/>
      <c r="J78" s="4"/>
      <c r="K78" s="133"/>
      <c r="L78" s="29"/>
      <c r="M78" s="29"/>
      <c r="N78" s="29"/>
      <c r="O78" s="29"/>
      <c r="P78" s="29"/>
      <c r="Q78" s="29"/>
      <c r="R78" s="29"/>
      <c r="S78" s="29"/>
      <c r="T78" s="57"/>
      <c r="U78" s="29"/>
      <c r="V78" s="29"/>
      <c r="W78" s="81"/>
      <c r="X78" s="85"/>
      <c r="Y78" s="81"/>
      <c r="AA78" s="72"/>
      <c r="AB78" s="72"/>
    </row>
    <row r="79" spans="1:28" s="55" customFormat="1" ht="30" customHeight="1" x14ac:dyDescent="0.2">
      <c r="A79" s="27">
        <v>594</v>
      </c>
      <c r="B79" s="28" t="str">
        <f t="shared" si="8"/>
        <v>3.4.08a</v>
      </c>
      <c r="C79" s="29">
        <f t="shared" si="9"/>
        <v>6</v>
      </c>
      <c r="D79" s="3"/>
      <c r="E79" s="4"/>
      <c r="F79" s="4"/>
      <c r="G79" s="4"/>
      <c r="H79" s="4"/>
      <c r="I79" s="4"/>
      <c r="J79" s="4"/>
      <c r="K79" s="133"/>
      <c r="L79" s="29"/>
      <c r="M79" s="29"/>
      <c r="N79" s="29"/>
      <c r="O79" s="29"/>
      <c r="P79" s="29"/>
      <c r="Q79" s="29"/>
      <c r="R79" s="29"/>
      <c r="S79" s="29"/>
      <c r="T79" s="57"/>
      <c r="U79" s="29"/>
      <c r="V79" s="29"/>
      <c r="W79" s="81"/>
      <c r="X79" s="85"/>
      <c r="Y79" s="81"/>
      <c r="AA79" s="72">
        <v>1</v>
      </c>
      <c r="AB79" s="72" t="str">
        <f>VLOOKUP(AA79,detail_maturity_score,3,FALSE)</f>
        <v/>
      </c>
    </row>
    <row r="80" spans="1:28" s="55" customFormat="1" ht="30" customHeight="1" x14ac:dyDescent="0.2">
      <c r="A80" s="27">
        <v>595</v>
      </c>
      <c r="B80" s="28" t="str">
        <f t="shared" si="8"/>
        <v>3.4.08b</v>
      </c>
      <c r="C80" s="29">
        <f t="shared" si="9"/>
        <v>6</v>
      </c>
      <c r="D80" s="3"/>
      <c r="E80" s="4"/>
      <c r="F80" s="4"/>
      <c r="G80" s="4"/>
      <c r="H80" s="4"/>
      <c r="I80" s="4"/>
      <c r="J80" s="4"/>
      <c r="K80" s="133"/>
      <c r="L80" s="29"/>
      <c r="M80" s="29"/>
      <c r="N80" s="29"/>
      <c r="O80" s="29"/>
      <c r="P80" s="29"/>
      <c r="Q80" s="29"/>
      <c r="R80" s="29"/>
      <c r="S80" s="29"/>
      <c r="T80" s="57"/>
      <c r="U80" s="29"/>
      <c r="V80" s="29"/>
      <c r="W80" s="81"/>
      <c r="X80" s="85"/>
      <c r="Y80" s="81"/>
      <c r="AA80" s="72">
        <v>1</v>
      </c>
      <c r="AB80" s="72" t="str">
        <f>VLOOKUP(AA80,detail_maturity_score,3,FALSE)</f>
        <v/>
      </c>
    </row>
    <row r="81" spans="1:28" s="55" customFormat="1" ht="30" customHeight="1" x14ac:dyDescent="0.2">
      <c r="A81" s="27">
        <v>596</v>
      </c>
      <c r="B81" s="28" t="str">
        <f t="shared" si="8"/>
        <v>3.4.08c</v>
      </c>
      <c r="C81" s="29">
        <f t="shared" si="9"/>
        <v>6</v>
      </c>
      <c r="D81" s="3"/>
      <c r="E81" s="4"/>
      <c r="F81" s="4"/>
      <c r="G81" s="4"/>
      <c r="H81" s="4"/>
      <c r="I81" s="4"/>
      <c r="J81" s="4"/>
      <c r="K81" s="134"/>
      <c r="L81" s="29"/>
      <c r="M81" s="29"/>
      <c r="N81" s="29"/>
      <c r="O81" s="29"/>
      <c r="P81" s="29"/>
      <c r="Q81" s="29"/>
      <c r="R81" s="29"/>
      <c r="S81" s="29"/>
      <c r="T81" s="57"/>
      <c r="U81" s="29"/>
      <c r="V81" s="29"/>
      <c r="W81" s="81"/>
      <c r="X81" s="85"/>
      <c r="Y81" s="81"/>
      <c r="AA81" s="72">
        <v>1</v>
      </c>
      <c r="AB81" s="72" t="str">
        <f>VLOOKUP(AA81,detail_maturity_score,3,FALSE)</f>
        <v/>
      </c>
    </row>
    <row r="82" spans="1:28" s="55" customFormat="1" ht="19" x14ac:dyDescent="0.2">
      <c r="A82" s="27">
        <v>597</v>
      </c>
      <c r="B82" s="28" t="str">
        <f t="shared" si="8"/>
        <v>3.4.08d</v>
      </c>
      <c r="C82" s="29">
        <f t="shared" si="9"/>
        <v>6</v>
      </c>
      <c r="D82" s="3"/>
      <c r="E82" s="4"/>
      <c r="F82" s="4"/>
      <c r="G82" s="4"/>
      <c r="H82" s="4"/>
      <c r="I82" s="4"/>
      <c r="J82" s="4"/>
      <c r="K82" s="136"/>
      <c r="L82" s="37"/>
      <c r="M82" s="37"/>
      <c r="N82" s="37"/>
      <c r="O82" s="37"/>
      <c r="P82" s="37"/>
      <c r="Q82" s="37"/>
      <c r="R82" s="37"/>
      <c r="S82" s="37"/>
      <c r="T82" s="77"/>
      <c r="U82" s="37"/>
      <c r="V82" s="37"/>
      <c r="W82" s="82"/>
      <c r="X82" s="86"/>
      <c r="Y82" s="82"/>
      <c r="Z82" s="56"/>
      <c r="AA82" s="72">
        <v>1</v>
      </c>
      <c r="AB82" s="73" t="str">
        <f>VLOOKUP(AA82,detail_maturity_score,3,FALSE)</f>
        <v/>
      </c>
    </row>
    <row r="83" spans="1:28" s="54" customFormat="1" ht="30" customHeight="1" x14ac:dyDescent="0.2">
      <c r="A83" s="27">
        <v>598</v>
      </c>
      <c r="B83" s="28" t="str">
        <f t="shared" si="8"/>
        <v>3.5</v>
      </c>
      <c r="C83" s="29">
        <f t="shared" si="9"/>
        <v>2</v>
      </c>
      <c r="D83" s="3"/>
      <c r="E83" s="4"/>
      <c r="F83" s="4"/>
      <c r="G83" s="4"/>
      <c r="H83" s="4"/>
      <c r="I83" s="4"/>
      <c r="J83" s="4"/>
      <c r="K83" s="132"/>
      <c r="L83" s="52"/>
      <c r="M83" s="51"/>
      <c r="N83" s="51"/>
      <c r="O83" s="51"/>
      <c r="P83" s="51"/>
      <c r="Q83" s="51"/>
      <c r="R83" s="51"/>
      <c r="S83" s="51"/>
      <c r="T83" s="51"/>
      <c r="U83" s="51"/>
      <c r="V83" s="51"/>
      <c r="W83" s="79"/>
      <c r="X83" s="79"/>
      <c r="Y83" s="83"/>
      <c r="AA83" s="72"/>
      <c r="AB83" s="70"/>
    </row>
    <row r="84" spans="1:28" s="55" customFormat="1" x14ac:dyDescent="0.2">
      <c r="A84" s="27">
        <v>599</v>
      </c>
      <c r="B84" s="28" t="str">
        <f t="shared" si="8"/>
        <v>3.5.01</v>
      </c>
      <c r="C84" s="29">
        <f t="shared" si="9"/>
        <v>5</v>
      </c>
      <c r="D84" s="3"/>
      <c r="E84" s="4"/>
      <c r="F84" s="4"/>
      <c r="G84" s="4"/>
      <c r="H84" s="4"/>
      <c r="I84" s="4"/>
      <c r="J84" s="4"/>
      <c r="K84" s="133"/>
      <c r="L84" s="43"/>
      <c r="M84" s="43"/>
      <c r="N84" s="43"/>
      <c r="O84" s="43"/>
      <c r="P84" s="43"/>
      <c r="Q84" s="43"/>
      <c r="R84" s="43"/>
      <c r="S84" s="43"/>
      <c r="T84" s="78"/>
      <c r="U84" s="43"/>
      <c r="V84" s="43"/>
      <c r="W84" s="80"/>
      <c r="X84" s="84"/>
      <c r="Y84" s="80"/>
      <c r="Z84" s="53"/>
      <c r="AA84" s="72">
        <v>1</v>
      </c>
      <c r="AB84" s="71" t="str">
        <f>VLOOKUP(AA84,detail_maturity_score,3,FALSE)</f>
        <v/>
      </c>
    </row>
    <row r="85" spans="1:28" s="55" customFormat="1" ht="30" customHeight="1" x14ac:dyDescent="0.2">
      <c r="A85" s="27">
        <v>600</v>
      </c>
      <c r="B85" s="28" t="str">
        <f t="shared" si="8"/>
        <v>3.5.02</v>
      </c>
      <c r="C85" s="29">
        <f t="shared" si="9"/>
        <v>4</v>
      </c>
      <c r="D85" s="3"/>
      <c r="E85" s="4"/>
      <c r="F85" s="4"/>
      <c r="G85" s="4"/>
      <c r="H85" s="4"/>
      <c r="I85" s="4"/>
      <c r="J85" s="4"/>
      <c r="K85" s="133"/>
      <c r="L85" s="29"/>
      <c r="M85" s="29"/>
      <c r="N85" s="29"/>
      <c r="O85" s="29"/>
      <c r="P85" s="29"/>
      <c r="Q85" s="29"/>
      <c r="R85" s="29"/>
      <c r="S85" s="29"/>
      <c r="T85" s="57"/>
      <c r="U85" s="29"/>
      <c r="V85" s="29"/>
      <c r="W85" s="81"/>
      <c r="X85" s="85"/>
      <c r="Y85" s="81"/>
      <c r="AA85" s="72"/>
      <c r="AB85" s="72"/>
    </row>
    <row r="86" spans="1:28" s="55" customFormat="1" ht="30" customHeight="1" x14ac:dyDescent="0.2">
      <c r="A86" s="27">
        <v>601</v>
      </c>
      <c r="B86" s="28" t="str">
        <f t="shared" si="8"/>
        <v>3.5.02a</v>
      </c>
      <c r="C86" s="29">
        <f t="shared" si="9"/>
        <v>6</v>
      </c>
      <c r="D86" s="3"/>
      <c r="E86" s="4"/>
      <c r="F86" s="4"/>
      <c r="G86" s="4"/>
      <c r="H86" s="4"/>
      <c r="I86" s="4"/>
      <c r="J86" s="4"/>
      <c r="K86" s="133"/>
      <c r="L86" s="29"/>
      <c r="M86" s="29"/>
      <c r="N86" s="29"/>
      <c r="O86" s="29"/>
      <c r="P86" s="29"/>
      <c r="Q86" s="29"/>
      <c r="R86" s="29"/>
      <c r="S86" s="29"/>
      <c r="T86" s="57"/>
      <c r="U86" s="29"/>
      <c r="V86" s="29"/>
      <c r="W86" s="81"/>
      <c r="X86" s="85"/>
      <c r="Y86" s="81"/>
      <c r="AA86" s="72">
        <v>1</v>
      </c>
      <c r="AB86" s="72" t="str">
        <f t="shared" ref="AB86:AB94" si="10">VLOOKUP(AA86,detail_maturity_score,3,FALSE)</f>
        <v/>
      </c>
    </row>
    <row r="87" spans="1:28" s="55" customFormat="1" ht="30" customHeight="1" x14ac:dyDescent="0.2">
      <c r="A87" s="27">
        <v>602</v>
      </c>
      <c r="B87" s="28" t="str">
        <f t="shared" si="8"/>
        <v>3.5.02b</v>
      </c>
      <c r="C87" s="29">
        <f t="shared" si="9"/>
        <v>6</v>
      </c>
      <c r="D87" s="3"/>
      <c r="E87" s="4"/>
      <c r="F87" s="4"/>
      <c r="G87" s="4"/>
      <c r="H87" s="4"/>
      <c r="I87" s="4"/>
      <c r="J87" s="4"/>
      <c r="K87" s="133"/>
      <c r="L87" s="29"/>
      <c r="M87" s="29"/>
      <c r="N87" s="29"/>
      <c r="O87" s="29"/>
      <c r="P87" s="29"/>
      <c r="Q87" s="29"/>
      <c r="R87" s="29"/>
      <c r="S87" s="29"/>
      <c r="T87" s="57"/>
      <c r="U87" s="29"/>
      <c r="V87" s="29"/>
      <c r="W87" s="81"/>
      <c r="X87" s="85"/>
      <c r="Y87" s="81"/>
      <c r="AA87" s="72">
        <v>1</v>
      </c>
      <c r="AB87" s="72" t="str">
        <f t="shared" si="10"/>
        <v/>
      </c>
    </row>
    <row r="88" spans="1:28" s="55" customFormat="1" ht="30" customHeight="1" x14ac:dyDescent="0.2">
      <c r="A88" s="27">
        <v>603</v>
      </c>
      <c r="B88" s="28" t="str">
        <f t="shared" si="8"/>
        <v>3.5.02c</v>
      </c>
      <c r="C88" s="29">
        <f t="shared" si="9"/>
        <v>6</v>
      </c>
      <c r="D88" s="3"/>
      <c r="E88" s="4"/>
      <c r="F88" s="4"/>
      <c r="G88" s="4"/>
      <c r="H88" s="4"/>
      <c r="I88" s="4"/>
      <c r="J88" s="4"/>
      <c r="K88" s="133"/>
      <c r="L88" s="29"/>
      <c r="M88" s="29"/>
      <c r="N88" s="29"/>
      <c r="O88" s="29"/>
      <c r="P88" s="29"/>
      <c r="Q88" s="29"/>
      <c r="R88" s="29"/>
      <c r="S88" s="29"/>
      <c r="T88" s="57"/>
      <c r="U88" s="29"/>
      <c r="V88" s="29"/>
      <c r="W88" s="81"/>
      <c r="X88" s="85"/>
      <c r="Y88" s="81"/>
      <c r="AA88" s="72">
        <v>1</v>
      </c>
      <c r="AB88" s="72" t="str">
        <f t="shared" si="10"/>
        <v/>
      </c>
    </row>
    <row r="89" spans="1:28" s="55" customFormat="1" x14ac:dyDescent="0.2">
      <c r="A89" s="27">
        <v>604</v>
      </c>
      <c r="B89" s="28" t="str">
        <f t="shared" si="8"/>
        <v>3.5.02d</v>
      </c>
      <c r="C89" s="29">
        <f t="shared" si="9"/>
        <v>6</v>
      </c>
      <c r="D89" s="3"/>
      <c r="E89" s="4"/>
      <c r="F89" s="4"/>
      <c r="G89" s="4"/>
      <c r="H89" s="4"/>
      <c r="I89" s="4"/>
      <c r="J89" s="4"/>
      <c r="K89" s="133"/>
      <c r="L89" s="29"/>
      <c r="M89" s="29"/>
      <c r="N89" s="29"/>
      <c r="O89" s="29"/>
      <c r="P89" s="29"/>
      <c r="Q89" s="29"/>
      <c r="R89" s="29"/>
      <c r="S89" s="29"/>
      <c r="T89" s="57"/>
      <c r="U89" s="29"/>
      <c r="V89" s="29"/>
      <c r="W89" s="81"/>
      <c r="X89" s="85"/>
      <c r="Y89" s="81"/>
      <c r="AA89" s="72">
        <v>1</v>
      </c>
      <c r="AB89" s="72" t="str">
        <f t="shared" si="10"/>
        <v/>
      </c>
    </row>
    <row r="90" spans="1:28" s="55" customFormat="1" ht="30" customHeight="1" x14ac:dyDescent="0.2">
      <c r="A90" s="27">
        <v>605</v>
      </c>
      <c r="B90" s="28" t="str">
        <f t="shared" si="8"/>
        <v>3.5.02e</v>
      </c>
      <c r="C90" s="29">
        <f t="shared" si="9"/>
        <v>6</v>
      </c>
      <c r="D90" s="3"/>
      <c r="E90" s="4"/>
      <c r="F90" s="4"/>
      <c r="G90" s="4"/>
      <c r="H90" s="4"/>
      <c r="I90" s="4"/>
      <c r="J90" s="4"/>
      <c r="K90" s="133"/>
      <c r="L90" s="29"/>
      <c r="M90" s="29"/>
      <c r="N90" s="29"/>
      <c r="O90" s="29"/>
      <c r="P90" s="29"/>
      <c r="Q90" s="29"/>
      <c r="R90" s="29"/>
      <c r="S90" s="29"/>
      <c r="T90" s="57"/>
      <c r="U90" s="29"/>
      <c r="V90" s="29"/>
      <c r="W90" s="81"/>
      <c r="X90" s="85"/>
      <c r="Y90" s="81"/>
      <c r="AA90" s="72">
        <v>1</v>
      </c>
      <c r="AB90" s="72" t="str">
        <f t="shared" si="10"/>
        <v/>
      </c>
    </row>
    <row r="91" spans="1:28" s="55" customFormat="1" x14ac:dyDescent="0.2">
      <c r="A91" s="27">
        <v>606</v>
      </c>
      <c r="B91" s="28" t="str">
        <f t="shared" si="8"/>
        <v>3.5.03</v>
      </c>
      <c r="C91" s="29">
        <f t="shared" si="9"/>
        <v>5</v>
      </c>
      <c r="D91" s="3"/>
      <c r="E91" s="4"/>
      <c r="F91" s="4"/>
      <c r="G91" s="4"/>
      <c r="H91" s="4"/>
      <c r="I91" s="4"/>
      <c r="J91" s="4"/>
      <c r="K91" s="133"/>
      <c r="L91" s="29"/>
      <c r="M91" s="29"/>
      <c r="N91" s="29"/>
      <c r="O91" s="29"/>
      <c r="P91" s="29"/>
      <c r="Q91" s="29"/>
      <c r="R91" s="29"/>
      <c r="S91" s="29"/>
      <c r="T91" s="57"/>
      <c r="U91" s="29"/>
      <c r="V91" s="29"/>
      <c r="W91" s="81"/>
      <c r="X91" s="85"/>
      <c r="Y91" s="81"/>
      <c r="AA91" s="72">
        <v>1</v>
      </c>
      <c r="AB91" s="72" t="str">
        <f t="shared" si="10"/>
        <v/>
      </c>
    </row>
    <row r="92" spans="1:28" s="55" customFormat="1" ht="30" customHeight="1" x14ac:dyDescent="0.2">
      <c r="A92" s="27">
        <v>607</v>
      </c>
      <c r="B92" s="28" t="str">
        <f t="shared" si="8"/>
        <v>3.5.04</v>
      </c>
      <c r="C92" s="29">
        <f t="shared" si="9"/>
        <v>5</v>
      </c>
      <c r="D92" s="3"/>
      <c r="E92" s="4"/>
      <c r="F92" s="4"/>
      <c r="G92" s="4"/>
      <c r="H92" s="4"/>
      <c r="I92" s="4"/>
      <c r="J92" s="4"/>
      <c r="K92" s="133"/>
      <c r="L92" s="29"/>
      <c r="M92" s="29"/>
      <c r="N92" s="29"/>
      <c r="O92" s="29"/>
      <c r="P92" s="29"/>
      <c r="Q92" s="29"/>
      <c r="R92" s="29"/>
      <c r="S92" s="29"/>
      <c r="T92" s="57"/>
      <c r="U92" s="29"/>
      <c r="V92" s="29"/>
      <c r="W92" s="81"/>
      <c r="X92" s="85"/>
      <c r="Y92" s="81"/>
      <c r="AA92" s="72">
        <v>1</v>
      </c>
      <c r="AB92" s="72" t="str">
        <f t="shared" si="10"/>
        <v/>
      </c>
    </row>
    <row r="93" spans="1:28" s="55" customFormat="1" x14ac:dyDescent="0.2">
      <c r="A93" s="27">
        <v>608</v>
      </c>
      <c r="B93" s="28" t="str">
        <f t="shared" si="8"/>
        <v>3.5.04a</v>
      </c>
      <c r="C93" s="29">
        <f t="shared" si="9"/>
        <v>6</v>
      </c>
      <c r="D93" s="3"/>
      <c r="E93" s="4"/>
      <c r="F93" s="4"/>
      <c r="G93" s="4"/>
      <c r="H93" s="4"/>
      <c r="I93" s="4"/>
      <c r="J93" s="4"/>
      <c r="K93" s="133"/>
      <c r="L93" s="29"/>
      <c r="M93" s="29"/>
      <c r="N93" s="29"/>
      <c r="O93" s="29"/>
      <c r="P93" s="29"/>
      <c r="Q93" s="29"/>
      <c r="R93" s="29"/>
      <c r="S93" s="29"/>
      <c r="T93" s="57"/>
      <c r="U93" s="29"/>
      <c r="V93" s="29"/>
      <c r="W93" s="81"/>
      <c r="X93" s="85"/>
      <c r="Y93" s="81"/>
      <c r="AA93" s="72">
        <v>1</v>
      </c>
      <c r="AB93" s="72" t="str">
        <f t="shared" si="10"/>
        <v/>
      </c>
    </row>
    <row r="94" spans="1:28" s="55" customFormat="1" ht="30" customHeight="1" x14ac:dyDescent="0.2">
      <c r="A94" s="27">
        <v>609</v>
      </c>
      <c r="B94" s="28" t="str">
        <f t="shared" si="8"/>
        <v>3.5.04b</v>
      </c>
      <c r="C94" s="29">
        <f t="shared" si="9"/>
        <v>6</v>
      </c>
      <c r="D94" s="3"/>
      <c r="E94" s="4"/>
      <c r="F94" s="4"/>
      <c r="G94" s="4"/>
      <c r="H94" s="4"/>
      <c r="I94" s="4"/>
      <c r="J94" s="4"/>
      <c r="K94" s="133"/>
      <c r="L94" s="29"/>
      <c r="M94" s="29"/>
      <c r="N94" s="29"/>
      <c r="O94" s="29"/>
      <c r="P94" s="29"/>
      <c r="Q94" s="29"/>
      <c r="R94" s="29"/>
      <c r="S94" s="29"/>
      <c r="T94" s="57"/>
      <c r="U94" s="29"/>
      <c r="V94" s="29"/>
      <c r="W94" s="81"/>
      <c r="X94" s="85"/>
      <c r="Y94" s="81"/>
      <c r="AA94" s="72">
        <v>1</v>
      </c>
      <c r="AB94" s="72" t="str">
        <f t="shared" si="10"/>
        <v/>
      </c>
    </row>
    <row r="95" spans="1:28" s="55" customFormat="1" x14ac:dyDescent="0.2">
      <c r="A95" s="27">
        <v>610</v>
      </c>
      <c r="B95" s="28" t="str">
        <f t="shared" si="8"/>
        <v>3.5.05</v>
      </c>
      <c r="C95" s="29">
        <f t="shared" si="9"/>
        <v>4</v>
      </c>
      <c r="D95" s="3"/>
      <c r="E95" s="4"/>
      <c r="F95" s="4"/>
      <c r="G95" s="4"/>
      <c r="H95" s="4"/>
      <c r="I95" s="4"/>
      <c r="J95" s="4"/>
      <c r="K95" s="133"/>
      <c r="L95" s="29"/>
      <c r="M95" s="29"/>
      <c r="N95" s="29"/>
      <c r="O95" s="29"/>
      <c r="P95" s="29"/>
      <c r="Q95" s="29"/>
      <c r="R95" s="29"/>
      <c r="S95" s="29"/>
      <c r="T95" s="57"/>
      <c r="U95" s="29"/>
      <c r="V95" s="29"/>
      <c r="W95" s="81"/>
      <c r="X95" s="85"/>
      <c r="Y95" s="81"/>
      <c r="AA95" s="72"/>
      <c r="AB95" s="72"/>
    </row>
    <row r="96" spans="1:28" s="55" customFormat="1" ht="30" customHeight="1" x14ac:dyDescent="0.2">
      <c r="A96" s="27">
        <v>611</v>
      </c>
      <c r="B96" s="28" t="str">
        <f t="shared" si="8"/>
        <v>3.5.05a</v>
      </c>
      <c r="C96" s="29">
        <f t="shared" si="9"/>
        <v>6</v>
      </c>
      <c r="D96" s="3"/>
      <c r="E96" s="4"/>
      <c r="F96" s="4"/>
      <c r="G96" s="4"/>
      <c r="H96" s="4"/>
      <c r="I96" s="4"/>
      <c r="J96" s="4"/>
      <c r="K96" s="133"/>
      <c r="L96" s="29"/>
      <c r="M96" s="29"/>
      <c r="N96" s="29"/>
      <c r="O96" s="29"/>
      <c r="P96" s="29"/>
      <c r="Q96" s="29"/>
      <c r="R96" s="29"/>
      <c r="S96" s="29"/>
      <c r="T96" s="57"/>
      <c r="U96" s="29"/>
      <c r="V96" s="29"/>
      <c r="W96" s="81"/>
      <c r="X96" s="85"/>
      <c r="Y96" s="81"/>
      <c r="AA96" s="72">
        <v>1</v>
      </c>
      <c r="AB96" s="72" t="str">
        <f>VLOOKUP(AA96,detail_maturity_score,3,FALSE)</f>
        <v/>
      </c>
    </row>
    <row r="97" spans="1:28" s="55" customFormat="1" ht="30" customHeight="1" x14ac:dyDescent="0.2">
      <c r="A97" s="27">
        <v>612</v>
      </c>
      <c r="B97" s="28" t="str">
        <f t="shared" si="8"/>
        <v>3.5.05b</v>
      </c>
      <c r="C97" s="29">
        <f t="shared" si="9"/>
        <v>6</v>
      </c>
      <c r="D97" s="3"/>
      <c r="E97" s="4"/>
      <c r="F97" s="4"/>
      <c r="G97" s="4"/>
      <c r="H97" s="4"/>
      <c r="I97" s="4"/>
      <c r="J97" s="4"/>
      <c r="K97" s="133"/>
      <c r="L97" s="29"/>
      <c r="M97" s="29"/>
      <c r="N97" s="29"/>
      <c r="O97" s="29"/>
      <c r="P97" s="29"/>
      <c r="Q97" s="29"/>
      <c r="R97" s="29"/>
      <c r="S97" s="29"/>
      <c r="T97" s="57"/>
      <c r="U97" s="29"/>
      <c r="V97" s="29"/>
      <c r="W97" s="81"/>
      <c r="X97" s="85"/>
      <c r="Y97" s="81"/>
      <c r="AA97" s="72">
        <v>1</v>
      </c>
      <c r="AB97" s="72" t="str">
        <f>VLOOKUP(AA97,detail_maturity_score,3,FALSE)</f>
        <v/>
      </c>
    </row>
    <row r="98" spans="1:28" s="55" customFormat="1" ht="30" customHeight="1" x14ac:dyDescent="0.2">
      <c r="A98" s="27">
        <v>613</v>
      </c>
      <c r="B98" s="28" t="str">
        <f t="shared" si="8"/>
        <v>3.5.05c</v>
      </c>
      <c r="C98" s="29">
        <f t="shared" si="9"/>
        <v>6</v>
      </c>
      <c r="D98" s="3"/>
      <c r="E98" s="4"/>
      <c r="F98" s="4"/>
      <c r="G98" s="4"/>
      <c r="H98" s="4"/>
      <c r="I98" s="4"/>
      <c r="J98" s="4"/>
      <c r="K98" s="133"/>
      <c r="L98" s="29"/>
      <c r="M98" s="29"/>
      <c r="N98" s="29"/>
      <c r="O98" s="29"/>
      <c r="P98" s="29"/>
      <c r="Q98" s="29"/>
      <c r="R98" s="29"/>
      <c r="S98" s="29"/>
      <c r="T98" s="57"/>
      <c r="U98" s="29"/>
      <c r="V98" s="29"/>
      <c r="W98" s="81"/>
      <c r="X98" s="85"/>
      <c r="Y98" s="81"/>
      <c r="AA98" s="72">
        <v>1</v>
      </c>
      <c r="AB98" s="72" t="str">
        <f>VLOOKUP(AA98,detail_maturity_score,3,FALSE)</f>
        <v/>
      </c>
    </row>
    <row r="99" spans="1:28" s="55" customFormat="1" ht="30" customHeight="1" x14ac:dyDescent="0.2">
      <c r="A99" s="27">
        <v>614</v>
      </c>
      <c r="B99" s="28" t="str">
        <f t="shared" si="8"/>
        <v>3.5.05d</v>
      </c>
      <c r="C99" s="29">
        <f t="shared" si="9"/>
        <v>6</v>
      </c>
      <c r="D99" s="3"/>
      <c r="E99" s="4"/>
      <c r="F99" s="4"/>
      <c r="G99" s="4"/>
      <c r="H99" s="4"/>
      <c r="I99" s="4"/>
      <c r="J99" s="4"/>
      <c r="K99" s="133"/>
      <c r="L99" s="29"/>
      <c r="M99" s="29"/>
      <c r="N99" s="29"/>
      <c r="O99" s="29"/>
      <c r="P99" s="29"/>
      <c r="Q99" s="29"/>
      <c r="R99" s="29"/>
      <c r="S99" s="29"/>
      <c r="T99" s="57"/>
      <c r="U99" s="29"/>
      <c r="V99" s="29"/>
      <c r="W99" s="81"/>
      <c r="X99" s="85"/>
      <c r="Y99" s="81"/>
      <c r="AA99" s="72">
        <v>1</v>
      </c>
      <c r="AB99" s="72" t="str">
        <f>VLOOKUP(AA99,detail_maturity_score,3,FALSE)</f>
        <v/>
      </c>
    </row>
    <row r="100" spans="1:28" s="55" customFormat="1" ht="30" customHeight="1" x14ac:dyDescent="0.2">
      <c r="A100" s="27">
        <v>615</v>
      </c>
      <c r="B100" s="28" t="str">
        <f t="shared" si="8"/>
        <v>3.5.05e</v>
      </c>
      <c r="C100" s="29">
        <f t="shared" si="9"/>
        <v>6</v>
      </c>
      <c r="D100" s="3"/>
      <c r="E100" s="4"/>
      <c r="F100" s="4"/>
      <c r="G100" s="4"/>
      <c r="H100" s="4"/>
      <c r="I100" s="4"/>
      <c r="J100" s="4"/>
      <c r="K100" s="133"/>
      <c r="L100" s="29"/>
      <c r="M100" s="29"/>
      <c r="N100" s="29"/>
      <c r="O100" s="29"/>
      <c r="P100" s="29"/>
      <c r="Q100" s="29"/>
      <c r="R100" s="29"/>
      <c r="S100" s="29"/>
      <c r="T100" s="57"/>
      <c r="U100" s="29"/>
      <c r="V100" s="29"/>
      <c r="W100" s="81"/>
      <c r="X100" s="85"/>
      <c r="Y100" s="81"/>
      <c r="AA100" s="72">
        <v>1</v>
      </c>
      <c r="AB100" s="72" t="str">
        <f>VLOOKUP(AA100,detail_maturity_score,3,FALSE)</f>
        <v/>
      </c>
    </row>
    <row r="101" spans="1:28" s="55" customFormat="1" ht="30" customHeight="1" x14ac:dyDescent="0.2">
      <c r="A101" s="27">
        <v>616</v>
      </c>
      <c r="B101" s="28" t="str">
        <f t="shared" si="8"/>
        <v>3.5.06</v>
      </c>
      <c r="C101" s="29">
        <f t="shared" si="9"/>
        <v>4</v>
      </c>
      <c r="D101" s="3"/>
      <c r="E101" s="4"/>
      <c r="F101" s="4"/>
      <c r="G101" s="4"/>
      <c r="H101" s="4"/>
      <c r="I101" s="4"/>
      <c r="J101" s="4"/>
      <c r="K101" s="133"/>
      <c r="L101" s="29"/>
      <c r="M101" s="29"/>
      <c r="N101" s="29"/>
      <c r="O101" s="29"/>
      <c r="P101" s="29"/>
      <c r="Q101" s="29"/>
      <c r="R101" s="29"/>
      <c r="S101" s="29"/>
      <c r="T101" s="57"/>
      <c r="U101" s="29"/>
      <c r="V101" s="29"/>
      <c r="W101" s="81"/>
      <c r="X101" s="85"/>
      <c r="Y101" s="81"/>
      <c r="AA101" s="72"/>
      <c r="AB101" s="72"/>
    </row>
    <row r="102" spans="1:28" s="55" customFormat="1" ht="30" customHeight="1" x14ac:dyDescent="0.2">
      <c r="A102" s="27">
        <v>617</v>
      </c>
      <c r="B102" s="28" t="str">
        <f t="shared" si="8"/>
        <v>3.5.06a</v>
      </c>
      <c r="C102" s="29">
        <f t="shared" si="9"/>
        <v>6</v>
      </c>
      <c r="D102" s="3"/>
      <c r="E102" s="4"/>
      <c r="F102" s="4"/>
      <c r="G102" s="4"/>
      <c r="H102" s="4"/>
      <c r="I102" s="4"/>
      <c r="J102" s="4"/>
      <c r="K102" s="133"/>
      <c r="L102" s="29"/>
      <c r="M102" s="29"/>
      <c r="N102" s="29"/>
      <c r="O102" s="29"/>
      <c r="P102" s="29"/>
      <c r="Q102" s="29"/>
      <c r="R102" s="29"/>
      <c r="S102" s="29"/>
      <c r="T102" s="57"/>
      <c r="U102" s="29"/>
      <c r="V102" s="29"/>
      <c r="W102" s="81"/>
      <c r="X102" s="85"/>
      <c r="Y102" s="81"/>
      <c r="AA102" s="72">
        <v>1</v>
      </c>
      <c r="AB102" s="72" t="str">
        <f>VLOOKUP(AA102,detail_maturity_score,3,FALSE)</f>
        <v/>
      </c>
    </row>
    <row r="103" spans="1:28" s="55" customFormat="1" ht="30" customHeight="1" x14ac:dyDescent="0.2">
      <c r="A103" s="27">
        <v>618</v>
      </c>
      <c r="B103" s="28" t="str">
        <f t="shared" si="8"/>
        <v>3.5.06b</v>
      </c>
      <c r="C103" s="29">
        <f t="shared" si="9"/>
        <v>6</v>
      </c>
      <c r="D103" s="3"/>
      <c r="E103" s="4"/>
      <c r="F103" s="4"/>
      <c r="G103" s="4"/>
      <c r="H103" s="4"/>
      <c r="I103" s="4"/>
      <c r="J103" s="4"/>
      <c r="K103" s="134"/>
      <c r="L103" s="29"/>
      <c r="M103" s="29"/>
      <c r="N103" s="29"/>
      <c r="O103" s="29"/>
      <c r="P103" s="29"/>
      <c r="Q103" s="29"/>
      <c r="R103" s="29"/>
      <c r="S103" s="29"/>
      <c r="T103" s="57"/>
      <c r="U103" s="29"/>
      <c r="V103" s="29"/>
      <c r="W103" s="81"/>
      <c r="X103" s="85"/>
      <c r="Y103" s="81"/>
      <c r="AA103" s="72">
        <v>1</v>
      </c>
      <c r="AB103" s="72" t="str">
        <f>VLOOKUP(AA103,detail_maturity_score,3,FALSE)</f>
        <v/>
      </c>
    </row>
    <row r="104" spans="1:28" s="55" customFormat="1" ht="19" x14ac:dyDescent="0.2">
      <c r="A104" s="27">
        <v>619</v>
      </c>
      <c r="B104" s="28" t="str">
        <f t="shared" si="8"/>
        <v>3.5.07</v>
      </c>
      <c r="C104" s="29">
        <f t="shared" si="9"/>
        <v>5</v>
      </c>
      <c r="D104" s="3"/>
      <c r="E104" s="4"/>
      <c r="F104" s="4"/>
      <c r="G104" s="4"/>
      <c r="H104" s="4"/>
      <c r="I104" s="4"/>
      <c r="J104" s="4"/>
      <c r="K104" s="136"/>
      <c r="L104" s="37"/>
      <c r="M104" s="37"/>
      <c r="N104" s="37"/>
      <c r="O104" s="37"/>
      <c r="P104" s="37"/>
      <c r="Q104" s="37"/>
      <c r="R104" s="37"/>
      <c r="S104" s="37"/>
      <c r="T104" s="77"/>
      <c r="U104" s="37"/>
      <c r="V104" s="37"/>
      <c r="W104" s="82"/>
      <c r="X104" s="86"/>
      <c r="Y104" s="82"/>
      <c r="Z104" s="56"/>
      <c r="AA104" s="72">
        <v>1</v>
      </c>
      <c r="AB104" s="73" t="str">
        <f>VLOOKUP(AA104,detail_maturity_score,3,FALSE)</f>
        <v/>
      </c>
    </row>
    <row r="105" spans="1:28" s="54" customFormat="1" ht="30" customHeight="1" x14ac:dyDescent="0.2">
      <c r="A105" s="27">
        <v>620</v>
      </c>
      <c r="B105" s="28" t="str">
        <f t="shared" si="8"/>
        <v>3.6</v>
      </c>
      <c r="C105" s="29">
        <f t="shared" si="9"/>
        <v>2</v>
      </c>
      <c r="D105" s="3"/>
      <c r="E105" s="4"/>
      <c r="F105" s="4"/>
      <c r="G105" s="4"/>
      <c r="H105" s="4"/>
      <c r="I105" s="4"/>
      <c r="J105" s="4"/>
      <c r="K105" s="132"/>
      <c r="L105" s="52"/>
      <c r="M105" s="51"/>
      <c r="N105" s="51"/>
      <c r="O105" s="51"/>
      <c r="P105" s="51"/>
      <c r="Q105" s="51"/>
      <c r="R105" s="51"/>
      <c r="S105" s="51"/>
      <c r="T105" s="51"/>
      <c r="U105" s="51"/>
      <c r="V105" s="51"/>
      <c r="W105" s="79"/>
      <c r="X105" s="79"/>
      <c r="Y105" s="83"/>
      <c r="AA105" s="72"/>
      <c r="AB105" s="70"/>
    </row>
    <row r="106" spans="1:28" s="55" customFormat="1" ht="30" customHeight="1" x14ac:dyDescent="0.2">
      <c r="A106" s="27">
        <v>621</v>
      </c>
      <c r="B106" s="28" t="str">
        <f t="shared" si="8"/>
        <v>3.6.01</v>
      </c>
      <c r="C106" s="29">
        <f t="shared" si="9"/>
        <v>5</v>
      </c>
      <c r="D106" s="3"/>
      <c r="E106" s="4"/>
      <c r="F106" s="4"/>
      <c r="G106" s="4"/>
      <c r="H106" s="4"/>
      <c r="I106" s="4"/>
      <c r="J106" s="4"/>
      <c r="K106" s="133"/>
      <c r="L106" s="43"/>
      <c r="M106" s="43"/>
      <c r="N106" s="43"/>
      <c r="O106" s="43"/>
      <c r="P106" s="43"/>
      <c r="Q106" s="43"/>
      <c r="R106" s="43"/>
      <c r="S106" s="43"/>
      <c r="T106" s="78"/>
      <c r="U106" s="43"/>
      <c r="V106" s="43"/>
      <c r="W106" s="80"/>
      <c r="X106" s="84"/>
      <c r="Y106" s="80"/>
      <c r="Z106" s="53"/>
      <c r="AA106" s="72">
        <v>1</v>
      </c>
      <c r="AB106" s="71" t="str">
        <f>VLOOKUP(AA106,detail_maturity_score,3,FALSE)</f>
        <v/>
      </c>
    </row>
    <row r="107" spans="1:28" s="55" customFormat="1" ht="30" customHeight="1" x14ac:dyDescent="0.2">
      <c r="A107" s="27">
        <v>622</v>
      </c>
      <c r="B107" s="28" t="str">
        <f t="shared" si="8"/>
        <v>3.6.02</v>
      </c>
      <c r="C107" s="29">
        <f t="shared" si="9"/>
        <v>5</v>
      </c>
      <c r="D107" s="3"/>
      <c r="E107" s="4"/>
      <c r="F107" s="4"/>
      <c r="G107" s="4"/>
      <c r="H107" s="4"/>
      <c r="I107" s="4"/>
      <c r="J107" s="4"/>
      <c r="K107" s="133"/>
      <c r="L107" s="29"/>
      <c r="M107" s="29"/>
      <c r="N107" s="29"/>
      <c r="O107" s="29"/>
      <c r="P107" s="29"/>
      <c r="Q107" s="29"/>
      <c r="R107" s="29"/>
      <c r="S107" s="29"/>
      <c r="T107" s="57"/>
      <c r="U107" s="29"/>
      <c r="V107" s="29"/>
      <c r="W107" s="81"/>
      <c r="X107" s="85"/>
      <c r="Y107" s="81"/>
      <c r="AA107" s="72">
        <v>1</v>
      </c>
      <c r="AB107" s="72" t="str">
        <f>VLOOKUP(AA107,detail_maturity_score,3,FALSE)</f>
        <v/>
      </c>
    </row>
    <row r="108" spans="1:28" s="55" customFormat="1" x14ac:dyDescent="0.2">
      <c r="A108" s="27">
        <v>623</v>
      </c>
      <c r="B108" s="28" t="str">
        <f t="shared" si="8"/>
        <v>3.6.03</v>
      </c>
      <c r="C108" s="29">
        <f t="shared" si="9"/>
        <v>4</v>
      </c>
      <c r="D108" s="3"/>
      <c r="E108" s="4"/>
      <c r="F108" s="4"/>
      <c r="G108" s="4"/>
      <c r="H108" s="4"/>
      <c r="I108" s="4"/>
      <c r="J108" s="4"/>
      <c r="K108" s="133"/>
      <c r="L108" s="29"/>
      <c r="M108" s="29"/>
      <c r="N108" s="29"/>
      <c r="O108" s="29"/>
      <c r="P108" s="29"/>
      <c r="Q108" s="29"/>
      <c r="R108" s="29"/>
      <c r="S108" s="29"/>
      <c r="T108" s="57"/>
      <c r="U108" s="29"/>
      <c r="V108" s="29"/>
      <c r="W108" s="81"/>
      <c r="X108" s="85"/>
      <c r="Y108" s="81"/>
      <c r="AA108" s="72"/>
      <c r="AB108" s="72"/>
    </row>
    <row r="109" spans="1:28" s="55" customFormat="1" ht="30" customHeight="1" x14ac:dyDescent="0.2">
      <c r="A109" s="27">
        <v>624</v>
      </c>
      <c r="B109" s="28" t="str">
        <f t="shared" si="8"/>
        <v>3.6.03a</v>
      </c>
      <c r="C109" s="29">
        <f t="shared" si="9"/>
        <v>6</v>
      </c>
      <c r="D109" s="3"/>
      <c r="E109" s="4"/>
      <c r="F109" s="4"/>
      <c r="G109" s="4"/>
      <c r="H109" s="4"/>
      <c r="I109" s="4"/>
      <c r="J109" s="4"/>
      <c r="K109" s="133"/>
      <c r="L109" s="29"/>
      <c r="M109" s="29"/>
      <c r="N109" s="29"/>
      <c r="O109" s="29"/>
      <c r="P109" s="29"/>
      <c r="Q109" s="29"/>
      <c r="R109" s="29"/>
      <c r="S109" s="29"/>
      <c r="T109" s="57"/>
      <c r="U109" s="29"/>
      <c r="V109" s="29"/>
      <c r="W109" s="81"/>
      <c r="X109" s="85"/>
      <c r="Y109" s="81"/>
      <c r="AA109" s="72">
        <v>1</v>
      </c>
      <c r="AB109" s="72" t="str">
        <f>VLOOKUP(AA109,detail_maturity_score,3,FALSE)</f>
        <v/>
      </c>
    </row>
    <row r="110" spans="1:28" s="55" customFormat="1" x14ac:dyDescent="0.2">
      <c r="A110" s="27">
        <v>625</v>
      </c>
      <c r="B110" s="28" t="str">
        <f t="shared" si="8"/>
        <v>3.6.03b</v>
      </c>
      <c r="C110" s="29">
        <f t="shared" si="9"/>
        <v>6</v>
      </c>
      <c r="D110" s="3"/>
      <c r="E110" s="4"/>
      <c r="F110" s="4"/>
      <c r="G110" s="4"/>
      <c r="H110" s="4"/>
      <c r="I110" s="4"/>
      <c r="J110" s="4"/>
      <c r="K110" s="133"/>
      <c r="L110" s="29"/>
      <c r="M110" s="29"/>
      <c r="N110" s="29"/>
      <c r="O110" s="29"/>
      <c r="P110" s="29"/>
      <c r="Q110" s="29"/>
      <c r="R110" s="29"/>
      <c r="S110" s="29"/>
      <c r="T110" s="57"/>
      <c r="U110" s="29"/>
      <c r="V110" s="29"/>
      <c r="W110" s="81"/>
      <c r="X110" s="85"/>
      <c r="Y110" s="81"/>
      <c r="AA110" s="72">
        <v>1</v>
      </c>
      <c r="AB110" s="72" t="str">
        <f>VLOOKUP(AA110,detail_maturity_score,3,FALSE)</f>
        <v/>
      </c>
    </row>
    <row r="111" spans="1:28" s="55" customFormat="1" x14ac:dyDescent="0.2">
      <c r="A111" s="27">
        <v>626</v>
      </c>
      <c r="B111" s="28" t="str">
        <f t="shared" si="8"/>
        <v>3.6.03c</v>
      </c>
      <c r="C111" s="29">
        <f t="shared" si="9"/>
        <v>6</v>
      </c>
      <c r="D111" s="3"/>
      <c r="E111" s="4"/>
      <c r="F111" s="4"/>
      <c r="G111" s="4"/>
      <c r="H111" s="4"/>
      <c r="I111" s="4"/>
      <c r="J111" s="4"/>
      <c r="K111" s="133"/>
      <c r="L111" s="29"/>
      <c r="M111" s="29"/>
      <c r="N111" s="29"/>
      <c r="O111" s="29"/>
      <c r="P111" s="29"/>
      <c r="Q111" s="29"/>
      <c r="R111" s="29"/>
      <c r="S111" s="29"/>
      <c r="T111" s="57"/>
      <c r="U111" s="29"/>
      <c r="V111" s="29"/>
      <c r="W111" s="81"/>
      <c r="X111" s="85"/>
      <c r="Y111" s="81"/>
      <c r="AA111" s="72">
        <v>1</v>
      </c>
      <c r="AB111" s="72" t="str">
        <f>VLOOKUP(AA111,detail_maturity_score,3,FALSE)</f>
        <v/>
      </c>
    </row>
    <row r="112" spans="1:28" s="55" customFormat="1" x14ac:dyDescent="0.2">
      <c r="A112" s="27">
        <v>627</v>
      </c>
      <c r="B112" s="28" t="str">
        <f t="shared" si="8"/>
        <v>3.6.03d</v>
      </c>
      <c r="C112" s="29">
        <f t="shared" si="9"/>
        <v>6</v>
      </c>
      <c r="D112" s="3"/>
      <c r="E112" s="4"/>
      <c r="F112" s="4"/>
      <c r="G112" s="4"/>
      <c r="H112" s="4"/>
      <c r="I112" s="4"/>
      <c r="J112" s="4"/>
      <c r="K112" s="133"/>
      <c r="L112" s="29"/>
      <c r="M112" s="29"/>
      <c r="N112" s="29"/>
      <c r="O112" s="29"/>
      <c r="P112" s="29"/>
      <c r="Q112" s="29"/>
      <c r="R112" s="29"/>
      <c r="S112" s="29"/>
      <c r="T112" s="57"/>
      <c r="U112" s="29"/>
      <c r="V112" s="29"/>
      <c r="W112" s="81"/>
      <c r="X112" s="85"/>
      <c r="Y112" s="81"/>
      <c r="AA112" s="72">
        <v>1</v>
      </c>
      <c r="AB112" s="72" t="str">
        <f>VLOOKUP(AA112,detail_maturity_score,3,FALSE)</f>
        <v/>
      </c>
    </row>
    <row r="113" spans="1:28" s="55" customFormat="1" x14ac:dyDescent="0.2">
      <c r="A113" s="27">
        <v>628</v>
      </c>
      <c r="B113" s="28" t="str">
        <f t="shared" si="8"/>
        <v>3.6.03e</v>
      </c>
      <c r="C113" s="29">
        <f t="shared" si="9"/>
        <v>6</v>
      </c>
      <c r="D113" s="3"/>
      <c r="E113" s="4"/>
      <c r="F113" s="4"/>
      <c r="G113" s="4"/>
      <c r="H113" s="4"/>
      <c r="I113" s="4"/>
      <c r="J113" s="4"/>
      <c r="K113" s="133"/>
      <c r="L113" s="29"/>
      <c r="M113" s="29"/>
      <c r="N113" s="29"/>
      <c r="O113" s="29"/>
      <c r="P113" s="29"/>
      <c r="Q113" s="29"/>
      <c r="R113" s="29"/>
      <c r="S113" s="29"/>
      <c r="T113" s="57"/>
      <c r="U113" s="29"/>
      <c r="V113" s="29"/>
      <c r="W113" s="81"/>
      <c r="X113" s="85"/>
      <c r="Y113" s="81"/>
      <c r="AA113" s="72">
        <v>1</v>
      </c>
      <c r="AB113" s="72" t="str">
        <f>VLOOKUP(AA113,detail_maturity_score,3,FALSE)</f>
        <v/>
      </c>
    </row>
    <row r="114" spans="1:28" s="55" customFormat="1" ht="30" customHeight="1" x14ac:dyDescent="0.2">
      <c r="A114" s="27">
        <v>629</v>
      </c>
      <c r="B114" s="28" t="str">
        <f t="shared" si="8"/>
        <v>3.6.04</v>
      </c>
      <c r="C114" s="29">
        <f t="shared" si="9"/>
        <v>4</v>
      </c>
      <c r="D114" s="3"/>
      <c r="E114" s="4"/>
      <c r="F114" s="4"/>
      <c r="G114" s="4"/>
      <c r="H114" s="4"/>
      <c r="I114" s="4"/>
      <c r="J114" s="4"/>
      <c r="K114" s="133"/>
      <c r="L114" s="29"/>
      <c r="M114" s="29"/>
      <c r="N114" s="29"/>
      <c r="O114" s="29"/>
      <c r="P114" s="29"/>
      <c r="Q114" s="29"/>
      <c r="R114" s="29"/>
      <c r="S114" s="29"/>
      <c r="T114" s="57"/>
      <c r="U114" s="29"/>
      <c r="V114" s="29"/>
      <c r="W114" s="81"/>
      <c r="X114" s="85"/>
      <c r="Y114" s="81"/>
      <c r="AA114" s="72"/>
      <c r="AB114" s="72"/>
    </row>
    <row r="115" spans="1:28" s="55" customFormat="1" ht="30" customHeight="1" x14ac:dyDescent="0.2">
      <c r="A115" s="27">
        <v>630</v>
      </c>
      <c r="B115" s="28" t="str">
        <f t="shared" si="8"/>
        <v>3.6.04a</v>
      </c>
      <c r="C115" s="29">
        <f t="shared" si="9"/>
        <v>6</v>
      </c>
      <c r="D115" s="3"/>
      <c r="E115" s="4"/>
      <c r="F115" s="4"/>
      <c r="G115" s="4"/>
      <c r="H115" s="4"/>
      <c r="I115" s="4"/>
      <c r="J115" s="4"/>
      <c r="K115" s="133"/>
      <c r="L115" s="29"/>
      <c r="M115" s="29"/>
      <c r="N115" s="29"/>
      <c r="O115" s="29"/>
      <c r="P115" s="29"/>
      <c r="Q115" s="29"/>
      <c r="R115" s="29"/>
      <c r="S115" s="29"/>
      <c r="T115" s="57"/>
      <c r="U115" s="29"/>
      <c r="V115" s="29"/>
      <c r="W115" s="81"/>
      <c r="X115" s="85"/>
      <c r="Y115" s="81"/>
      <c r="AA115" s="72">
        <v>1</v>
      </c>
      <c r="AB115" s="72" t="str">
        <f t="shared" ref="AB115:AB130" si="11">VLOOKUP(AA115,detail_maturity_score,3,FALSE)</f>
        <v/>
      </c>
    </row>
    <row r="116" spans="1:28" s="55" customFormat="1" ht="30" customHeight="1" x14ac:dyDescent="0.2">
      <c r="A116" s="27">
        <v>631</v>
      </c>
      <c r="B116" s="28" t="str">
        <f t="shared" si="8"/>
        <v>3.6.04b</v>
      </c>
      <c r="C116" s="29">
        <f t="shared" si="9"/>
        <v>6</v>
      </c>
      <c r="D116" s="3"/>
      <c r="E116" s="4"/>
      <c r="F116" s="4"/>
      <c r="G116" s="4"/>
      <c r="H116" s="4"/>
      <c r="I116" s="4"/>
      <c r="J116" s="4"/>
      <c r="K116" s="133"/>
      <c r="L116" s="29"/>
      <c r="M116" s="29"/>
      <c r="N116" s="29"/>
      <c r="O116" s="29"/>
      <c r="P116" s="29"/>
      <c r="Q116" s="29"/>
      <c r="R116" s="29"/>
      <c r="S116" s="29"/>
      <c r="T116" s="57"/>
      <c r="U116" s="29"/>
      <c r="V116" s="29"/>
      <c r="W116" s="81"/>
      <c r="X116" s="85"/>
      <c r="Y116" s="81"/>
      <c r="AA116" s="72">
        <v>1</v>
      </c>
      <c r="AB116" s="72" t="str">
        <f t="shared" si="11"/>
        <v/>
      </c>
    </row>
    <row r="117" spans="1:28" s="55" customFormat="1" ht="30" customHeight="1" x14ac:dyDescent="0.2">
      <c r="A117" s="27">
        <v>632</v>
      </c>
      <c r="B117" s="28" t="str">
        <f t="shared" si="8"/>
        <v>3.6.05</v>
      </c>
      <c r="C117" s="29">
        <f t="shared" si="9"/>
        <v>5</v>
      </c>
      <c r="D117" s="3"/>
      <c r="E117" s="4"/>
      <c r="F117" s="4"/>
      <c r="G117" s="4"/>
      <c r="H117" s="4"/>
      <c r="I117" s="4"/>
      <c r="J117" s="4"/>
      <c r="K117" s="133"/>
      <c r="L117" s="29"/>
      <c r="M117" s="29"/>
      <c r="N117" s="29"/>
      <c r="O117" s="29"/>
      <c r="P117" s="29"/>
      <c r="Q117" s="29"/>
      <c r="R117" s="29"/>
      <c r="S117" s="29"/>
      <c r="T117" s="57"/>
      <c r="U117" s="29"/>
      <c r="V117" s="29"/>
      <c r="W117" s="81"/>
      <c r="X117" s="85"/>
      <c r="Y117" s="81"/>
      <c r="AA117" s="72">
        <v>1</v>
      </c>
      <c r="AB117" s="72" t="str">
        <f t="shared" si="11"/>
        <v/>
      </c>
    </row>
    <row r="118" spans="1:28" s="55" customFormat="1" x14ac:dyDescent="0.2">
      <c r="A118" s="27">
        <v>633</v>
      </c>
      <c r="B118" s="28" t="str">
        <f t="shared" si="8"/>
        <v>3.6.05a</v>
      </c>
      <c r="C118" s="29">
        <f t="shared" si="9"/>
        <v>6</v>
      </c>
      <c r="D118" s="3"/>
      <c r="E118" s="4"/>
      <c r="F118" s="4"/>
      <c r="G118" s="4"/>
      <c r="H118" s="4"/>
      <c r="I118" s="4"/>
      <c r="J118" s="4"/>
      <c r="K118" s="133"/>
      <c r="L118" s="29"/>
      <c r="M118" s="29"/>
      <c r="N118" s="29"/>
      <c r="O118" s="29"/>
      <c r="P118" s="29"/>
      <c r="Q118" s="29"/>
      <c r="R118" s="29"/>
      <c r="S118" s="29"/>
      <c r="T118" s="57"/>
      <c r="U118" s="29"/>
      <c r="V118" s="29"/>
      <c r="W118" s="81"/>
      <c r="X118" s="85"/>
      <c r="Y118" s="81"/>
      <c r="AA118" s="72">
        <v>1</v>
      </c>
      <c r="AB118" s="72" t="str">
        <f t="shared" si="11"/>
        <v/>
      </c>
    </row>
    <row r="119" spans="1:28" s="55" customFormat="1" x14ac:dyDescent="0.2">
      <c r="A119" s="27">
        <v>634</v>
      </c>
      <c r="B119" s="28" t="str">
        <f t="shared" si="8"/>
        <v>3.6.05b</v>
      </c>
      <c r="C119" s="29">
        <f t="shared" si="9"/>
        <v>6</v>
      </c>
      <c r="D119" s="3"/>
      <c r="E119" s="4"/>
      <c r="F119" s="4"/>
      <c r="G119" s="4"/>
      <c r="H119" s="4"/>
      <c r="I119" s="4"/>
      <c r="J119" s="4"/>
      <c r="K119" s="133"/>
      <c r="L119" s="29"/>
      <c r="M119" s="29"/>
      <c r="N119" s="29"/>
      <c r="O119" s="29"/>
      <c r="P119" s="29"/>
      <c r="Q119" s="29"/>
      <c r="R119" s="29"/>
      <c r="S119" s="29"/>
      <c r="T119" s="57"/>
      <c r="U119" s="29"/>
      <c r="V119" s="29"/>
      <c r="W119" s="81"/>
      <c r="X119" s="85"/>
      <c r="Y119" s="81"/>
      <c r="AA119" s="72">
        <v>1</v>
      </c>
      <c r="AB119" s="72" t="str">
        <f t="shared" si="11"/>
        <v/>
      </c>
    </row>
    <row r="120" spans="1:28" s="55" customFormat="1" ht="30" customHeight="1" x14ac:dyDescent="0.2">
      <c r="A120" s="27">
        <v>635</v>
      </c>
      <c r="B120" s="28" t="str">
        <f t="shared" si="8"/>
        <v>3.6.06</v>
      </c>
      <c r="C120" s="29">
        <f t="shared" si="9"/>
        <v>5</v>
      </c>
      <c r="D120" s="3"/>
      <c r="E120" s="4"/>
      <c r="F120" s="4"/>
      <c r="G120" s="4"/>
      <c r="H120" s="4"/>
      <c r="I120" s="4"/>
      <c r="J120" s="4"/>
      <c r="K120" s="133"/>
      <c r="L120" s="29"/>
      <c r="M120" s="29"/>
      <c r="N120" s="29"/>
      <c r="O120" s="29"/>
      <c r="P120" s="29"/>
      <c r="Q120" s="29"/>
      <c r="R120" s="29"/>
      <c r="S120" s="29"/>
      <c r="T120" s="57"/>
      <c r="U120" s="29"/>
      <c r="V120" s="29"/>
      <c r="W120" s="81"/>
      <c r="X120" s="85"/>
      <c r="Y120" s="81"/>
      <c r="AA120" s="72">
        <v>1</v>
      </c>
      <c r="AB120" s="72" t="str">
        <f t="shared" si="11"/>
        <v/>
      </c>
    </row>
    <row r="121" spans="1:28" s="55" customFormat="1" x14ac:dyDescent="0.2">
      <c r="A121" s="27">
        <v>636</v>
      </c>
      <c r="B121" s="28" t="str">
        <f t="shared" si="8"/>
        <v>3.6.06a</v>
      </c>
      <c r="C121" s="29">
        <f t="shared" si="9"/>
        <v>6</v>
      </c>
      <c r="D121" s="3"/>
      <c r="E121" s="4"/>
      <c r="F121" s="4"/>
      <c r="G121" s="4"/>
      <c r="H121" s="4"/>
      <c r="I121" s="4"/>
      <c r="J121" s="4"/>
      <c r="K121" s="133"/>
      <c r="L121" s="29"/>
      <c r="M121" s="29"/>
      <c r="N121" s="29"/>
      <c r="O121" s="29"/>
      <c r="P121" s="29"/>
      <c r="Q121" s="29"/>
      <c r="R121" s="29"/>
      <c r="S121" s="29"/>
      <c r="T121" s="57"/>
      <c r="U121" s="29"/>
      <c r="V121" s="29"/>
      <c r="W121" s="81"/>
      <c r="X121" s="85"/>
      <c r="Y121" s="81"/>
      <c r="AA121" s="72">
        <v>1</v>
      </c>
      <c r="AB121" s="72" t="str">
        <f t="shared" si="11"/>
        <v/>
      </c>
    </row>
    <row r="122" spans="1:28" s="55" customFormat="1" x14ac:dyDescent="0.2">
      <c r="A122" s="27">
        <v>637</v>
      </c>
      <c r="B122" s="28" t="str">
        <f t="shared" si="8"/>
        <v>3.6.06b</v>
      </c>
      <c r="C122" s="29">
        <f t="shared" si="9"/>
        <v>6</v>
      </c>
      <c r="D122" s="3"/>
      <c r="E122" s="4"/>
      <c r="F122" s="4"/>
      <c r="G122" s="4"/>
      <c r="H122" s="4"/>
      <c r="I122" s="4"/>
      <c r="J122" s="4"/>
      <c r="K122" s="133"/>
      <c r="L122" s="29"/>
      <c r="M122" s="29"/>
      <c r="N122" s="29"/>
      <c r="O122" s="29"/>
      <c r="P122" s="29"/>
      <c r="Q122" s="29"/>
      <c r="R122" s="29"/>
      <c r="S122" s="29"/>
      <c r="T122" s="57"/>
      <c r="U122" s="29"/>
      <c r="V122" s="29"/>
      <c r="W122" s="81"/>
      <c r="X122" s="85"/>
      <c r="Y122" s="81"/>
      <c r="AA122" s="72">
        <v>1</v>
      </c>
      <c r="AB122" s="72" t="str">
        <f t="shared" si="11"/>
        <v/>
      </c>
    </row>
    <row r="123" spans="1:28" s="55" customFormat="1" ht="30" customHeight="1" x14ac:dyDescent="0.2">
      <c r="A123" s="27">
        <v>638</v>
      </c>
      <c r="B123" s="28" t="str">
        <f t="shared" si="8"/>
        <v>3.6.07</v>
      </c>
      <c r="C123" s="29">
        <f t="shared" si="9"/>
        <v>4</v>
      </c>
      <c r="D123" s="3"/>
      <c r="E123" s="4"/>
      <c r="F123" s="4"/>
      <c r="G123" s="4"/>
      <c r="H123" s="4"/>
      <c r="I123" s="4"/>
      <c r="J123" s="4"/>
      <c r="K123" s="133"/>
      <c r="L123" s="29"/>
      <c r="M123" s="29"/>
      <c r="N123" s="29"/>
      <c r="O123" s="29"/>
      <c r="P123" s="29"/>
      <c r="Q123" s="29"/>
      <c r="R123" s="29"/>
      <c r="S123" s="29"/>
      <c r="T123" s="57"/>
      <c r="U123" s="29"/>
      <c r="V123" s="29"/>
      <c r="W123" s="81"/>
      <c r="X123" s="85"/>
      <c r="Y123" s="81"/>
      <c r="AA123" s="72">
        <v>1</v>
      </c>
      <c r="AB123" s="72" t="str">
        <f t="shared" si="11"/>
        <v/>
      </c>
    </row>
    <row r="124" spans="1:28" s="55" customFormat="1" ht="30" customHeight="1" x14ac:dyDescent="0.2">
      <c r="A124" s="27">
        <v>639</v>
      </c>
      <c r="B124" s="28" t="str">
        <f t="shared" si="8"/>
        <v>3.6.07a</v>
      </c>
      <c r="C124" s="29">
        <f t="shared" si="9"/>
        <v>6</v>
      </c>
      <c r="D124" s="3"/>
      <c r="E124" s="4"/>
      <c r="F124" s="4"/>
      <c r="G124" s="4"/>
      <c r="H124" s="4"/>
      <c r="I124" s="4"/>
      <c r="J124" s="4"/>
      <c r="K124" s="133"/>
      <c r="L124" s="29"/>
      <c r="M124" s="29"/>
      <c r="N124" s="29"/>
      <c r="O124" s="29"/>
      <c r="P124" s="29"/>
      <c r="Q124" s="29"/>
      <c r="R124" s="29"/>
      <c r="S124" s="29"/>
      <c r="T124" s="57"/>
      <c r="U124" s="29"/>
      <c r="V124" s="29"/>
      <c r="W124" s="81"/>
      <c r="X124" s="85"/>
      <c r="Y124" s="81"/>
      <c r="AA124" s="72">
        <v>1</v>
      </c>
      <c r="AB124" s="72" t="str">
        <f t="shared" si="11"/>
        <v/>
      </c>
    </row>
    <row r="125" spans="1:28" s="55" customFormat="1" x14ac:dyDescent="0.2">
      <c r="A125" s="27">
        <v>640</v>
      </c>
      <c r="B125" s="28" t="str">
        <f t="shared" si="8"/>
        <v>3.6.07b</v>
      </c>
      <c r="C125" s="29">
        <f t="shared" si="9"/>
        <v>6</v>
      </c>
      <c r="D125" s="3"/>
      <c r="E125" s="4"/>
      <c r="F125" s="4"/>
      <c r="G125" s="4"/>
      <c r="H125" s="4"/>
      <c r="I125" s="4"/>
      <c r="J125" s="4"/>
      <c r="K125" s="133"/>
      <c r="L125" s="29"/>
      <c r="M125" s="29"/>
      <c r="N125" s="29"/>
      <c r="O125" s="29"/>
      <c r="P125" s="29"/>
      <c r="Q125" s="29"/>
      <c r="R125" s="29"/>
      <c r="S125" s="29"/>
      <c r="T125" s="57"/>
      <c r="U125" s="29"/>
      <c r="V125" s="29"/>
      <c r="W125" s="81"/>
      <c r="X125" s="85"/>
      <c r="Y125" s="81"/>
      <c r="AA125" s="72">
        <v>1</v>
      </c>
      <c r="AB125" s="72" t="str">
        <f t="shared" si="11"/>
        <v/>
      </c>
    </row>
    <row r="126" spans="1:28" s="55" customFormat="1" ht="30" customHeight="1" x14ac:dyDescent="0.2">
      <c r="A126" s="27">
        <v>641</v>
      </c>
      <c r="B126" s="28" t="str">
        <f t="shared" si="8"/>
        <v>3.6.07c</v>
      </c>
      <c r="C126" s="29">
        <f t="shared" si="9"/>
        <v>6</v>
      </c>
      <c r="D126" s="3"/>
      <c r="E126" s="4"/>
      <c r="F126" s="4"/>
      <c r="G126" s="4"/>
      <c r="H126" s="4"/>
      <c r="I126" s="4"/>
      <c r="J126" s="4"/>
      <c r="K126" s="133"/>
      <c r="L126" s="29"/>
      <c r="M126" s="29"/>
      <c r="N126" s="29"/>
      <c r="O126" s="29"/>
      <c r="P126" s="29"/>
      <c r="Q126" s="29"/>
      <c r="R126" s="29"/>
      <c r="S126" s="29"/>
      <c r="T126" s="57"/>
      <c r="U126" s="29"/>
      <c r="V126" s="29"/>
      <c r="W126" s="81"/>
      <c r="X126" s="85"/>
      <c r="Y126" s="81"/>
      <c r="AA126" s="72">
        <v>1</v>
      </c>
      <c r="AB126" s="72" t="str">
        <f t="shared" si="11"/>
        <v/>
      </c>
    </row>
    <row r="127" spans="1:28" s="55" customFormat="1" ht="30" customHeight="1" x14ac:dyDescent="0.2">
      <c r="A127" s="27">
        <v>642</v>
      </c>
      <c r="B127" s="28" t="str">
        <f t="shared" si="8"/>
        <v>3.6.08</v>
      </c>
      <c r="C127" s="29">
        <f t="shared" si="9"/>
        <v>4</v>
      </c>
      <c r="D127" s="3"/>
      <c r="E127" s="4"/>
      <c r="F127" s="4"/>
      <c r="G127" s="4"/>
      <c r="H127" s="4"/>
      <c r="I127" s="4"/>
      <c r="J127" s="4"/>
      <c r="K127" s="133"/>
      <c r="L127" s="29"/>
      <c r="M127" s="29"/>
      <c r="N127" s="29"/>
      <c r="O127" s="29"/>
      <c r="P127" s="29"/>
      <c r="Q127" s="29"/>
      <c r="R127" s="29"/>
      <c r="S127" s="29"/>
      <c r="T127" s="57"/>
      <c r="U127" s="29"/>
      <c r="V127" s="29"/>
      <c r="W127" s="81"/>
      <c r="X127" s="85"/>
      <c r="Y127" s="81"/>
      <c r="AA127" s="72">
        <v>1</v>
      </c>
      <c r="AB127" s="72" t="str">
        <f t="shared" si="11"/>
        <v/>
      </c>
    </row>
    <row r="128" spans="1:28" s="55" customFormat="1" x14ac:dyDescent="0.2">
      <c r="A128" s="27">
        <v>643</v>
      </c>
      <c r="B128" s="28" t="str">
        <f t="shared" si="8"/>
        <v>3.6.08a</v>
      </c>
      <c r="C128" s="29">
        <f t="shared" si="9"/>
        <v>6</v>
      </c>
      <c r="D128" s="3"/>
      <c r="E128" s="4"/>
      <c r="F128" s="4"/>
      <c r="G128" s="4"/>
      <c r="H128" s="4"/>
      <c r="I128" s="4"/>
      <c r="J128" s="4"/>
      <c r="K128" s="133"/>
      <c r="L128" s="29"/>
      <c r="M128" s="29"/>
      <c r="N128" s="29"/>
      <c r="O128" s="29"/>
      <c r="P128" s="29"/>
      <c r="Q128" s="29"/>
      <c r="R128" s="29"/>
      <c r="S128" s="29"/>
      <c r="T128" s="57"/>
      <c r="U128" s="29"/>
      <c r="V128" s="29"/>
      <c r="W128" s="81"/>
      <c r="X128" s="85"/>
      <c r="Y128" s="81"/>
      <c r="AA128" s="72">
        <v>1</v>
      </c>
      <c r="AB128" s="72" t="str">
        <f t="shared" si="11"/>
        <v/>
      </c>
    </row>
    <row r="129" spans="1:28" s="55" customFormat="1" x14ac:dyDescent="0.2">
      <c r="A129" s="27">
        <v>644</v>
      </c>
      <c r="B129" s="28" t="str">
        <f t="shared" si="8"/>
        <v>3.6.08b</v>
      </c>
      <c r="C129" s="29">
        <f t="shared" si="9"/>
        <v>6</v>
      </c>
      <c r="D129" s="3"/>
      <c r="E129" s="4"/>
      <c r="F129" s="4"/>
      <c r="G129" s="4"/>
      <c r="H129" s="4"/>
      <c r="I129" s="4"/>
      <c r="J129" s="4"/>
      <c r="K129" s="133"/>
      <c r="L129" s="29"/>
      <c r="M129" s="29"/>
      <c r="N129" s="29"/>
      <c r="O129" s="29"/>
      <c r="P129" s="29"/>
      <c r="Q129" s="29"/>
      <c r="R129" s="29"/>
      <c r="S129" s="29"/>
      <c r="T129" s="57"/>
      <c r="U129" s="29"/>
      <c r="V129" s="29"/>
      <c r="W129" s="81"/>
      <c r="X129" s="85"/>
      <c r="Y129" s="81"/>
      <c r="AA129" s="72">
        <v>1</v>
      </c>
      <c r="AB129" s="72" t="str">
        <f t="shared" si="11"/>
        <v/>
      </c>
    </row>
    <row r="130" spans="1:28" s="55" customFormat="1" x14ac:dyDescent="0.2">
      <c r="A130" s="27">
        <v>645</v>
      </c>
      <c r="B130" s="28" t="str">
        <f t="shared" si="8"/>
        <v>3.6.08c</v>
      </c>
      <c r="C130" s="29">
        <f t="shared" si="9"/>
        <v>6</v>
      </c>
      <c r="D130" s="3"/>
      <c r="E130" s="4"/>
      <c r="F130" s="4"/>
      <c r="G130" s="4"/>
      <c r="H130" s="4"/>
      <c r="I130" s="4"/>
      <c r="J130" s="4"/>
      <c r="K130" s="4"/>
      <c r="L130" s="29"/>
      <c r="M130" s="29"/>
      <c r="N130" s="29"/>
      <c r="O130" s="29"/>
      <c r="P130" s="29"/>
      <c r="Q130" s="29"/>
      <c r="R130" s="29"/>
      <c r="S130" s="29"/>
      <c r="T130" s="57"/>
      <c r="U130" s="29"/>
      <c r="V130" s="29"/>
      <c r="W130" s="81"/>
      <c r="X130" s="85"/>
      <c r="Y130" s="81"/>
      <c r="AA130" s="72">
        <v>1</v>
      </c>
      <c r="AB130" s="72" t="str">
        <f t="shared" si="11"/>
        <v/>
      </c>
    </row>
  </sheetData>
  <sheetProtection selectLockedCells="1"/>
  <mergeCells count="1">
    <mergeCell ref="F2:F5"/>
  </mergeCells>
  <dataValidations count="1">
    <dataValidation type="list" allowBlank="1" showInputMessage="1" showErrorMessage="1" sqref="G9:G29" xr:uid="{90766FE9-280F-4FE2-A0B9-3F560B23C5E5}">
      <formula1>"Select,Not Implementented,Requirement Gathering,Intial Implmentation Phase,In Development Phase,In Testing Phase,Fully Implemented"</formula1>
    </dataValidation>
  </dataValidations>
  <pageMargins left="0.7" right="0.7" top="0.75" bottom="0.75" header="0.3" footer="0.3"/>
  <pageSetup paperSize="9" scale="59" fitToHeight="0" orientation="landscape"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dimension ref="A1:AG18"/>
  <sheetViews>
    <sheetView workbookViewId="0"/>
  </sheetViews>
  <sheetFormatPr baseColWidth="10" defaultColWidth="8.83203125" defaultRowHeight="15" x14ac:dyDescent="0.2"/>
  <cols>
    <col min="1" max="9" width="9.1640625" style="2"/>
    <col min="10" max="10" width="9.1640625" style="3"/>
    <col min="11" max="25" width="9.1640625" style="2"/>
    <col min="31" max="31" width="10.6640625" style="1" customWidth="1"/>
  </cols>
  <sheetData>
    <row r="1" spans="12:33" x14ac:dyDescent="0.2">
      <c r="L1" s="2" t="str">
        <f>IF(SUMIF(N:N,H1,X:X)=0,"",SUMIF(N:N,H1,X:X)/(MAX(T:T)*COUNTIF(N:N,H1)))</f>
        <v/>
      </c>
      <c r="M1" s="2" t="str">
        <f t="shared" ref="M1:M3" si="0">IF(ISERROR(L1),"",L1)</f>
        <v/>
      </c>
      <c r="N1" s="2">
        <v>1</v>
      </c>
      <c r="O1" s="2">
        <v>1</v>
      </c>
      <c r="P1" s="2">
        <v>1</v>
      </c>
      <c r="Q1" s="2" t="str">
        <f>N1&amp;"."&amp;O1</f>
        <v>1.1</v>
      </c>
      <c r="R1" s="2" t="e">
        <f ca="1">VLOOKUP(Q1,INDIRECT("'Results - Phase "&amp;N1&amp;"'!B:Q"),16,FALSE)</f>
        <v>#REF!</v>
      </c>
      <c r="Z1" s="3">
        <v>1</v>
      </c>
      <c r="AA1" s="2">
        <f>VLOOKUP(Z1,contentref,15,FALSE)</f>
        <v>1</v>
      </c>
      <c r="AB1" s="2">
        <f t="shared" ref="AB1:AB18" si="1">VLOOKUP(Z1,contentref,3,FALSE)</f>
        <v>1</v>
      </c>
      <c r="AC1" s="2" t="str">
        <f t="shared" ref="AC1:AC18" si="2">VLOOKUP(Z1,contentref,4,FALSE)</f>
        <v/>
      </c>
      <c r="AD1" s="2"/>
      <c r="AE1" s="1">
        <f>IF(AA1=1,AB1,AB1&amp;"."&amp;AC1)</f>
        <v>1</v>
      </c>
      <c r="AF1" s="2" t="str">
        <f>VLOOKUP(AA1,Content!W$1:X$6,2,FALSE)&amp;" "&amp;IF(LEN(AC1)=0,AB1,AC1)</f>
        <v>Phase 1</v>
      </c>
      <c r="AG1" s="2" t="str">
        <f t="shared" ref="AG1:AG18" si="3">VLOOKUP(Z1,contentref,7,FALSE)</f>
        <v>Prepare</v>
      </c>
    </row>
    <row r="2" spans="12:33" x14ac:dyDescent="0.2">
      <c r="L2" s="2" t="str">
        <f t="shared" ref="L2:L3" si="4">IF(SUMIF(N:N,H2,X:X)=0,"",SUMIF(N:N,H2,X:X)/(MAX(T:T)*COUNTIF(N:N,H2)))</f>
        <v/>
      </c>
      <c r="M2" s="2" t="str">
        <f t="shared" si="0"/>
        <v/>
      </c>
      <c r="N2" s="2">
        <v>1</v>
      </c>
      <c r="O2" s="2">
        <v>2</v>
      </c>
      <c r="P2" s="2">
        <v>2</v>
      </c>
      <c r="Q2" s="2" t="str">
        <f t="shared" ref="Q2:Q15" si="5">N2&amp;"."&amp;O2</f>
        <v>1.2</v>
      </c>
      <c r="R2" s="2" t="e">
        <f t="shared" ref="R2:R15" ca="1" si="6">VLOOKUP(Q2,INDIRECT("'Results - Phase "&amp;N2&amp;"'!B:Q"),16,FALSE)</f>
        <v>#REF!</v>
      </c>
      <c r="Z2" s="2">
        <v>2</v>
      </c>
      <c r="AA2" s="2">
        <v>2</v>
      </c>
      <c r="AB2" s="2">
        <f t="shared" si="1"/>
        <v>1</v>
      </c>
      <c r="AC2" s="2">
        <f t="shared" si="2"/>
        <v>1</v>
      </c>
      <c r="AD2" s="2">
        <v>1</v>
      </c>
      <c r="AE2" s="1" t="str">
        <f t="shared" ref="AE2:AE18" si="7">IF(AA2=1,AB2,AB2&amp;"."&amp;AC2)</f>
        <v>1.1</v>
      </c>
      <c r="AF2" s="2" t="str">
        <f>VLOOKUP(AA2,Content!W$1:X$6,2,FALSE)&amp;" "&amp;IF(LEN(AC2)=0,AB2,AC2)</f>
        <v>Step 1</v>
      </c>
      <c r="AG2" s="2" t="str">
        <f t="shared" si="3"/>
        <v>Criticality assessment</v>
      </c>
    </row>
    <row r="3" spans="12:33" x14ac:dyDescent="0.2">
      <c r="L3" s="2" t="str">
        <f t="shared" si="4"/>
        <v/>
      </c>
      <c r="M3" s="2" t="str">
        <f t="shared" si="0"/>
        <v/>
      </c>
      <c r="N3" s="2">
        <v>1</v>
      </c>
      <c r="O3" s="2">
        <v>3</v>
      </c>
      <c r="P3" s="2">
        <v>3</v>
      </c>
      <c r="Q3" s="2" t="str">
        <f t="shared" si="5"/>
        <v>1.3</v>
      </c>
      <c r="R3" s="2" t="e">
        <f t="shared" ca="1" si="6"/>
        <v>#REF!</v>
      </c>
      <c r="Z3" s="2">
        <v>26</v>
      </c>
      <c r="AA3" s="2">
        <v>2</v>
      </c>
      <c r="AB3" s="2">
        <f t="shared" si="1"/>
        <v>1</v>
      </c>
      <c r="AC3" s="2">
        <f t="shared" si="2"/>
        <v>2</v>
      </c>
      <c r="AD3" s="2">
        <v>2</v>
      </c>
      <c r="AE3" s="1" t="str">
        <f t="shared" si="7"/>
        <v>1.2</v>
      </c>
      <c r="AF3" s="2" t="str">
        <f>VLOOKUP(AA3,Content!W$1:X$6,2,FALSE)&amp;" "&amp;IF(LEN(AC3)=0,AB3,AC3)</f>
        <v>Step 2</v>
      </c>
      <c r="AG3" s="2" t="str">
        <f t="shared" si="3"/>
        <v>Threat analysis</v>
      </c>
    </row>
    <row r="4" spans="12:33" x14ac:dyDescent="0.2">
      <c r="N4" s="2">
        <v>1</v>
      </c>
      <c r="O4" s="2">
        <v>4</v>
      </c>
      <c r="P4" s="2">
        <v>4</v>
      </c>
      <c r="Q4" s="2" t="str">
        <f t="shared" si="5"/>
        <v>1.4</v>
      </c>
      <c r="R4" s="2" t="e">
        <f t="shared" ca="1" si="6"/>
        <v>#REF!</v>
      </c>
      <c r="Z4" s="2">
        <v>69</v>
      </c>
      <c r="AA4" s="2">
        <v>2</v>
      </c>
      <c r="AB4" s="2">
        <f t="shared" si="1"/>
        <v>1</v>
      </c>
      <c r="AC4" s="2">
        <f t="shared" si="2"/>
        <v>3</v>
      </c>
      <c r="AD4" s="2">
        <v>3</v>
      </c>
      <c r="AE4" s="1" t="str">
        <f t="shared" si="7"/>
        <v>1.3</v>
      </c>
      <c r="AF4" s="2" t="str">
        <f>VLOOKUP(AA4,Content!W$1:X$6,2,FALSE)&amp;" "&amp;IF(LEN(AC4)=0,AB4,AC4)</f>
        <v>Step 3</v>
      </c>
      <c r="AG4" s="2" t="str">
        <f t="shared" si="3"/>
        <v>People, Process, Technology and Information</v>
      </c>
    </row>
    <row r="5" spans="12:33" x14ac:dyDescent="0.2">
      <c r="N5" s="2">
        <v>1</v>
      </c>
      <c r="O5" s="2">
        <v>5</v>
      </c>
      <c r="P5" s="2">
        <v>5</v>
      </c>
      <c r="Q5" s="2" t="str">
        <f t="shared" si="5"/>
        <v>1.5</v>
      </c>
      <c r="R5" s="2" t="e">
        <f t="shared" ca="1" si="6"/>
        <v>#REF!</v>
      </c>
      <c r="Z5" s="2">
        <v>187</v>
      </c>
      <c r="AA5" s="2">
        <v>2</v>
      </c>
      <c r="AB5" s="2">
        <f t="shared" si="1"/>
        <v>1</v>
      </c>
      <c r="AC5" s="2">
        <f t="shared" si="2"/>
        <v>4</v>
      </c>
      <c r="AD5" s="2">
        <v>4</v>
      </c>
      <c r="AE5" s="1" t="str">
        <f t="shared" si="7"/>
        <v>1.4</v>
      </c>
      <c r="AF5" s="2" t="str">
        <f>VLOOKUP(AA5,Content!W$1:X$6,2,FALSE)&amp;" "&amp;IF(LEN(AC5)=0,AB5,AC5)</f>
        <v>Step 4</v>
      </c>
      <c r="AG5" s="2" t="str">
        <f t="shared" si="3"/>
        <v>Control environment</v>
      </c>
    </row>
    <row r="6" spans="12:33" x14ac:dyDescent="0.2">
      <c r="N6" s="2">
        <v>2</v>
      </c>
      <c r="O6" s="2">
        <v>1</v>
      </c>
      <c r="P6" s="2">
        <v>6</v>
      </c>
      <c r="Q6" s="2" t="str">
        <f t="shared" si="5"/>
        <v>2.1</v>
      </c>
      <c r="R6" s="2" t="e">
        <f t="shared" ca="1" si="6"/>
        <v>#REF!</v>
      </c>
      <c r="Z6" s="2">
        <v>227</v>
      </c>
      <c r="AA6" s="2">
        <v>2</v>
      </c>
      <c r="AB6" s="2">
        <f t="shared" si="1"/>
        <v>1</v>
      </c>
      <c r="AC6" s="2">
        <f t="shared" si="2"/>
        <v>5</v>
      </c>
      <c r="AD6" s="2">
        <v>5</v>
      </c>
      <c r="AE6" s="1" t="str">
        <f t="shared" si="7"/>
        <v>1.5</v>
      </c>
      <c r="AF6" s="2" t="str">
        <f>VLOOKUP(AA6,Content!W$1:X$6,2,FALSE)&amp;" "&amp;IF(LEN(AC6)=0,AB6,AC6)</f>
        <v>Step 5</v>
      </c>
      <c r="AG6" s="2" t="str">
        <f t="shared" si="3"/>
        <v>Maturity assessment</v>
      </c>
    </row>
    <row r="7" spans="12:33" x14ac:dyDescent="0.2">
      <c r="N7" s="2">
        <v>2</v>
      </c>
      <c r="O7" s="2">
        <v>2</v>
      </c>
      <c r="P7" s="2">
        <v>7</v>
      </c>
      <c r="Q7" s="2" t="str">
        <f t="shared" si="5"/>
        <v>2.2</v>
      </c>
      <c r="R7" s="2" t="e">
        <f t="shared" ca="1" si="6"/>
        <v>#REF!</v>
      </c>
      <c r="Z7" s="2">
        <v>261</v>
      </c>
      <c r="AA7" s="2">
        <v>1</v>
      </c>
      <c r="AB7" s="2">
        <f t="shared" si="1"/>
        <v>2</v>
      </c>
      <c r="AC7" s="2" t="str">
        <f t="shared" si="2"/>
        <v/>
      </c>
      <c r="AD7" s="2"/>
      <c r="AE7" s="1">
        <f t="shared" si="7"/>
        <v>2</v>
      </c>
      <c r="AF7" s="2" t="str">
        <f>VLOOKUP(AA7,Content!W$1:X$6,2,FALSE)&amp;" "&amp;IF(LEN(AC7)=0,AB7,AC7)</f>
        <v>Phase 2</v>
      </c>
      <c r="AG7" s="2" t="str">
        <f t="shared" si="3"/>
        <v>Respond</v>
      </c>
    </row>
    <row r="8" spans="12:33" x14ac:dyDescent="0.2">
      <c r="N8" s="2">
        <v>2</v>
      </c>
      <c r="O8" s="2">
        <v>3</v>
      </c>
      <c r="P8" s="2">
        <v>8</v>
      </c>
      <c r="Q8" s="2" t="str">
        <f t="shared" si="5"/>
        <v>2.3</v>
      </c>
      <c r="R8" s="2" t="e">
        <f t="shared" ca="1" si="6"/>
        <v>#REF!</v>
      </c>
      <c r="Z8" s="2">
        <v>262</v>
      </c>
      <c r="AA8" s="2">
        <v>2</v>
      </c>
      <c r="AB8" s="2">
        <f t="shared" si="1"/>
        <v>2</v>
      </c>
      <c r="AC8" s="2">
        <f t="shared" si="2"/>
        <v>1</v>
      </c>
      <c r="AD8" s="2">
        <v>6</v>
      </c>
      <c r="AE8" s="1" t="str">
        <f t="shared" si="7"/>
        <v>2.1</v>
      </c>
      <c r="AF8" s="2" t="str">
        <f>VLOOKUP(AA8,Content!W$1:X$6,2,FALSE)&amp;" "&amp;IF(LEN(AC8)=0,AB8,AC8)</f>
        <v>Step 1</v>
      </c>
      <c r="AG8" s="2" t="str">
        <f t="shared" si="3"/>
        <v>Identification</v>
      </c>
    </row>
    <row r="9" spans="12:33" x14ac:dyDescent="0.2">
      <c r="N9" s="2">
        <v>2</v>
      </c>
      <c r="O9" s="2">
        <v>4</v>
      </c>
      <c r="P9" s="2">
        <v>9</v>
      </c>
      <c r="Q9" s="2" t="str">
        <f t="shared" si="5"/>
        <v>2.4</v>
      </c>
      <c r="R9" s="2" t="e">
        <f t="shared" ca="1" si="6"/>
        <v>#REF!</v>
      </c>
      <c r="Z9" s="2">
        <v>303</v>
      </c>
      <c r="AA9" s="2">
        <v>2</v>
      </c>
      <c r="AB9" s="2">
        <f t="shared" si="1"/>
        <v>2</v>
      </c>
      <c r="AC9" s="2">
        <f t="shared" si="2"/>
        <v>2</v>
      </c>
      <c r="AD9" s="2">
        <v>7</v>
      </c>
      <c r="AE9" s="1" t="str">
        <f t="shared" si="7"/>
        <v>2.2</v>
      </c>
      <c r="AF9" s="2" t="str">
        <f>VLOOKUP(AA9,Content!W$1:X$6,2,FALSE)&amp;" "&amp;IF(LEN(AC9)=0,AB9,AC9)</f>
        <v>Step 2</v>
      </c>
      <c r="AG9" s="2" t="str">
        <f t="shared" si="3"/>
        <v>Investigation</v>
      </c>
    </row>
    <row r="10" spans="12:33" x14ac:dyDescent="0.2">
      <c r="N10" s="2">
        <v>3</v>
      </c>
      <c r="O10" s="2">
        <v>1</v>
      </c>
      <c r="P10" s="2">
        <v>10</v>
      </c>
      <c r="Q10" s="2" t="str">
        <f t="shared" si="5"/>
        <v>3.1</v>
      </c>
      <c r="R10" s="2" t="e">
        <f t="shared" ca="1" si="6"/>
        <v>#REF!</v>
      </c>
      <c r="Z10" s="2">
        <v>370</v>
      </c>
      <c r="AA10" s="2">
        <v>2</v>
      </c>
      <c r="AB10" s="2">
        <f t="shared" si="1"/>
        <v>2</v>
      </c>
      <c r="AC10" s="2">
        <f t="shared" si="2"/>
        <v>3</v>
      </c>
      <c r="AD10" s="2">
        <v>8</v>
      </c>
      <c r="AE10" s="1" t="str">
        <f t="shared" si="7"/>
        <v>2.3</v>
      </c>
      <c r="AF10" s="2" t="str">
        <f>VLOOKUP(AA10,Content!W$1:X$6,2,FALSE)&amp;" "&amp;IF(LEN(AC10)=0,AB10,AC10)</f>
        <v>Step 3</v>
      </c>
      <c r="AG10" s="2" t="str">
        <f t="shared" si="3"/>
        <v>Action</v>
      </c>
    </row>
    <row r="11" spans="12:33" x14ac:dyDescent="0.2">
      <c r="N11" s="2">
        <v>3</v>
      </c>
      <c r="O11" s="2">
        <v>2</v>
      </c>
      <c r="P11" s="2">
        <v>11</v>
      </c>
      <c r="Q11" s="2" t="str">
        <f t="shared" si="5"/>
        <v>3.2</v>
      </c>
      <c r="R11" s="2" t="e">
        <f t="shared" ca="1" si="6"/>
        <v>#REF!</v>
      </c>
      <c r="Z11" s="2">
        <v>469</v>
      </c>
      <c r="AA11" s="2">
        <v>2</v>
      </c>
      <c r="AB11" s="2">
        <f t="shared" si="1"/>
        <v>2</v>
      </c>
      <c r="AC11" s="2">
        <f t="shared" si="2"/>
        <v>4</v>
      </c>
      <c r="AD11" s="2">
        <v>9</v>
      </c>
      <c r="AE11" s="1" t="str">
        <f t="shared" si="7"/>
        <v>2.4</v>
      </c>
      <c r="AF11" s="2" t="str">
        <f>VLOOKUP(AA11,Content!W$1:X$6,2,FALSE)&amp;" "&amp;IF(LEN(AC11)=0,AB11,AC11)</f>
        <v>Step 4</v>
      </c>
      <c r="AG11" s="2" t="str">
        <f t="shared" si="3"/>
        <v>Recovery</v>
      </c>
    </row>
    <row r="12" spans="12:33" x14ac:dyDescent="0.2">
      <c r="N12" s="2">
        <v>3</v>
      </c>
      <c r="O12" s="2">
        <v>3</v>
      </c>
      <c r="P12" s="2">
        <v>12</v>
      </c>
      <c r="Q12" s="2" t="str">
        <f t="shared" si="5"/>
        <v>3.3</v>
      </c>
      <c r="R12" s="2" t="e">
        <f t="shared" ca="1" si="6"/>
        <v>#REF!</v>
      </c>
      <c r="Z12" s="2">
        <v>522</v>
      </c>
      <c r="AA12" s="2">
        <v>1</v>
      </c>
      <c r="AB12" s="2">
        <f t="shared" si="1"/>
        <v>3</v>
      </c>
      <c r="AC12" s="2" t="str">
        <f t="shared" si="2"/>
        <v/>
      </c>
      <c r="AD12" s="2"/>
      <c r="AE12" s="1">
        <f t="shared" si="7"/>
        <v>3</v>
      </c>
      <c r="AF12" s="2" t="str">
        <f>VLOOKUP(AA12,Content!W$1:X$6,2,FALSE)&amp;" "&amp;IF(LEN(AC12)=0,AB12,AC12)</f>
        <v>Phase 3</v>
      </c>
      <c r="AG12" s="2" t="str">
        <f t="shared" si="3"/>
        <v>Follow up</v>
      </c>
    </row>
    <row r="13" spans="12:33" x14ac:dyDescent="0.2">
      <c r="N13" s="2">
        <v>3</v>
      </c>
      <c r="O13" s="2">
        <v>4</v>
      </c>
      <c r="P13" s="2">
        <v>13</v>
      </c>
      <c r="Q13" s="2" t="str">
        <f t="shared" si="5"/>
        <v>3.4</v>
      </c>
      <c r="R13" s="2" t="e">
        <f t="shared" ca="1" si="6"/>
        <v>#REF!</v>
      </c>
      <c r="Z13" s="2">
        <v>523</v>
      </c>
      <c r="AA13" s="2">
        <v>2</v>
      </c>
      <c r="AB13" s="2">
        <f t="shared" si="1"/>
        <v>3</v>
      </c>
      <c r="AC13" s="2">
        <f t="shared" si="2"/>
        <v>1</v>
      </c>
      <c r="AD13" s="2">
        <v>10</v>
      </c>
      <c r="AE13" s="1" t="str">
        <f t="shared" si="7"/>
        <v>3.1</v>
      </c>
      <c r="AF13" s="2" t="str">
        <f>VLOOKUP(AA13,Content!W$1:X$6,2,FALSE)&amp;" "&amp;IF(LEN(AC13)=0,AB13,AC13)</f>
        <v>Step 1</v>
      </c>
      <c r="AG13" s="2" t="str">
        <f t="shared" si="3"/>
        <v>Incident investigation</v>
      </c>
    </row>
    <row r="14" spans="12:33" x14ac:dyDescent="0.2">
      <c r="N14" s="2">
        <v>3</v>
      </c>
      <c r="O14" s="2">
        <v>5</v>
      </c>
      <c r="P14" s="2">
        <v>14</v>
      </c>
      <c r="Q14" s="2" t="str">
        <f t="shared" si="5"/>
        <v>3.5</v>
      </c>
      <c r="R14" s="2" t="e">
        <f t="shared" ca="1" si="6"/>
        <v>#REF!</v>
      </c>
      <c r="Z14" s="2">
        <v>535</v>
      </c>
      <c r="AA14" s="2">
        <v>2</v>
      </c>
      <c r="AB14" s="2">
        <f t="shared" si="1"/>
        <v>3</v>
      </c>
      <c r="AC14" s="2">
        <f t="shared" si="2"/>
        <v>2</v>
      </c>
      <c r="AD14" s="2">
        <v>11</v>
      </c>
      <c r="AE14" s="1" t="str">
        <f t="shared" si="7"/>
        <v>3.2</v>
      </c>
      <c r="AF14" s="2" t="str">
        <f>VLOOKUP(AA14,Content!W$1:X$6,2,FALSE)&amp;" "&amp;IF(LEN(AC14)=0,AB14,AC14)</f>
        <v>Step 2</v>
      </c>
      <c r="AG14" s="2" t="str">
        <f t="shared" si="3"/>
        <v>Reporting</v>
      </c>
    </row>
    <row r="15" spans="12:33" x14ac:dyDescent="0.2">
      <c r="N15" s="2">
        <v>3</v>
      </c>
      <c r="O15" s="2">
        <v>6</v>
      </c>
      <c r="P15" s="2">
        <v>15</v>
      </c>
      <c r="Q15" s="2" t="str">
        <f t="shared" si="5"/>
        <v>3.6</v>
      </c>
      <c r="R15" s="2" t="e">
        <f t="shared" ca="1" si="6"/>
        <v>#REF!</v>
      </c>
      <c r="Z15" s="2">
        <v>551</v>
      </c>
      <c r="AA15" s="2">
        <v>2</v>
      </c>
      <c r="AB15" s="2">
        <f t="shared" si="1"/>
        <v>3</v>
      </c>
      <c r="AC15" s="2">
        <f t="shared" si="2"/>
        <v>3</v>
      </c>
      <c r="AD15" s="2">
        <v>12</v>
      </c>
      <c r="AE15" s="1" t="str">
        <f t="shared" si="7"/>
        <v>3.3</v>
      </c>
      <c r="AF15" s="2" t="str">
        <f>VLOOKUP(AA15,Content!W$1:X$6,2,FALSE)&amp;" "&amp;IF(LEN(AC15)=0,AB15,AC15)</f>
        <v>Step 3</v>
      </c>
      <c r="AG15" s="2" t="str">
        <f t="shared" si="3"/>
        <v>Post incident review</v>
      </c>
    </row>
    <row r="16" spans="12:33" x14ac:dyDescent="0.2">
      <c r="Z16" s="2">
        <v>573</v>
      </c>
      <c r="AA16" s="2">
        <v>2</v>
      </c>
      <c r="AB16" s="2">
        <f t="shared" si="1"/>
        <v>3</v>
      </c>
      <c r="AC16" s="2">
        <f t="shared" si="2"/>
        <v>4</v>
      </c>
      <c r="AD16" s="2">
        <v>13</v>
      </c>
      <c r="AE16" s="1" t="str">
        <f t="shared" si="7"/>
        <v>3.4</v>
      </c>
      <c r="AF16" s="2" t="str">
        <f>VLOOKUP(AA16,Content!W$1:X$6,2,FALSE)&amp;" "&amp;IF(LEN(AC16)=0,AB16,AC16)</f>
        <v>Step 4</v>
      </c>
      <c r="AG16" s="2" t="str">
        <f t="shared" si="3"/>
        <v>Lessons learned</v>
      </c>
    </row>
    <row r="17" spans="26:33" x14ac:dyDescent="0.2">
      <c r="Z17" s="2">
        <v>598</v>
      </c>
      <c r="AA17" s="2">
        <v>2</v>
      </c>
      <c r="AB17" s="2">
        <f t="shared" si="1"/>
        <v>3</v>
      </c>
      <c r="AC17" s="2">
        <f t="shared" si="2"/>
        <v>5</v>
      </c>
      <c r="AD17" s="2">
        <v>14</v>
      </c>
      <c r="AE17" s="1" t="str">
        <f t="shared" si="7"/>
        <v>3.5</v>
      </c>
      <c r="AF17" s="2" t="str">
        <f>VLOOKUP(AA17,Content!W$1:X$6,2,FALSE)&amp;" "&amp;IF(LEN(AC17)=0,AB17,AC17)</f>
        <v>Step 5</v>
      </c>
      <c r="AG17" s="2" t="str">
        <f t="shared" si="3"/>
        <v>Updating</v>
      </c>
    </row>
    <row r="18" spans="26:33" x14ac:dyDescent="0.2">
      <c r="Z18" s="2">
        <v>620</v>
      </c>
      <c r="AA18" s="2">
        <v>2</v>
      </c>
      <c r="AB18" s="2">
        <f t="shared" si="1"/>
        <v>3</v>
      </c>
      <c r="AC18" s="2">
        <f t="shared" si="2"/>
        <v>6</v>
      </c>
      <c r="AD18" s="2">
        <v>15</v>
      </c>
      <c r="AE18" s="1" t="str">
        <f t="shared" si="7"/>
        <v>3.6</v>
      </c>
      <c r="AF18" s="2" t="str">
        <f>VLOOKUP(AA18,Content!W$1:X$6,2,FALSE)&amp;" "&amp;IF(LEN(AC18)=0,AB18,AC18)</f>
        <v>Step 6</v>
      </c>
      <c r="AG18" s="2" t="str">
        <f t="shared" si="3"/>
        <v>Trend analysis</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5D2B7-645D-4841-9F22-939B8360198A}">
  <dimension ref="A1:P67"/>
  <sheetViews>
    <sheetView tabSelected="1" workbookViewId="0">
      <selection activeCell="I61" sqref="I61"/>
    </sheetView>
  </sheetViews>
  <sheetFormatPr baseColWidth="10" defaultRowHeight="16" x14ac:dyDescent="0.2"/>
  <cols>
    <col min="1" max="2" width="10.83203125" style="154"/>
    <col min="3" max="3" width="15.83203125" style="154" customWidth="1"/>
    <col min="4" max="4" width="10.83203125" style="154"/>
    <col min="5" max="5" width="13.5" style="154" customWidth="1"/>
    <col min="6" max="15" width="10.83203125" style="154"/>
    <col min="16" max="16" width="14.6640625" style="154" customWidth="1"/>
    <col min="17" max="16384" width="10.83203125" style="154"/>
  </cols>
  <sheetData>
    <row r="1" spans="1:12" x14ac:dyDescent="0.2">
      <c r="A1" s="2"/>
      <c r="B1" s="147" t="s">
        <v>907</v>
      </c>
      <c r="C1" s="147" t="s">
        <v>908</v>
      </c>
      <c r="D1" s="2"/>
      <c r="E1" s="2"/>
      <c r="F1" s="2"/>
    </row>
    <row r="2" spans="1:12" x14ac:dyDescent="0.2">
      <c r="A2" s="2"/>
      <c r="B2" s="148" t="s">
        <v>745</v>
      </c>
      <c r="C2" s="148">
        <v>1</v>
      </c>
      <c r="D2" s="2"/>
      <c r="E2" s="2"/>
      <c r="F2" s="2"/>
    </row>
    <row r="3" spans="1:12" x14ac:dyDescent="0.2">
      <c r="A3" s="2"/>
      <c r="B3" s="148" t="s">
        <v>740</v>
      </c>
      <c r="C3" s="148">
        <v>1</v>
      </c>
      <c r="D3" s="2"/>
      <c r="E3" s="2"/>
      <c r="F3" s="2"/>
    </row>
    <row r="4" spans="1:12" x14ac:dyDescent="0.2">
      <c r="A4" s="2"/>
      <c r="B4" s="148" t="s">
        <v>845</v>
      </c>
      <c r="C4" s="148">
        <v>2</v>
      </c>
      <c r="D4" s="2"/>
      <c r="E4" s="2"/>
      <c r="F4" s="2"/>
      <c r="G4" s="159" t="s">
        <v>927</v>
      </c>
      <c r="H4" s="159"/>
      <c r="I4" s="159"/>
      <c r="J4" s="159"/>
      <c r="K4" s="159"/>
      <c r="L4" s="159"/>
    </row>
    <row r="5" spans="1:12" x14ac:dyDescent="0.2">
      <c r="A5" s="2"/>
      <c r="B5" s="148" t="s">
        <v>797</v>
      </c>
      <c r="C5" s="148">
        <v>2</v>
      </c>
      <c r="D5" s="2"/>
      <c r="E5" s="2"/>
      <c r="F5" s="2"/>
      <c r="G5" s="159"/>
      <c r="H5" s="159"/>
      <c r="I5" s="159"/>
      <c r="J5" s="159"/>
      <c r="K5" s="159"/>
      <c r="L5" s="159"/>
    </row>
    <row r="6" spans="1:12" x14ac:dyDescent="0.2">
      <c r="A6" s="2"/>
      <c r="B6" s="148" t="s">
        <v>752</v>
      </c>
      <c r="C6" s="148">
        <v>3</v>
      </c>
      <c r="D6" s="2"/>
      <c r="E6" s="2"/>
      <c r="F6" s="2"/>
    </row>
    <row r="7" spans="1:12" x14ac:dyDescent="0.2">
      <c r="A7" s="2"/>
      <c r="B7" s="148" t="s">
        <v>810</v>
      </c>
      <c r="C7" s="148">
        <v>4</v>
      </c>
      <c r="D7" s="2"/>
      <c r="E7" s="2"/>
      <c r="F7" s="2"/>
    </row>
    <row r="8" spans="1:12" x14ac:dyDescent="0.2">
      <c r="A8" s="138"/>
      <c r="B8" s="138"/>
      <c r="C8" s="138"/>
      <c r="D8" s="138"/>
      <c r="E8" s="138"/>
      <c r="F8" s="138"/>
    </row>
    <row r="11" spans="1:12" x14ac:dyDescent="0.2">
      <c r="C11" s="174" t="s">
        <v>926</v>
      </c>
      <c r="D11" s="175"/>
      <c r="E11" s="176"/>
    </row>
    <row r="12" spans="1:12" x14ac:dyDescent="0.2">
      <c r="C12" s="164" t="s">
        <v>921</v>
      </c>
      <c r="D12" s="164"/>
      <c r="E12" s="164" t="s">
        <v>920</v>
      </c>
    </row>
    <row r="13" spans="1:12" x14ac:dyDescent="0.2">
      <c r="C13" s="169" t="s">
        <v>14</v>
      </c>
      <c r="D13" s="169" t="s">
        <v>910</v>
      </c>
      <c r="E13" s="169">
        <v>21</v>
      </c>
    </row>
    <row r="14" spans="1:12" x14ac:dyDescent="0.2">
      <c r="C14" s="169" t="s">
        <v>912</v>
      </c>
      <c r="D14" s="169" t="s">
        <v>913</v>
      </c>
      <c r="E14" s="169">
        <v>0</v>
      </c>
    </row>
    <row r="15" spans="1:12" x14ac:dyDescent="0.2">
      <c r="C15" s="169" t="s">
        <v>915</v>
      </c>
      <c r="D15" s="169" t="s">
        <v>916</v>
      </c>
      <c r="E15" s="169">
        <v>0</v>
      </c>
    </row>
    <row r="16" spans="1:12" x14ac:dyDescent="0.2">
      <c r="C16" s="169" t="s">
        <v>917</v>
      </c>
      <c r="D16" s="169" t="s">
        <v>918</v>
      </c>
      <c r="E16" s="169">
        <v>0</v>
      </c>
    </row>
    <row r="24" spans="3:5" x14ac:dyDescent="0.2">
      <c r="C24" s="170" t="s">
        <v>925</v>
      </c>
      <c r="D24" s="171"/>
      <c r="E24" s="172"/>
    </row>
    <row r="25" spans="3:5" x14ac:dyDescent="0.2">
      <c r="C25" s="164" t="s">
        <v>921</v>
      </c>
      <c r="D25" s="164"/>
      <c r="E25" s="164" t="s">
        <v>920</v>
      </c>
    </row>
    <row r="26" spans="3:5" x14ac:dyDescent="0.2">
      <c r="C26" s="173" t="s">
        <v>14</v>
      </c>
      <c r="D26" s="173" t="s">
        <v>910</v>
      </c>
      <c r="E26" s="173">
        <v>0</v>
      </c>
    </row>
    <row r="27" spans="3:5" x14ac:dyDescent="0.2">
      <c r="C27" s="173" t="s">
        <v>912</v>
      </c>
      <c r="D27" s="173" t="s">
        <v>913</v>
      </c>
      <c r="E27" s="173">
        <v>58</v>
      </c>
    </row>
    <row r="28" spans="3:5" x14ac:dyDescent="0.2">
      <c r="C28" s="173" t="s">
        <v>915</v>
      </c>
      <c r="D28" s="173" t="s">
        <v>916</v>
      </c>
      <c r="E28" s="173">
        <v>0</v>
      </c>
    </row>
    <row r="29" spans="3:5" x14ac:dyDescent="0.2">
      <c r="C29" s="173" t="s">
        <v>917</v>
      </c>
      <c r="D29" s="173" t="s">
        <v>918</v>
      </c>
      <c r="E29" s="173">
        <v>0</v>
      </c>
    </row>
    <row r="36" spans="3:5" x14ac:dyDescent="0.2">
      <c r="C36" s="165" t="s">
        <v>924</v>
      </c>
      <c r="D36" s="166"/>
      <c r="E36" s="167"/>
    </row>
    <row r="37" spans="3:5" x14ac:dyDescent="0.2">
      <c r="C37" s="164" t="s">
        <v>921</v>
      </c>
      <c r="D37" s="164"/>
      <c r="E37" s="164" t="s">
        <v>920</v>
      </c>
    </row>
    <row r="38" spans="3:5" x14ac:dyDescent="0.2">
      <c r="C38" s="168" t="s">
        <v>14</v>
      </c>
      <c r="D38" s="168" t="s">
        <v>923</v>
      </c>
      <c r="E38" s="168">
        <v>34</v>
      </c>
    </row>
    <row r="39" spans="3:5" x14ac:dyDescent="0.2">
      <c r="C39" s="168" t="s">
        <v>912</v>
      </c>
      <c r="D39" s="168" t="s">
        <v>913</v>
      </c>
      <c r="E39" s="168">
        <v>0</v>
      </c>
    </row>
    <row r="40" spans="3:5" x14ac:dyDescent="0.2">
      <c r="C40" s="168" t="s">
        <v>915</v>
      </c>
      <c r="D40" s="168" t="s">
        <v>916</v>
      </c>
      <c r="E40" s="168">
        <v>0</v>
      </c>
    </row>
    <row r="41" spans="3:5" x14ac:dyDescent="0.2">
      <c r="C41" s="168" t="s">
        <v>917</v>
      </c>
      <c r="D41" s="168" t="s">
        <v>918</v>
      </c>
      <c r="E41" s="168">
        <v>0</v>
      </c>
    </row>
    <row r="50" spans="3:16" x14ac:dyDescent="0.2">
      <c r="C50" s="160" t="s">
        <v>922</v>
      </c>
      <c r="D50" s="161"/>
      <c r="E50" s="162"/>
    </row>
    <row r="51" spans="3:16" x14ac:dyDescent="0.2">
      <c r="C51" s="164" t="s">
        <v>921</v>
      </c>
      <c r="D51" s="164"/>
      <c r="E51" s="164" t="s">
        <v>920</v>
      </c>
    </row>
    <row r="52" spans="3:16" x14ac:dyDescent="0.2">
      <c r="C52" s="163" t="s">
        <v>14</v>
      </c>
      <c r="D52" s="163" t="s">
        <v>910</v>
      </c>
      <c r="E52" s="163">
        <v>39</v>
      </c>
    </row>
    <row r="53" spans="3:16" x14ac:dyDescent="0.2">
      <c r="C53" s="163" t="s">
        <v>912</v>
      </c>
      <c r="D53" s="163" t="s">
        <v>913</v>
      </c>
      <c r="E53" s="163">
        <v>0</v>
      </c>
    </row>
    <row r="54" spans="3:16" x14ac:dyDescent="0.2">
      <c r="C54" s="163" t="s">
        <v>915</v>
      </c>
      <c r="D54" s="163" t="s">
        <v>916</v>
      </c>
      <c r="E54" s="163">
        <v>0</v>
      </c>
    </row>
    <row r="55" spans="3:16" x14ac:dyDescent="0.2">
      <c r="C55" s="163" t="s">
        <v>917</v>
      </c>
      <c r="D55" s="163" t="s">
        <v>918</v>
      </c>
      <c r="E55" s="163">
        <v>0</v>
      </c>
    </row>
    <row r="63" spans="3:16" x14ac:dyDescent="0.2">
      <c r="N63" s="158" t="s">
        <v>919</v>
      </c>
      <c r="O63" s="157"/>
      <c r="P63" s="156"/>
    </row>
    <row r="64" spans="3:16" x14ac:dyDescent="0.2">
      <c r="N64" s="155" t="s">
        <v>909</v>
      </c>
      <c r="O64" s="155" t="s">
        <v>14</v>
      </c>
      <c r="P64" s="155" t="s">
        <v>910</v>
      </c>
    </row>
    <row r="65" spans="14:16" x14ac:dyDescent="0.2">
      <c r="N65" s="155" t="s">
        <v>911</v>
      </c>
      <c r="O65" s="155" t="s">
        <v>912</v>
      </c>
      <c r="P65" s="155" t="s">
        <v>913</v>
      </c>
    </row>
    <row r="66" spans="14:16" x14ac:dyDescent="0.2">
      <c r="N66" s="155" t="s">
        <v>914</v>
      </c>
      <c r="O66" s="155" t="s">
        <v>915</v>
      </c>
      <c r="P66" s="155" t="s">
        <v>916</v>
      </c>
    </row>
    <row r="67" spans="14:16" x14ac:dyDescent="0.2">
      <c r="N67" s="155">
        <v>120</v>
      </c>
      <c r="O67" s="155" t="s">
        <v>917</v>
      </c>
      <c r="P67" s="155" t="s">
        <v>918</v>
      </c>
    </row>
  </sheetData>
  <mergeCells count="5">
    <mergeCell ref="C24:E24"/>
    <mergeCell ref="C36:E36"/>
    <mergeCell ref="C50:E50"/>
    <mergeCell ref="N63:P63"/>
    <mergeCell ref="G4:L5"/>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FBB150699D11C4A9AD9F78EC94A9C16" ma:contentTypeVersion="7" ma:contentTypeDescription="Create a new document." ma:contentTypeScope="" ma:versionID="fcb398fa5ba5c7b0791e5e0b45f17107">
  <xsd:schema xmlns:xsd="http://www.w3.org/2001/XMLSchema" xmlns:xs="http://www.w3.org/2001/XMLSchema" xmlns:p="http://schemas.microsoft.com/office/2006/metadata/properties" xmlns:ns2="f2754ed8-f4d8-494a-9159-8e5e803a5e5c" targetNamespace="http://schemas.microsoft.com/office/2006/metadata/properties" ma:root="true" ma:fieldsID="05c634849d2e2077ec54774cbab607b1" ns2:_="">
    <xsd:import namespace="f2754ed8-f4d8-494a-9159-8e5e803a5e5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754ed8-f4d8-494a-9159-8e5e803a5e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0960978-A1AA-426C-9AC0-D15A3A25A3E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2754ed8-f4d8-494a-9159-8e5e803a5e5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14F8FA5-72B2-4D3D-AA25-AADAB5CA15B8}">
  <ds:schemaRefs>
    <ds:schemaRef ds:uri="http://schemas.microsoft.com/sharepoint/v3/contenttype/forms"/>
  </ds:schemaRefs>
</ds:datastoreItem>
</file>

<file path=customXml/itemProps3.xml><?xml version="1.0" encoding="utf-8"?>
<ds:datastoreItem xmlns:ds="http://schemas.openxmlformats.org/officeDocument/2006/customXml" ds:itemID="{26C4E20C-99DA-4DEE-9D7A-882FFE8DF4B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25</vt:i4>
      </vt:variant>
    </vt:vector>
  </HeadingPairs>
  <TitlesOfParts>
    <vt:vector size="34" baseType="lpstr">
      <vt:lpstr>references</vt:lpstr>
      <vt:lpstr>Content</vt:lpstr>
      <vt:lpstr>Assessment - Identify</vt:lpstr>
      <vt:lpstr>Assessment - Detect</vt:lpstr>
      <vt:lpstr>Assessment - Protect</vt:lpstr>
      <vt:lpstr>Assessment - Respond</vt:lpstr>
      <vt:lpstr>Assessment - Recovery</vt:lpstr>
      <vt:lpstr>MMAT ref</vt:lpstr>
      <vt:lpstr>Result </vt:lpstr>
      <vt:lpstr>contentref</vt:lpstr>
      <vt:lpstr>detail_maturity_score</vt:lpstr>
      <vt:lpstr>key_components_responses</vt:lpstr>
      <vt:lpstr>leveltext</vt:lpstr>
      <vt:lpstr>maturity_response_frame</vt:lpstr>
      <vt:lpstr>MMATref</vt:lpstr>
      <vt:lpstr>'Assessment - Detect'!Print_Area</vt:lpstr>
      <vt:lpstr>'Assessment - Identify'!Print_Area</vt:lpstr>
      <vt:lpstr>'Assessment - Protect'!Print_Area</vt:lpstr>
      <vt:lpstr>'Assessment - Recovery'!Print_Area</vt:lpstr>
      <vt:lpstr>response_frames</vt:lpstr>
      <vt:lpstr>sector_responses</vt:lpstr>
      <vt:lpstr>size_responses</vt:lpstr>
      <vt:lpstr>stuff</vt:lpstr>
      <vt:lpstr>target_response_frame</vt:lpstr>
      <vt:lpstr>target_scores</vt:lpstr>
      <vt:lpstr>textref</vt:lpstr>
      <vt:lpstr>weighting_column_width</vt:lpstr>
      <vt:lpstr>weighting_frame</vt:lpstr>
      <vt:lpstr>weighting_initial</vt:lpstr>
      <vt:lpstr>weighting_response_reverse</vt:lpstr>
      <vt:lpstr>weighting_responses</vt:lpstr>
      <vt:lpstr>weighting_scores</vt:lpstr>
      <vt:lpstr>weighting_stuff</vt:lpstr>
      <vt:lpstr>yesno_response_frame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Jones</dc:creator>
  <cp:keywords/>
  <dc:description/>
  <cp:lastModifiedBy>Microsoft Office User</cp:lastModifiedBy>
  <cp:revision/>
  <dcterms:created xsi:type="dcterms:W3CDTF">2013-12-31T13:54:42Z</dcterms:created>
  <dcterms:modified xsi:type="dcterms:W3CDTF">2019-05-25T23:44:33Z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0x010100FFBB150699D11C4A9AD9F78EC94A9C16</vt:lpwstr>
  </property>
  <property fmtid="{D5CDD505-2E9C-101B-9397-08002B2CF9AE}" pid="3" name="xd_Signature">
    <vt:bool>false</vt:bool>
  </property>
  <property fmtid="{D5CDD505-2E9C-101B-9397-08002B2CF9AE}" pid="4" name="xd_ProgID">
    <vt:lpwstr/>
  </property>
  <property fmtid="{D5CDD505-2E9C-101B-9397-08002B2CF9AE}" pid="5" name="ComplianceAssetId">
    <vt:lpwstr/>
  </property>
  <property fmtid="{D5CDD505-2E9C-101B-9397-08002B2CF9AE}" pid="6" name="TemplateUrl">
    <vt:lpwstr/>
  </property>
</Properties>
</file>